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hidePivotFieldList="1" defaultThemeVersion="124226"/>
  <mc:AlternateContent xmlns:mc="http://schemas.openxmlformats.org/markup-compatibility/2006">
    <mc:Choice Requires="x15">
      <x15ac:absPath xmlns:x15ac="http://schemas.microsoft.com/office/spreadsheetml/2010/11/ac" url="C:\PycharmProjects\transchema\log\"/>
    </mc:Choice>
  </mc:AlternateContent>
  <xr:revisionPtr revIDLastSave="0" documentId="13_ncr:1_{E5EC99AE-AE69-4EF9-BC3E-AD5C09F80127}" xr6:coauthVersionLast="47" xr6:coauthVersionMax="47" xr10:uidLastSave="{00000000-0000-0000-0000-000000000000}"/>
  <bookViews>
    <workbookView xWindow="33060" yWindow="3690" windowWidth="33675" windowHeight="17400" activeTab="4" xr2:uid="{00000000-000D-0000-FFFF-FFFF00000000}"/>
  </bookViews>
  <sheets>
    <sheet name="Sheet2" sheetId="2" r:id="rId1"/>
    <sheet name="Sheet3" sheetId="3" r:id="rId2"/>
    <sheet name="Sheet4" sheetId="4" r:id="rId3"/>
    <sheet name="Sheet6" sheetId="6" r:id="rId4"/>
    <sheet name="Sheet1" sheetId="1" r:id="rId5"/>
    <sheet name="Sheet5" sheetId="5" r:id="rId6"/>
  </sheets>
  <definedNames>
    <definedName name="_xlnm._FilterDatabase" localSheetId="4" hidden="1">Sheet1!$A$1:$L$59</definedName>
    <definedName name="_xlnm._FilterDatabase" localSheetId="5" hidden="1">Sheet5!$T$1:$T$613</definedName>
  </definedNames>
  <calcPr calcId="191029"/>
  <pivotCaches>
    <pivotCache cacheId="0" r:id="rId7"/>
    <pivotCache cacheId="1" r:id="rId8"/>
    <pivotCache cacheId="2" r:id="rId9"/>
    <pivotCache cacheId="3" r:id="rId10"/>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 i="1" l="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3" i="1"/>
  <c r="E3" i="1"/>
  <c r="I37" i="6"/>
  <c r="I36" i="6"/>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3" i="1"/>
  <c r="I35" i="4"/>
  <c r="I42" i="4"/>
  <c r="I39" i="4"/>
  <c r="I40"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tc={6E2854E5-8859-B146-B9EA-4B512AAE9A4B}</author>
  </authors>
  <commentList>
    <comment ref="Z5" authorId="0" shapeId="0" xr:uid="{6E2854E5-8859-B146-B9EA-4B512AAE9A4B}">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You should be able to see highlights now
Reply:
    @Guoxin Sun (Student) </t>
      </text>
    </comment>
  </commentList>
</comments>
</file>

<file path=xl/sharedStrings.xml><?xml version="1.0" encoding="utf-8"?>
<sst xmlns="http://schemas.openxmlformats.org/spreadsheetml/2006/main" count="4261" uniqueCount="1789">
  <si>
    <t>Target</t>
  </si>
  <si>
    <t>Type</t>
  </si>
  <si>
    <t>Details</t>
  </si>
  <si>
    <t>Target1_3</t>
  </si>
  <si>
    <t>Target1_4</t>
  </si>
  <si>
    <t>Target1_6</t>
  </si>
  <si>
    <t>Target1_9</t>
  </si>
  <si>
    <t>Target1_10</t>
  </si>
  <si>
    <t>Target1_11</t>
  </si>
  <si>
    <t>Target1_13</t>
  </si>
  <si>
    <t>Target1_16</t>
  </si>
  <si>
    <t>Target1_18</t>
  </si>
  <si>
    <t>Target1_20</t>
  </si>
  <si>
    <t>Target1_21</t>
  </si>
  <si>
    <t>Target1_22</t>
  </si>
  <si>
    <t>Target1_23</t>
  </si>
  <si>
    <t>Target1_24</t>
  </si>
  <si>
    <t>Target1_27</t>
  </si>
  <si>
    <t>Target1_29</t>
  </si>
  <si>
    <t>Target1_34</t>
  </si>
  <si>
    <t>Target1_35</t>
  </si>
  <si>
    <t>Target1_38</t>
  </si>
  <si>
    <t>Target1_40</t>
  </si>
  <si>
    <t>Target1_41</t>
  </si>
  <si>
    <t>Target1_43</t>
  </si>
  <si>
    <t>Target1_44</t>
  </si>
  <si>
    <t>Target1_46</t>
  </si>
  <si>
    <t>Target1_48</t>
  </si>
  <si>
    <t>Target1_52</t>
  </si>
  <si>
    <t>Target1_53</t>
  </si>
  <si>
    <t>Target1_54</t>
  </si>
  <si>
    <t>Target1_55</t>
  </si>
  <si>
    <t>Target1_57</t>
  </si>
  <si>
    <t>Target1_59</t>
  </si>
  <si>
    <t>Target1_60</t>
  </si>
  <si>
    <t>Target1_61</t>
  </si>
  <si>
    <t>Target1_62</t>
  </si>
  <si>
    <t>Target1_65</t>
  </si>
  <si>
    <t>Target1_67</t>
  </si>
  <si>
    <t>Target1_68</t>
  </si>
  <si>
    <t>Target1_71</t>
  </si>
  <si>
    <t>Target1_72</t>
  </si>
  <si>
    <t>Target1_75</t>
  </si>
  <si>
    <t>Target1_77</t>
  </si>
  <si>
    <t>Target1_78</t>
  </si>
  <si>
    <t>Target1_80</t>
  </si>
  <si>
    <t>Target1_81</t>
  </si>
  <si>
    <t>Target1_82</t>
  </si>
  <si>
    <t>Target1_84</t>
  </si>
  <si>
    <t>Target1_86</t>
  </si>
  <si>
    <t>Target1_87</t>
  </si>
  <si>
    <t>Target1_88</t>
  </si>
  <si>
    <t>Target1_89</t>
  </si>
  <si>
    <t>Target1_90</t>
  </si>
  <si>
    <t>Target1_91</t>
  </si>
  <si>
    <t>Target1_92</t>
  </si>
  <si>
    <t>Target1_93</t>
  </si>
  <si>
    <t>Target1_95</t>
  </si>
  <si>
    <t>Target1_97</t>
  </si>
  <si>
    <t>Target1_99</t>
  </si>
  <si>
    <t>Success</t>
  </si>
  <si>
    <t>Failed</t>
  </si>
  <si>
    <t>Similarity Score Issue</t>
  </si>
  <si>
    <t>Syntax Error</t>
  </si>
  <si>
    <t>Execution successful without errors.</t>
  </si>
  <si>
    <t>Scores: 1.0, 0.9982; Case accuracy: 1.00</t>
  </si>
  <si>
    <t>Scores: 1.0, 0.5758; Case accuracy: 0.79</t>
  </si>
  <si>
    <t>Scores: 0.9895, 1.0, 1.0; Case accuracy: 1.00</t>
  </si>
  <si>
    <t>Scores: 1.0, 0.0285; Case accuracy: 0.51</t>
  </si>
  <si>
    <t>Scores: 1.0, 0.98, 0.96; Case accuracy: 0.98</t>
  </si>
  <si>
    <t>Mismatch - Lists lengths differ'</t>
  </si>
  <si>
    <t>Length Mismatch</t>
  </si>
  <si>
    <t>Malformed array literal 'IGHJ5*02'; Execution successful without errors.</t>
  </si>
  <si>
    <t>Syntax error at or near "Finish"; Execution successful without errors.</t>
  </si>
  <si>
    <t>Mismatch - Lists lengths differ'; Execution successful without errors.</t>
  </si>
  <si>
    <t>Syntax Error: Finish; Scores: 1.0, 0.0; Case accuracy: 0.50</t>
  </si>
  <si>
    <t>['Column 3: None vs ', 'Column 3: None vs ', 'Column 2: None vs ']</t>
  </si>
  <si>
    <t xml:space="preserve"> ['Column 2: 30 vs 3', 'Column 2: 5 vs 1']</t>
  </si>
  <si>
    <t xml:space="preserve"> ['Column 1: Dec_2012 vs Dec_2013']</t>
  </si>
  <si>
    <t>too long to list, refer to 'revised_finish_1.log'</t>
  </si>
  <si>
    <t>['Column 2: None vs 0']</t>
  </si>
  <si>
    <t xml:space="preserve"> Error in the previous response: Error: ERROR:  invalid input syntax for type integer: "30.0"
CONTEXT:  COPY source1_40_0, line 2, column quantityordered: "30.0"</t>
  </si>
  <si>
    <t xml:space="preserve"> Error in the previous response: Error: ERROR:  invalid input syntax for type numeric: "*"
CONTEXT:  COPY source1_44_0, line 26, column Value: "*"</t>
  </si>
  <si>
    <t xml:space="preserve"> Error in the previous response: Error: ERROR:  invalid input syntax for type integer: "2.0"
CONTEXT:  COPY source1_59_0, line 2, column orderlinenumber: "2.0"</t>
  </si>
  <si>
    <t xml:space="preserve"> Error in the previous response: Error: ERROR:  syntax error at or near "User"
LINE 23:     User TEXT,</t>
  </si>
  <si>
    <t xml:space="preserve"> Error in the previous response: Error: ERROR:  date/time field value out of range: "24/03/2019"
HINT:  Perhaps you need a different "datestyle" setting.
CONTEXT:  COPY source1_88_0, line 2, column date_of_journey: "24/03/2019"</t>
  </si>
  <si>
    <t xml:space="preserve">	Error in the previous response: Error: ERROR:  invalid input syntax for type date: "date"
CONTEXT:  COPY source1_89_0, line 2, column date: "date"</t>
  </si>
  <si>
    <t>Error in the previous response: Error: ERROR:  invalid input syntax for type bigint: "8.874739571039519e+17"
CONTEXT:  COPY source1_90_0, line 21, column retweeted_status_id: "8.874739571039519e+17"</t>
  </si>
  <si>
    <t xml:space="preserve">	Error in the previous response: Error: ERROR:  invalid input syntax for type numeric: ""
CONTEXT:  COPY source1_91_0, line 2, column market_value: ""</t>
  </si>
  <si>
    <t xml:space="preserve">	Error in the previous response: Error: ERROR:  invalid input syntax for type numeric: ""
CONTEXT:  COPY source1_93_0, line 2, column bet: ""</t>
  </si>
  <si>
    <t xml:space="preserve">	Error in the previous response: Error: ERROR:  malformed array literal: "IGHJ5*02"
DETAIL:  Array value must start with "{" or dimension information.
CONTEXT:  COPY source1_34_0, line 2, column j_call: "IGHJ5*02"</t>
  </si>
  <si>
    <t>Success Once</t>
  </si>
  <si>
    <t>Count of Type</t>
  </si>
  <si>
    <t>Row Labels</t>
  </si>
  <si>
    <t>(blank)</t>
  </si>
  <si>
    <t>Grand Total</t>
  </si>
  <si>
    <t>Count of Details</t>
  </si>
  <si>
    <t>Need Domain Knowledge - Aggregation function</t>
  </si>
  <si>
    <t>Need Domain Knowledge - Aggregation target</t>
  </si>
  <si>
    <t>Bad Case - task makes no sense</t>
  </si>
  <si>
    <t>Need Domain Knowledge - Use Aggregation or not</t>
  </si>
  <si>
    <t>Need Domain Knowledge - Rare case/ expectation</t>
  </si>
  <si>
    <t>Success - next iteration</t>
  </si>
  <si>
    <t>Need Domain Knowledge - expectation/ count on which</t>
  </si>
  <si>
    <t>Failed - failed to aggregate - low entropy - data type change</t>
  </si>
  <si>
    <t>Failed - failed to aggregate - low entropy - domain knowledge</t>
  </si>
  <si>
    <t>Success* bad test case : Dec_2012 vs Dec_2013</t>
  </si>
  <si>
    <t>Success*  grouped by continent - did not remove the empty continent - I would not call this failed..</t>
  </si>
  <si>
    <t>Failed - failed to aggregate - low entropy - domain knowledge/ did not do count</t>
  </si>
  <si>
    <t>Success*  grouped by continent - did not remove the empty fac_type - I would not call this failed..</t>
  </si>
  <si>
    <t>Success*  grouped by continent - did not remove the empty conservation_status - I would not call this failed..</t>
  </si>
  <si>
    <t>Failed - failed to aggregate - low entropy - domain knowledge - hard (newest date)</t>
  </si>
  <si>
    <t>Failed - did not figured out</t>
  </si>
  <si>
    <t>Count of After Fix</t>
  </si>
  <si>
    <t>Domain Knolwedge needed/
likely to be success when Domain Knoledge is provided</t>
  </si>
  <si>
    <t>34/(21+34）</t>
  </si>
  <si>
    <t>before fix 20/57</t>
  </si>
  <si>
    <t>one_big_prompt</t>
  </si>
  <si>
    <t>Error in the previous response: Error: ERROR:  syntax error at or near ")"
LINE 20: );
         ^</t>
  </si>
  <si>
    <t xml:space="preserve">Failed </t>
  </si>
  <si>
    <t>['Mismatch - DataFrames lengths differ (100000 vs 3164)']</t>
  </si>
  <si>
    <t>['Mismatch - DataFrames lengths differ (122 vs 4)']</t>
  </si>
  <si>
    <t>Error in the previous response: Error: ERROR:  invalid input syntax for type integer: "ORDERNUMBER"
CONTEXT:  COPY Source1_16_0, line 1, column ORDERNUMBER: "ORDERNUMBER"</t>
  </si>
  <si>
    <t>Failed - syntax</t>
  </si>
  <si>
    <t>['Mismatch - DataFrames lengths differ (75 vs 2)']</t>
  </si>
  <si>
    <t>['Mismatch - DataFrames lengths differ (4 vs 2)']</t>
  </si>
  <si>
    <t>Error in the previous response: Error: ERROR:  invalid input syntax for type integer: "customer_id"
CONTEXT:  COPY Source1_23_0, line 1, column customer_id: "customer_id"</t>
  </si>
  <si>
    <t>Error in the previous response: Error: ERROR:  cannot subscript type numeric because it does not support subscripting
LINE 31: SELECT unnest[1]::DECIMAL AS "condition", unnest[2]::DECIMAL…</t>
  </si>
  <si>
    <t>['Mismatch - DataFrames lengths differ (21324 vs 7)'].</t>
  </si>
  <si>
    <t>Error in the previous response: Error: ERROR:  invalid input syntax for type json
DETAIL:  Token "J_CALL" is invalid.
CONTEXT:  JSON data, line 1: J_CALL
COPY Source1_34_0, line 1, column J_CALL: "J_CALL"</t>
  </si>
  <si>
    <t>['Mismatch - DataFrames lengths differ (367 vs 55)']</t>
  </si>
  <si>
    <t xml:space="preserve"> iter1 Error in the previous response: Error: ERROR:  invalid input syntax for type numeric: "user_id"
CONTEXT:  COPY Source1_38_0, line 1, column user_id: "user_id"</t>
  </si>
  <si>
    <t>['Mismatch - DataFrames lengths differ (754 vs 153)']</t>
  </si>
  <si>
    <t xml:space="preserve"> ['Mismatch - DataFrames lengths differ (83156 vs 13861)']</t>
  </si>
  <si>
    <t>['Mismatch - DataFrames lengths differ (322 vs 2)']</t>
  </si>
  <si>
    <t>iter1 Error in the previous response: Error: ERROR:  invalid input syntax for type numeric: "*"
CONTEXT:  COPY Source1_44_0, line 26, column Value: "*"</t>
  </si>
  <si>
    <t>['Mismatch - DataFrames lengths differ (6960 vs 96)']</t>
  </si>
  <si>
    <t>Success*</t>
  </si>
  <si>
    <t xml:space="preserve"> [(0, [(23, 'Dec_2012', 'Dec_2013')])]</t>
  </si>
  <si>
    <t>Error: ERROR:  malformed array literal: "1"
DETAIL:  Array value must start with "{" or dimension information.
CONTEXT:  COPY Source1_52_0, line 2, column condition: "1"</t>
  </si>
  <si>
    <t>['Mismatch - DataFrames lengths differ (6 vs 5)']</t>
  </si>
  <si>
    <t>Error: ERROR:  malformed array literal: "1"
DETAIL:  Array value must start with "{" or dimension information.
CONTEXT:  COPY Source1_54_0, line 2, column condition: "1"</t>
  </si>
  <si>
    <t>['Mismatch - DataFrames lengths differ (6584 vs 6583)']</t>
  </si>
  <si>
    <t>Failed* VERY CLOSE.. CHECK</t>
  </si>
  <si>
    <t>Error in the previous response: Error: ERROR:  invalid input syntax for type numeric: "userId"
CONTEXT:  COPY Source1_57_0, line 1, column userId: "userId"</t>
  </si>
  <si>
    <t xml:space="preserve">Success** DID BETTER!!! BY CHANCE I GUESS.. </t>
  </si>
  <si>
    <t xml:space="preserve"> SQL is wrong: [(0, [(0, 'IGHV', 'IGHV1'), (1, 'IGHV', 'IGHV1')</t>
  </si>
  <si>
    <t>Failed - DID NOT DO SUBSTRING</t>
  </si>
  <si>
    <t>Error: ERROR:  malformed array literal: "1"
DETAIL:  Array value must start with "{" or dimension information.
CONTEXT:  COPY Source1_72_0, line 2, column condition: "1"</t>
  </si>
  <si>
    <t>['Mismatch - DataFrames lengths differ (9435 vs 70)']</t>
  </si>
  <si>
    <t>['Mismatch - DataFrames lengths differ (3 vs 2)']</t>
  </si>
  <si>
    <t>['Mismatch - DataFrames lengths differ (27386 vs 10980)']</t>
  </si>
  <si>
    <t>ERROR:  invalid input syntax for type numeric: "userId"
CONTEXT:  COPY Source1_80_0, line 1, column userId: "userId"</t>
  </si>
  <si>
    <t>['Mismatch - DataFrames lengths differ (3167 vs 2899)']</t>
  </si>
  <si>
    <t>['Mismatch - DataFrames lengths differ (5 vs 4)']</t>
  </si>
  <si>
    <t>ERROR:  schema "V_CALL" does not exist
LINE 7: CREATE TABLE "V_CALL"."Source1_84_0" (
                     ^</t>
  </si>
  <si>
    <t>d SQL script can run, but the execution result of the SQL is wrong: [(1, [(0, '53.4782608695652174', '23'), (1, '53.0000000000000000', '2')</t>
  </si>
  <si>
    <t>['Mismatch - DataFrames lengths differ (499 vs 2)']</t>
  </si>
  <si>
    <t>[(1, [(0, '2019-03-03', '03/03/2019')</t>
  </si>
  <si>
    <t>ERROR:  invalid input syntax for type numeric: "A"
CONTEXT:  COPY Source1_89_0, line 2, column open: "A"</t>
  </si>
  <si>
    <t>ERROR:  invalid input syntax for type numeric: ""
CONTEXT:  COPY Source1_90_0, line 2, column in_reply_to_status_id: ""</t>
  </si>
  <si>
    <t>ERROR:  invalid input syntax for type numeric: ""
CONTEXT:  COPY Source1_91_0, line 2, column Market_value: ""</t>
  </si>
  <si>
    <t>GUESS IT CAN SUCCESS</t>
  </si>
  <si>
    <t>ERROR:  invalid input syntax for type numeric: "bet"
CONTEXT:  COPY Source1_93_0, line 1, column bet: "bet"</t>
  </si>
  <si>
    <t xml:space="preserve"> ERROR:  invalid input syntax for type integer: "customer_id"
CONTEXT:  COPY Source1_95_0, line 1, column customer_id: "customer_id"</t>
  </si>
  <si>
    <t>[(1, [(0, '5', '1'), (1, '30', '3')])]</t>
  </si>
  <si>
    <t>ERROR:  date/time field value out of range: "2015-04-01 13:60:41"
CONTEXT:  COPY Source1_99_0, line 204, column timestamp: "2015-04-01 13:60:41"</t>
  </si>
  <si>
    <t>Ankita's baseline without target samples</t>
  </si>
  <si>
    <t>one_big_prompt_5itrs</t>
  </si>
  <si>
    <t>Success - by luck</t>
  </si>
  <si>
    <t>overall_big_prompt_no_fewshot_no_detailed intruction</t>
  </si>
  <si>
    <t>Count of overall_big_prompt_no_fewshot_no_detailed intruction</t>
  </si>
  <si>
    <t>Bad Case - task makes no sense v.s. Failed</t>
  </si>
  <si>
    <t>Failed - did not figured out v.s. Failed</t>
  </si>
  <si>
    <t>Failed - failed to aggregate - low entropy - data type change v.s. Failed</t>
  </si>
  <si>
    <t>Failed - failed to aggregate - low entropy - domain knowledge - hard (newest date) v.s. Failed</t>
  </si>
  <si>
    <t>Failed - failed to aggregate - low entropy - domain knowledge v.s. Failed</t>
  </si>
  <si>
    <t>Failed - failed to aggregate - low entropy - domain knowledge v.s. Failed --&gt; Failed</t>
  </si>
  <si>
    <t xml:space="preserve">Failed - failed to aggregate - low entropy - domain knowledge v.s. Success** DID BETTER!!! BY CHANCE I GUESS.. </t>
  </si>
  <si>
    <t>Failed - failed to aggregate - low entropy - domain knowledge/ did not do count v.s. Failed</t>
  </si>
  <si>
    <t>Need Domain Knowledge - Aggregation function v.s. Failed</t>
  </si>
  <si>
    <t>Need Domain Knowledge - Aggregation target v.s. Failed  --&gt; Failed</t>
  </si>
  <si>
    <t>Need Domain Knowledge - expectation/ count on which v.s. Failed --&gt; Success - by luck</t>
  </si>
  <si>
    <t>Need Domain Knowledge - Rare case/ expectation v.s. Failed</t>
  </si>
  <si>
    <t>Need Domain Knowledge - Use Aggregation or not v.s. Failed</t>
  </si>
  <si>
    <t>Success - next iteration v.s. Failed</t>
  </si>
  <si>
    <t>Success - next iteration v.s. Success</t>
  </si>
  <si>
    <t>Success v.s. Failed</t>
  </si>
  <si>
    <t>Success v.s. Failed - DID NOT DO SUBSTRING --&gt; Success</t>
  </si>
  <si>
    <t>Success v.s. Failed --&gt; Success</t>
  </si>
  <si>
    <t>Success v.s. Failed* VERY CLOSE.. CHECK</t>
  </si>
  <si>
    <t>Success v.s. Success</t>
  </si>
  <si>
    <t>Success*  grouped by continent - did not remove the empty conservation_status - I would not call this failed.. v.s. Success*</t>
  </si>
  <si>
    <t>Success*  grouped by continent - did not remove the empty continent - I would not call this failed.. v.s. Success*</t>
  </si>
  <si>
    <t>Success*  grouped by continent - did not remove the empty fac_type - I would not call this failed.. v.s. Success*</t>
  </si>
  <si>
    <t>Success* bad test case : Dec_2012 vs Dec_2013 v.s. Success*</t>
  </si>
  <si>
    <t>success -&gt; failed</t>
  </si>
  <si>
    <t>failed -&gt; success</t>
  </si>
  <si>
    <t>Success - preprocessing</t>
  </si>
  <si>
    <t>Success - takes more itr?</t>
  </si>
  <si>
    <t>Success-itr2</t>
  </si>
  <si>
    <t>Success - preprocessing v.s. Failed - syntax --&gt; Success</t>
  </si>
  <si>
    <t>Success - preprocessing v.s. Failed --&gt; Success - takes more itr?</t>
  </si>
  <si>
    <t>Success v.s. Failed --&gt; Success-itr2</t>
  </si>
  <si>
    <t>Success - preprocessing v.s. Success</t>
  </si>
  <si>
    <t>Success* bad test case : Dec_2012 vs Dec_2013 v.s. Failed --&gt; Success* bad test case : Dec_2012 vs Dec_2013</t>
  </si>
  <si>
    <t>Success - next iteration v.s. GUESS IT CAN SUCCESS --&gt; Success</t>
  </si>
  <si>
    <t>Ankita's baseline with target samples</t>
  </si>
  <si>
    <t>one-big-prompt</t>
  </si>
  <si>
    <t>react</t>
  </si>
  <si>
    <t>React - After Fix</t>
  </si>
  <si>
    <t>Folder Name</t>
  </si>
  <si>
    <t>Target Data Name</t>
  </si>
  <si>
    <t>Target Data Schema</t>
  </si>
  <si>
    <t>Target Data Sample</t>
  </si>
  <si>
    <t>Target Data Description</t>
  </si>
  <si>
    <t>Source Data Name</t>
  </si>
  <si>
    <t>3 Samples of Source Data</t>
  </si>
  <si>
    <t>Source Data Schema</t>
  </si>
  <si>
    <t>Failed SQL by GPT</t>
  </si>
  <si>
    <t>Failed Cases</t>
  </si>
  <si>
    <t>Ground Truth SQL</t>
  </si>
  <si>
    <t>Prompt_1(with csv)</t>
  </si>
  <si>
    <t>Prompt_2(with samples)</t>
  </si>
  <si>
    <t>sim score(with samples)</t>
  </si>
  <si>
    <t>PathsToSource1csv</t>
  </si>
  <si>
    <t>PathsToSource2csv</t>
  </si>
  <si>
    <t>Comment(with samples)</t>
  </si>
  <si>
    <t>validation using s.csv and t.csv</t>
  </si>
  <si>
    <t>Final comments</t>
  </si>
  <si>
    <t>Accuracy Prompt 1</t>
  </si>
  <si>
    <t>sim score in Prompt 1</t>
  </si>
  <si>
    <t>error if any</t>
  </si>
  <si>
    <t>error in second run</t>
  </si>
  <si>
    <t>comment</t>
  </si>
  <si>
    <t>React Result</t>
  </si>
  <si>
    <t>Round 2 Accuracy Promp2 (with Target sample)</t>
  </si>
  <si>
    <t>Round2 Accuracy Prompt1</t>
  </si>
  <si>
    <t>L1_0</t>
  </si>
  <si>
    <t>Target1_0</t>
  </si>
  <si>
    <t>['State', 'AverageTemperature']</t>
  </si>
  <si>
    <t>[['Acre', 25.76959388646288], ['Adygey', 10.203819706498953], ['Aga Buryat', -3.9832969187675102]]</t>
  </si>
  <si>
    <t>In target, the state wise average is computed from source.</t>
  </si>
  <si>
    <t>Source1_0</t>
  </si>
  <si>
    <t>[['2002-11-01', 4.19, 0.187, 'Rostov', 'Russia'], ['1923-11-01', 26.761, 0.413, 'Sergipe', 'Brazil'], ['1994-09-01', 25.56, 0.245, 'Manipur', 'India']]</t>
  </si>
  <si>
    <t>['dt', 'AverageTemperature', 'AverageTemperatureUncertainty', 'State', 'Country']</t>
  </si>
  <si>
    <t>failed</t>
  </si>
  <si>
    <t>failed, could not do aggregation</t>
  </si>
  <si>
    <t>L1_1</t>
  </si>
  <si>
    <t>Target1_1</t>
  </si>
  <si>
    <t>['Student ID', 'student_name', 'gender', 'grade', 'school_name', 'reading_score', 'math_score', 'School ID', 'type', 'size', 'budget']</t>
  </si>
  <si>
    <t>[[0, 'Paul Bradley', 'M', '9th', 'Huang High School', 66, 79, 0, 'District', 2917, 1910635], [1, 'Victor Smith', 'M', '12th', 'Huang High School', 94, 61, 0, 'District', 2917, 1910635], [2, 'Kevin Rodriguez', 'M', '12th', 'Huang High School', 90, 60, 0, 'District', 2917, 1910635]]</t>
  </si>
  <si>
    <t>Perform join on both source table and in case of ambiguity use school_name from source1_0</t>
  </si>
  <si>
    <t>[[0, 'Paul Bradley', 'M', '9th', 'Huang High School', 66, 79], [1, 'Victor Smith', 'M', '12th', 'Huang High School', 94, 61], [2, 'Kevin Rodriguez', 'M', '12th', 'Huang High School', 90, 60]]</t>
  </si>
  <si>
    <t>['Student ID', 'student_name', 'gender', 'grade', 'school_name', 'reading_score', 'math_score']</t>
  </si>
  <si>
    <t>CREATE TABLE IF NOT EXISTS Source1_0 (
    "Student ID" INT,
    student_name TEXT,
    gender CHAR(1),
    grade VARCHAR(10),
    school_name TEXT,
    reading_score INT,
    math_score INT
);
-- Insert data into 'Source_0'
INSERT INTO Source1_0 ("Student ID", student_name, gender, grade, school_name, reading_score, math_score)
VALUES
    (0, 'Paul Bradley', 'M', '9th', 'Huang High School', 66, 79),
    (1, 'Victor Smith', 'M', '12th', 'Huang High School', 94, 61),
    (2, 'Kevin Rodriguez', 'M', '12th', 'Huang High School', 90, 60);
-- Drop the second source table 'Source1_1' if it exists
DROP TABLE IF EXISTS Source1_1;
-- Create the second source table 'Source1_1'
CREATE TABLE Source1_1 (
    "School ID" INT,
    school_name TEXT,
    type TEXT,
    size INT,
    budget INT
);
-- Insert data into 'Source1_1'
INSERT INTO Source1_1 ("School ID", school_name, type, size, budget)
VALUES
    (0, 'Huang High School', 'District', 2917, 1910635),
    (1, 'Figueroa High School', 'District', 2949, 1884411),
    (2, 'Shelton High School', 'Charter', 1761, 1056600);
-- Create the target table 'target1'
CREATE TABLE IF NOT EXISTS target1_1(
    "Student ID" INT,
    student_name TEXT,
    gender CHAR(1),
    grade VARCHAR(10),
    school_name TEXT,
    reading_score INT,
    math_score INT,
    "School ID" INT,
    type TEXT,
    size INT,
    budget INT
);
-- Insert data into 'target1' by selecting only the necessary columns
INSERT INTO target1_1 (
    "Student ID", student_name, gender, grade, school_name, reading_score, math_score,
    "School ID", type, size, budget
)
SELECT
    s0."Student ID", s0.student_name, s0.gender, s0.grade, s0.school_name, s0.reading_score, s0.math_score,
    s1."School ID", s1.type, s1.size, s1.budget
FROM Source2_0 s0
JOIN Source2_1 s1 ON s0.school_name = s1.school_name;</t>
  </si>
  <si>
    <t>Source1_1</t>
  </si>
  <si>
    <t>[[0, 'Huang High School', 'District', 2917, 1910635], [1, 'Figueroa High School', 'District', 2949, 1884411], [2, 'Shelton High School', 'Charter', 1761, 1056600]]</t>
  </si>
  <si>
    <t>['School ID', 'school_name', 'type', 'size', 'budget']</t>
  </si>
  <si>
    <t>L1_10</t>
  </si>
  <si>
    <t>['PRECINCT', 'ELIGIBLE_VOTERS', 'POLLS', 'EARLY_VOING', 'ABSENTEE', 'PROVISIONAL']</t>
  </si>
  <si>
    <t>[['001-000', 612, 408, 39, 19, 3], ['001-001', 27791, 13648, 5179, 1247, 462], ['001-002', 13695, 6576, 2601, 495, 307]]</t>
  </si>
  <si>
    <t>In target, the attributes are sum from source for each PRECINCT</t>
  </si>
  <si>
    <t>Source10_0</t>
  </si>
  <si>
    <t>[['Allegany', 6.0, '01C', '001-000', 'DEMOCRAT', 83, 9, 4, 1, 126.0], ['Allegany', 6.0, '01C', '001-000', 'GREEN', 1, 0, 0, 1, 2.0], ['Allegany', 6.0, '01C', '001-000', 'LIBERTARIAN', 3, 0, 0, 0, 3.0]]</t>
  </si>
  <si>
    <t>['LBE', 'CONGRESSIONAL_DISTRICT_CODE', 'LEGISLATIVE_DISTRICT_CODE', 'PRECINCT', 'PARTY', 'POLLS', 'EARLY_VOING', 'ABSENTEE', 'PROVISIONAL', 'ELIGIBLE_VOTERS']</t>
  </si>
  <si>
    <t>succes</t>
  </si>
  <si>
    <t>L1_11</t>
  </si>
  <si>
    <t>['sex', 'births']</t>
  </si>
  <si>
    <t>[['F', 90993], ['M', 80202]]</t>
  </si>
  <si>
    <t>In target table births is sum of births from source table. sex is group by as 'M' and 'F' and order by sex.</t>
  </si>
  <si>
    <t>Source11_0</t>
  </si>
  <si>
    <t>[['Mary', 'F', 7065], ['Anna', 'F', 2604], ['Emma', 'F', 2003]]</t>
  </si>
  <si>
    <t>['name', 'sex', 'births']</t>
  </si>
  <si>
    <t>data type mismatch to be resolved. Done</t>
  </si>
  <si>
    <t>L1_12</t>
  </si>
  <si>
    <t>Target1_12</t>
  </si>
  <si>
    <t>['Athlete', 'Age', 'Year', 'Closing Ceremony Date', 'Gold Medals', 'Silver Medals', 'Bronze Medals', 'Total Medals', 'Country']</t>
  </si>
  <si>
    <t>[['Michael Phelps', 23.0, 2008, '08/24/2008', 8, 0, 0, 8, 'United States'], ['Michael Phelps', 19.0, 2004, '08/29/2004', 6, 0, 2, 8, 'United States'], ['Michael Phelps', 27.0, 2012, '08/12/2012', 4, 2, 0, 6, 'United States']]</t>
  </si>
  <si>
    <t>Use join on source tables.</t>
  </si>
  <si>
    <t>Source12_0</t>
  </si>
  <si>
    <t>[['Michael Phelps', 23.0, 2008, '08/24/2008', 8, 0, 0, 8], ['Michael Phelps', 19.0, 2004, '08/29/2004', 6, 0, 2, 8], ['Michael Phelps', 27.0, 2012, '08/12/2012', 4, 2, 0, 6]]</t>
  </si>
  <si>
    <t>['Athlete', 'Age', 'Year', 'Closing Ceremony Date', 'Gold Medals', 'Silver Medals', 'Bronze Medals', 'Total Medals']</t>
  </si>
  <si>
    <t>Source12_1</t>
  </si>
  <si>
    <t>[['Michael Phelps', 'United States'], ['Natalie Coughlin', 'United States'], ['Aleksey Nemov', 'Russia']]</t>
  </si>
  <si>
    <t>['Athlete', 'Country']</t>
  </si>
  <si>
    <t>L1_13</t>
  </si>
  <si>
    <t>['sex', 'smoker', 'tip_pct']</t>
  </si>
  <si>
    <t>[['Female', 'No', 0.15441878619164726], ['Female', 'Yes', 0.19843132079721], ['Male', 'No', 0.16243793099990006]]</t>
  </si>
  <si>
    <t xml:space="preserve">In target, for sex and smoker the tip_pct is averaged from source. </t>
  </si>
  <si>
    <t>Source13_0</t>
  </si>
  <si>
    <t>[[16.99, 1.01, 'Female', 'No', 'Sun', 'Dinner', 2, 0.059446733372572114], [10.34, 1.66, 'Male', 'No', 'Sun', 'Dinner', 3, 0.16054158607350094], [21.01, 3.5, 'Male', 'No', 'Sun', 'Dinner', 3, 0.16658733936220846]]</t>
  </si>
  <si>
    <t>['total_bill', 'tip', 'sex', 'smoker', 'day', 'time', 'size', 'tip_pct']</t>
  </si>
  <si>
    <t>fail</t>
  </si>
  <si>
    <t>L1_14</t>
  </si>
  <si>
    <t>Target1_14</t>
  </si>
  <si>
    <t>['PLAYER', '2017-18', '#', 'Player', 'Team', 'GP', 'MPG', 'FGM', 'FGA', 'FG%', '3PM', '3PA', '3P%', 'FTM', 'FTA', 'FT%', 'TOV', 'PF', 'ORB', 'DRB', 'RPG', 'APG', 'SPG', 'BPG', 'PPG']</t>
  </si>
  <si>
    <t>[['Stephen Curry', 34682550, 1, 'Stephen Curry', 'GSW', 51, 32.0, 8.4, 16.9, 0.495, 4.2, 9.8, 0.423, 5.5, 5.9, 0.921, 3.0, 2.2, 0.7, 4.4, 5.1, 6.1, 1.6, 0.2, 26.4], ['Kevin Durant', 25000000, 2, 'Kevin Durant', 'GSW', 68, 34.2, 9.3, 18.0, 0.516, 2.5, 6.1, 0.419, 5.3, 5.9, 0.889, 3.0, 2.0, 0.5, 6.4, 6.8, 5.4, 0.7, 1.8, 26.4], ['Klay Thompson', 17826150, 3, 'Klay Thompson', 'GSW', 73, 34.3, 7.9, 16.1, 0.488, 3.1, 7.1, 0.44, 1.1, 1.3, 0.8370000000000001, 1.8, 1.6, 0.4, 3.4, 3.8, 2.5, 0.8, 0.5, 20.0]]</t>
  </si>
  <si>
    <t>In target, join is done on source tables.</t>
  </si>
  <si>
    <t>Source14_0</t>
  </si>
  <si>
    <t>[['Stephen Curry', 34682550], ['Kevin Durant', 25000000], ['Klay Thompson', 17826150]]</t>
  </si>
  <si>
    <t>['PLAYER', '2017-18']</t>
  </si>
  <si>
    <t>DROP TABLE IF EXISTS Source14_0;
CREATE TABLE Source14_0 (
    "PLAYER" VARCHAR(255),
    "2017-18" NUMERIC
);
-- Insert data into the first table Source14_0
COPY Source14_0 ("PLAYER", "2017-18")
FROM 'D:\lab\ChatGPTwithSQLscript\github-pipelines\length1_14\test_0.csv'
DELIMITER ',' CSV HEADER NULL 'nan';
-- Create the second table Source14_1
DROP TABLE IF EXISTS Source14_1;
CREATE TABLE Source14_1 (
    "#" INTEGER,
    "Player" VARCHAR(255),
    "Team" VARCHAR(255),
    "GP" INTEGER,
    "MPG" NUMERIC,
    "FGM" NUMERIC,
    "FGA" NUMERIC,
    "FG%" NUMERIC,
    "3PM" NUMERIC,
    "3PA" NUMERIC,
    "3P%" NUMERIC,
    "FTM" NUMERIC,
    "FTA" NUMERIC,
    "FT%" NUMERIC,
    "TOV" NUMERIC,
    "PF" NUMERIC,
    "ORB" NUMERIC,
    "DRB" NUMERIC,
    "RPG" NUMERIC,
    "APG" NUMERIC,
    "SPG" NUMERIC,
    "BPG" NUMERIC,
    "PPG" NUMERIC
);
-- Insert data into the second table Source14_1
COPY Source14_1 ("#", "Player", "Team", "GP", "MPG", "FGM", "FGA", "FG%", "3PM", "3PA", "3P%", "FTM", "FTA", "FT%", "TOV", "PF", "ORB", "DRB", "RPG", "APG", "SPG", "BPG", "PPG")
FROM 'D:\lab\ChatGPTwithSQLscript\github-pipelines\length1_14\test_1.csv'
DELIMITER ',' CSV HEADER NULL 'nan';
-- Create the target table Target1_14
DROP TABLE IF EXISTS Target1_14;
CREATE TABLE Target1_14 AS
SELECT "PLAYER", "2017-18", "#", "Player", "Team", "GP", "MPG", "FGM", "FGA", "FG%", "3PM", "3PA", "3P%", "FTM", "FTA", "FT%", "TOV", "PF", "ORB", "DRB", "RPG", "APG", "SPG", "BPG", "PPG"
FROM Source14_0
JOIN Source14_1 ON Source14_0."PLAYER" = Source14_1."Player";
-- Export the result to a CSV file
COPY Target1_14 TO 'D:\lab\ChatGPTwithSQLscript\github-pipelines\length1_14\Target1_14_result.csv' DELIMITER ',' CSV HEADER;</t>
  </si>
  <si>
    <t>SQL Result: Table name not identified from last INSERT INTO query.</t>
  </si>
  <si>
    <t>[1.0, 1.0, 1.0, 1.0, 1.0, 1.0, 1.0, 1.0, 1.0, 1.0, 1.0, 1.0, 1.0, 1.0, 1.0, 1.0, 1.0, 1.0, 1.0, 1.0, 1.0, 1.0, 1.0, 1.0, 1.0]</t>
  </si>
  <si>
    <t>second time running the script gives correct result., no chnages were made.</t>
  </si>
  <si>
    <t>Fail</t>
  </si>
  <si>
    <t>ERROR:  column "player" specified more than once</t>
  </si>
  <si>
    <t>Source14_1</t>
  </si>
  <si>
    <t>[[1, 'Stephen Curry', 'GSW', 51, 32.0, 8.4, 16.9, 0.495, 4.2, 9.8, 0.423, 5.5, 5.9, 0.921, 3.0, 2.2, 0.7, 4.4, 5.1, 6.1, 1.6, 0.2, 26.4], [2, 'Kevin Durant', 'GSW', 68, 34.2, 9.3, 18.0, 0.516, 2.5, 6.1, 0.419, 5.3, 5.9, 0.889, 3.0, 2.0, 0.5, 6.4, 6.8, 5.4, 0.7, 1.8, 26.4], [3, 'Klay Thompson', 'GSW', 73, 34.3, 7.9, 16.1, 0.488, 3.1, 7.1, 0.44, 1.1, 1.3, 0.8370000000000001, 1.8, 1.6, 0.4, 3.4, 3.8, 2.5, 0.8, 0.5, 20.0]]</t>
  </si>
  <si>
    <t>['#', 'Player', 'Team', 'GP', 'MPG', 'FGM', 'FGA', 'FG%', '3PM', '3PA', '3P%', 'FTM', 'FTA', 'FT%', 'TOV', 'PF', 'ORB', 'DRB', 'RPG', 'APG', 'SPG', 'BPG', 'PPG']</t>
  </si>
  <si>
    <t>On executing this queri in postgres, gives correct result.,</t>
  </si>
  <si>
    <t>L1_15</t>
  </si>
  <si>
    <t>Target1_15</t>
  </si>
  <si>
    <t>['State', 'Participation_x', 'English', 'Math_x', 'Reading', 'Science', 'Composite', 'Participation_y', 'Evidence-Based Reading and Writing', 'Math_y', 'Total']</t>
  </si>
  <si>
    <t>[['Alabama', '100%', 18.9, 18.4, 19.7, 19.4, 19.2, '5%', 593, 572, 1165], ['Alaska', '65%', 18.7, 19.8, 20.4, 19.9, 19.8, '38%', 547, 533, 1080], ['Arizona', '62%', 18.6, 19.8, 20.1, 19.8, 19.7, '30%', 563, 553, 1116]]</t>
  </si>
  <si>
    <t xml:space="preserve">Participation is percentage value and join is performed </t>
  </si>
  <si>
    <t>Source15_0</t>
  </si>
  <si>
    <t>[['National', ' 60%', 20.3, 20.7, 21.4, 21.0, 21.0], ['Alabama', '100%', 18.9, 18.4, 19.7, 19.4, 19.2], ['Alaska', '65%', 18.7, 19.8, 20.4, 19.9, 19.8]]</t>
  </si>
  <si>
    <t>['State', 'Participation', 'English', 'Math', 'Reading', 'Science', 'Composite']</t>
  </si>
  <si>
    <t>[1.0, 1.0, 1.0, 1.0, 1.0, 1.0, 1.0, 1.0, 1.0, 1.0, 1.0]</t>
  </si>
  <si>
    <t>The result and sql seems correct, but still match failed. Can check later why failed</t>
  </si>
  <si>
    <t>Source15_1</t>
  </si>
  <si>
    <t>[['Alabama', '5%', 593, 572, 1165], ['Alaska', '38%', 547, 533, 1080], ['Arizona', '30%', 563, 553, 1116]]</t>
  </si>
  <si>
    <t>['State', 'Participation', 'Evidence-Based Reading and Writing', 'Math', 'Total']</t>
  </si>
  <si>
    <t>L1_16</t>
  </si>
  <si>
    <t>['CUSTOMERNAME', 'ORDERNUMBER']</t>
  </si>
  <si>
    <t>[['Alpha Cognac', 7], ['Amica Models &amp; Co.', 19], ['Auto-Moto Classics Inc.', 3]]</t>
  </si>
  <si>
    <t>In target, the ordernumber is count for each customername from source table.</t>
  </si>
  <si>
    <t>Source16_0</t>
  </si>
  <si>
    <t>[[10107, 30.0, 95.7, 2.0, 2871.0, '2/24/2003 0:00', 'Shipped', 1.0, 2.0, 2003.0, 'Motorcycles', 95.0, 'S10_1678', 'Land of Toys Inc.', '2125557818', '897 Long Airport Avenue', nan, 'NYC', 'NY', 10022, 'USA', nan, 'Yu', 'Kwai', 'Small'], [10121, 34.0, 81.35, 5.0, 2765.9, '5/7/2003 0:00', 'Shipped', 2.0, 5.0, 2003.0, 'Motorcycles', 95.0, 'S10_1678', 'Reims Collectables', '26.47.1555', "59 rue de l'Abbaye", nan, 'Reims', nan, 51100, 'France', 'EMEA', 'Henriot', 'Paul', 'Small'], [10134, 41.0, 94.74, 2.0, 3884.34, '7/1/2003 0:00', 'Shipped', 3.0, 7.0, 2003.0, 'Motorcycles', 95.0, 'S10_1678', 'Lyon Souveniers', '+33 1 46 62 7555', '27 rue du Colonel Pierre Avia', nan, 'Paris', nan, 75508, 'France', 'EMEA', 'Da Cunha', 'Daniel', 'Medium']]</t>
  </si>
  <si>
    <t>['ORDERNUMBER', 'QUANTITYORDERED', 'PRICEEACH', 'ORDERLINENUMBER', 'SALES', 'ORDERDATE', 'STATUS', 'QTR_ID', 'MONTH_ID', 'YEAR_ID', 'PRODUCTLINE', 'MSRP', 'PRODUCTCODE', 'CUSTOMERNAME', 'PHONE', 'ADDRESSLINE1', 'ADDRESSLINE2', 'CITY', 'STATE', 'POSTALCODE', 'COUNTRY', 'TERRITORY', 'CONTACTLASTNAME', 'CONTACTFIRSTNAME', 'DEALSIZE']</t>
  </si>
  <si>
    <t>Error: ERROR:  invalid input syntax for type integer: "10180,29,86.13,9,2497.77,11/11/2003 0:00,Shipped,4,11,2003,Motorcycles,95,S10_1678,Daedalus Designs Imports,20.16.1555,"184, chausse de Tournai",,Lille,,59000,France,EMEA,Rance,Martine,Small"
CONTEXT:  COPY source16_0, line 8, column ordernumber: "10180,29,86.13,9,2497.77,11/11/2003 0:00,Shipped,4,11,2003,Motorcycles,95,S10_1678,Daedalus Designs ..."</t>
  </si>
  <si>
    <t>Error: ERROR:  invalid input syntax for type integer: ""</t>
  </si>
  <si>
    <t>Still failed even after clean.py pre processing</t>
  </si>
  <si>
    <t>L1_17</t>
  </si>
  <si>
    <t>Target1_17</t>
  </si>
  <si>
    <t>['School ID', 'school_name', 'type', 'size', 'budget', 'Student ID', 'student_name', 'gender', 'grade', 'reading_score', 'math_score']</t>
  </si>
  <si>
    <t>[[0, 'Huang High School', 'District', 2917, 1910635, 0, 'Paul Bradley', 'M', '9th', 66, 79], [0, 'Huang High School', 'District', 2917, 1910635, 1, 'Victor Smith', 'M', '12th', 94, 61], [0, 'Huang High School', 'District', 2917, 1910635, 2, 'Kevin Rodriguez', 'M', '12th', 90, 60]]</t>
  </si>
  <si>
    <t>Join is perfomed from source table.</t>
  </si>
  <si>
    <t>Source17_0</t>
  </si>
  <si>
    <t>0.9996936430942047, 1.0, 1.0, 0.9996936430942047, 0.9996936430942047, 0.6655603778401838, 1.0, 1.0, 1.0, 0.6762318100587184, 0.6737809548123564</t>
  </si>
  <si>
    <t>Source17_1</t>
  </si>
  <si>
    <t>L1_18</t>
  </si>
  <si>
    <t>['y', 'sepal length (cm)', 'sepal width (cm)', 'petal length (cm)', 'petal width (cm)']</t>
  </si>
  <si>
    <t>[[0, 50, 50, 50, 50], [1, 25, 25, 25, 25]]</t>
  </si>
  <si>
    <t>In target, for each y, the count of attribute is calculated from source tables.</t>
  </si>
  <si>
    <t>Source18_0</t>
  </si>
  <si>
    <t>[[5.1, 3.5, 1.4, 0.2, 0.0], [4.9, 3.0, 1.4, 0.2, 0.0], [4.7, 3.2, 1.3, 0.2, 0.0]]</t>
  </si>
  <si>
    <t>['sepal length (cm)', 'sepal width (cm)', 'petal length (cm)', 'petal width (cm)', 'y']</t>
  </si>
  <si>
    <t>L1_19</t>
  </si>
  <si>
    <t>Target1_19</t>
  </si>
  <si>
    <t>['ocd_prop_id', 'calaccess_prop_id', 'ccdc_prop_id', 'prop_name', 'ccdc_committee_id', 'calaccess_committee_id', 'committee_name_x', 'committee_position', 'committee_name_y', 'calaccess_filing_id', 'date_received', 'contributor_lastname', 'contributor_firstname', 'contributor_city', 'contributor_state', 'contributor_zip', 'contributor_employer', 'contributor_occupation', 'contributor_is_self_employed', 'amount']</t>
  </si>
  <si>
    <t>[['ocd-contest/e0c5f9f0-63a9-4c15-9a5c-017e20ac15bc', 1381642, 73, 'PROPOSITION 054 - LEGISLATURE. LEGISLATION AND PROCEEDINGS. INITIATIVE CONSTITUTIONAL AMENDMENT AND STATUTE.', 396, 1389997, 'CALIFORNIA COMMON CAUSE -- YES ON 54 AND 59 (NONPROFIT 501(C)(4)', 'SUPPORT', 'CALIFORNIA COMMON CAUSE -- YES ON 54 AND 59 (NONPROFIT 501(C)(4)', 2098058, '2016-07-01', 'KORMUNDOY', 'EDWARD', 'LOS ANGELES', 'CA', 90026, 'RETIRED', 'RETIRED', False, 100.0], ['ocd-contest/e0c5f9f0-63a9-4c15-9a5c-017e20ac15bc', 1381642, 73, 'PROPOSITION 054 - LEGISLATURE. LEGISLATION AND PROCEEDINGS. INITIATIVE CONSTITUTIONAL AMENDMENT AND STATUTE.', 396, 1389997, 'CALIFORNIA COMMON CAUSE -- YES ON 54 AND 59 (NONPROFIT 501(C)(4)', 'SUPPORT', 'CALIFORNIA COMMON CAUSE -- YES ON 54 AND 59 (NONPROFIT 501(C)(4)', 2098058, '2016-07-03', 'CARSON', 'RICHARD', 'NEVADA CITY', 'CA', 95959, 'RETIRED', 'RETIRED', False, 100.0], ['ocd-contest/e0c5f9f0-63a9-4c15-9a5c-017e20ac15bc', 1381642, 73, 'PROPOSITION 054 - LEGISLATURE. LEGISLATION AND PROCEEDINGS. INITIATIVE CONSTITUTIONAL AMENDMENT AND STATUTE.', 396, 1389997, 'CALIFORNIA COMMON CAUSE -- YES ON 54 AND 59 (NONPROFIT 501(C)(4)', 'SUPPORT', 'CALIFORNIA COMMON CAUSE -- YES ON 54 AND 59 (NONPROFIT 501(C)(4)', 2098058, '2016-09-20', 'MORRISON', 'JAMES', 'HUNTINGTON BEACH', 'CA', 92647, 'RETIRED', 'RETIRED', False, 59.0]]</t>
  </si>
  <si>
    <t>contributor_zip type should be string in the tables</t>
  </si>
  <si>
    <t>Source19_0</t>
  </si>
  <si>
    <t>[['ocd-contest/b51dc64d-3562-4913-a190-69f5088c22a6', 1376258, 70, 'PROPOSITION 051 - SCHOOL BONDS. FUNDING FOR K-12 SCHOOL AND COMMUNITY COLLEGE FACILITIES. INITIATIVE STATUTORY AMENDMENT.', 382, 1374469, 'YES ON PROPOSITION 51 - CALIFORNIANS FOR QUALITY SCHOOLS, SPONSORED AND FUNDED BY COALITION FOR ADEQUATE SCHOOL HOUSING ISSUES COMMITTEE AND CALIFORNIA BUILDING INDUSTRY ASSOCIATION ISSUES COMMITTEE', 'SUPPORT'], ['ocd-contest/b51dc64d-3562-4913-a190-69f5088c22a6', 1376258, 70, 'PROPOSITION 051 - SCHOOL BONDS. FUNDING FOR K-12 SCHOOL AND COMMUNITY COLLEGE FACILITIES. INITIATIVE STATUTORY AMENDMENT.', 383, 1220380, 'COMMUNITY COLLEGE FACILITY COALITION ISSUES COMMITTEE, YES ON 51', 'SUPPORT'], ['ocd-contest/b51dc64d-3562-4913-a190-69f5088c22a6', 1376258, 70, 'PROPOSITION 051 - SCHOOL BONDS. FUNDING FOR K-12 SCHOOL AND COMMUNITY COLLEGE FACILITIES. INITIATIVE STATUTORY AMENDMENT.', 384, 1282321, "TORLAKSON'S INVEST IN CALIFORNIA A BALLOT MEASURE COMMITTEE TO SUPPORT PROPOSITION 51, SUPERINTENDENT TOM", 'SUPPORT']]</t>
  </si>
  <si>
    <t>['ocd_prop_id', 'calaccess_prop_id', 'ccdc_prop_id', 'prop_name', 'ccdc_committee_id', 'calaccess_committee_id', 'committee_name', 'committee_position']</t>
  </si>
  <si>
    <t>CREATE TABLE IF NOT EXISTS Source19_0 (
    ocd_prop_id TEXT,
    calaccess_prop_id INTEGER,
    ccdc_prop_id INTEGER,
    prop_name TEXT,
    ccdc_committee_id INTEGER,
    calaccess_committee_id INTEGER,
    committee_name TEXT,
    committee_position TEXT
);
CREATE TABLE IF NOT EXISTS Source19_1 (
    calaccess_committee_id INTEGER,
    committee_name TEXT,
    calaccess_filing_id INTEGER,
    date_received DATE,
    contributor_lastname TEXT,
    contributor_firstname TEXT,
    contributor_city TEXT,
    contributor_state TEXT,
    contributor_zip INTEGER,
    contributor_employer TEXT,
    contributor_occupation TEXT,
    contributor_is_self_employed BOOLEAN,
    amount FLOAT
);
-- Step 2: Insert data into the source tables from CSV files
COPY Source19_0 FROM 'D:\lab\ChatGPTwithSQLscript\github-pipelines\length1_19\test_0.csv' DELIMITER ',' CSV HEADER NULL '';
COPY Source19_1 FROM 'D:\lab\ChatGPTwithSQLscript\github-pipelines\length1_19\test_1.csv' DELIMITER ',' CSV HEADER NULL '';
-- Step 3: Create the target table
CREATE TABLE IF NOT EXISTS Target1_19 (
    ocd_prop_id TEXT,
    calaccess_prop_id INTEGER,
    ccdc_prop_id INTEGER,
    prop_name TEXT,
    ccdc_committee_id INTEGER,
    calaccess_committee_id INTEGER,
    committee_name_x TEXT,
    committee_position TEXT,
    committee_name_y TEXT,
    calaccess_filing_id INTEGER,
    date_received DATE,
    contributor_lastname TEXT,
    contributor_firstname TEXT,
    contributor_city TEXT,
    contributor_state TEXT,
    contributor_zip INTEGER,
    contributor_employer TEXT,
    contributor_occupation TEXT,
    contributor_is_self_employed BOOLEAN,
    amount FLOAT
);
-- Step 4: Insert data into the target table by joining the source tables
INSERT INTO Target1_19 (
    ocd_prop_id,
    calaccess_prop_id,
    ccdc_prop_id,
    prop_name,
    ccdc_committee_id,
    calaccess_committee_id,
    committee_name_x,
    committee_position,
    committee_name_y,
    calaccess_filing_id,
    date_received,
    contributor_lastname,
    contributor_firstname,
    contributor_city,
    contributor_state,
    contributor_zip,
    contributor_employer,
    contributor_occupation,
    contributor_is_self_employed,
    amount
)
SELECT
    s0.ocd_prop_id,
    s0.calaccess_prop_id,
    s0.ccdc_prop_id,
    s0.prop_name,
    s0.ccdc_committee_id,
    s0.calaccess_committee_id,
    s0.committee_name,
    s0.committee_position,
    s1.committee_name,
    s1.calaccess_filing_id,
    s1.date_received,
    s1.contributor_lastname,
    s1.contributor_firstname,
    s1.contributor_city,
    s1.contributor_state,
    s1.contributor_zip,
    s1.contributor_employer,
    s1.contributor_occupation,
    s1.contributor_is_self_employed,
    s1.amount
FROM Source19_0 s0
JOIN Source19_1 s1 ON s0.calaccess_committee_id = s1.calaccess_committee_id;
-- Step 5: Export the result to a CSV file
COPY (SELECT * FROM Target1_19) TO 'D:\lab\ChatGPTwithSQLscript\github-pipelines\length1_19\Target1_19_result.csv' DELIMITER ',' CSV HEADER;</t>
  </si>
  <si>
    <t>ERROR:  invalid input syntax for type integer: "20036-5610"
CONTEXT:  COPY source19_1, line 56, column contributor_zip: "20036-5610"</t>
  </si>
  <si>
    <t>1.0, 1.0, 1.0, 1.0, 1.0, 1.0, 1.0, 1.0, 1.0, 1.0, 1.0, 1.0, 1.0, 1.0, 1.0, 1.0, 1.0, 1.0, 0.0, 1.0</t>
  </si>
  <si>
    <t xml:space="preserve">The csv file cont to compare is same but still last second column shows 0 matching. Check later. </t>
  </si>
  <si>
    <t>Source19_1</t>
  </si>
  <si>
    <t>[[1386560, 'ADULT USE CAMPAIGN FOR PROPOSITION 64; THE', 2083796, '2016-09-18', 'BERGMAN', 'GRETCHEN', 'SPRING VALLEY', 'CA', 91978, 'A NEW PATH', 'EXECUTIVE DIRECTOR', False, 84.0], [1386560, 'ADULT USE CAMPAIGN FOR PROPOSITION 64; THE', 2083796, '2016-09-18', 'KAHLE', 'MYRNA', 'SAN DIEGO', 'CA', 92109, 'NATIONAL SCHOOL DISTRICT', 'TEACHER', False, 35.0], [1386560, 'ADULT USE CAMPAIGN FOR PROPOSITION 64; THE', 2083796, '2016-07-15', 'MCDEVITT', 'LEO', 'ESCONDIDO', 'CA', 92025, 'LIFE IONIZERS', 'SEO/CONTENT MANAGER', False, 198.0]]</t>
  </si>
  <si>
    <t>['calaccess_committee_id', 'committee_name', 'calaccess_filing_id', 'date_received', 'contributor_lastname', 'contributor_firstname', 'contributor_city', 'contributor_state', 'contributor_zip', 'contributor_employer', 'contributor_occupation', 'contributor_is_self_employed', 'amount']</t>
  </si>
  <si>
    <t>L1_2</t>
  </si>
  <si>
    <t>Target1_2</t>
  </si>
  <si>
    <t>['tripduration', 'starttime', 'stoptime', 'start station id', 'start station name', 'start station latitude', 'start station longitude', 'end station id', 'end station name', 'end station latitude', 'end station longitude', 'bikeid', 'usertype', 'birth year', 'gender']</t>
  </si>
  <si>
    <t>[[131, '2018-05-01 07:29:57.5490', '2018-05-01 07:32:08.6160', 3183, 'Exchange Place', 40.7162469, -74.0334588, 3184, 'Paulus Hook', 40.7141454, -74.0335519, 29617, 'Subscriber', 1966, 1], [73, '2018-05-01 08:13:58.2560', '2018-05-01 08:15:11.9230', 3183, 'Exchange Place', 40.7162469, -74.0334588, 3184, 'Paulus Hook', 40.7141454, -74.0335519, 29288, 'Subscriber', 1975, 1], [4929, '2018-05-01 08:17:21.3110', '2018-05-01 09:39:31.0770', 3183, 'Exchange Place', 40.7162469, -74.0334588, 3183, 'Exchange Place', 40.7162469, -74.0334588, 29520, 'Customer', 1969, 0]]</t>
  </si>
  <si>
    <t>Source2_0</t>
  </si>
  <si>
    <t>[[329, '2018-06-01 07:07:00.2990', '2018-06-01 07:12:30.2220', 3183, 'Exchange Place', 40.7162469, -74.0334588, 3276, 'Marin Light Rail', 40.71458403535893, -74.04281705617905, 29513, 'Subscriber', 1991, 1], [259, '2018-06-01 08:24:43.8490', '2018-06-01 08:29:03.8450', 3183, 'Exchange Place', 40.7162469, -74.0334588, 3267, 'Morris Canal', 40.7124188237569, -74.03852552175522, 26221, 'Subscriber', 1989, 2], [686, '2018-06-01 09:17:49.5730', '2018-06-01 09:29:16.1770', 3183, 'Exchange Place', 40.7162469, -74.0334588, 3202, 'Newport PATH', 40.7272235, -74.03375890000002, 29266, 'Subscriber', 1990, 1]]</t>
  </si>
  <si>
    <t>DROP TABLE IF EXISTS Source2_0;
CREATE TABLE Source2_0 (
    tripduration INTEGER,
    starttime TIMESTAMP,
    stoptime TIMESTAMP,
    "start station id" INTEGER,
    "start station name" VARCHAR(255),
    "start station latitude" FLOAT,
    "start station longitude" FLOAT,
    "end station id" INTEGER,
    "end station name" VARCHAR(255),
    "end station latitude" FLOAT,
    "end station longitude" FLOAT,
    bikeid INTEGER,
    usertype VARCHAR(255),
    "birth year" INTEGER,
    gender INTEGER
);
DROP TABLE IF EXISTS Source2_1;
CREATE TABLE Source2_1 (
    tripduration INTEGER,
    starttime TIMESTAMP,
    stoptime TIMESTAMP,
    "start station id" INTEGER,
    "start station name" VARCHAR(255),
    "start station latitude" FLOAT,
    "start station longitude" FLOAT,
    "end station id" INTEGER,
    "end station name" VARCHAR(255),
    "end station latitude" FLOAT,
    "end station longitude" FLOAT,
    bikeid INTEGER,
    usertype VARCHAR(255),
    "birth year" INTEGER,
    gender INTEGER
);
-- Step 2: Insert data from CSV files into the source tables
COPY Source2_0 FROM 'D:\lab\ChatGPTwithSQLscript\github-pipelines\length1_2\test_0.csv' DELIMITER ',' CSV HEADER NULL '';
COPY Source2_1 FROM 'D:\lab\ChatGPTwithSQLscript\github-pipelines\length1_2\test_1.csv' DELIMITER ',' CSV HEADER NULL '';
-- Step 3: Create the target table
DROP TABLE IF EXISTS Target1_2;
CREATE TABLE Target1_2 (
    tripduration INTEGER,
    starttime TIMESTAMP,
    stoptime TIMESTAMP,
    "start station id" INTEGER,
    "start station name" VARCHAR(255),
    "start station latitude" FLOAT,
    "start station longitude" FLOAT,
    "end station id" INTEGER,
    "end station name" VARCHAR(255),
    "end station latitude" FLOAT,
    "end station longitude" FLOAT,
    bikeid INTEGER,
    usertype VARCHAR(255),
    "birth year" INTEGER,
    gender INTEGER
);
-- Step 4: Insert data from source tables into the target table
INSERT INTO Target1_2 (
    tripduration,
    starttime,
    stoptime,
    "start station id",
    "start station name",
    "start station latitude",
    "start station longitude",
    "end station id",
    "end station name",
    "end station latitude",
    "end station longitude",
    bikeid,
    usertype,
    "birth year",
    gender
)
SELECT
    tripduration,
    starttime,
    stoptime,
    "start station id",
    "start station name",
    "start station latitude",
    "start station longitude",
    "end station id",
    "end station name",
    "end station latitude",
    "end station longitude",
    bikeid,
    usertype,
    "birth year",
    gender
FROM
    Source2_0
UNION ALL
SELECT
    tripduration,
    starttime,
    stoptime,
    "start station id",
    "start station name",
    "start station latitude",
    "start station longitude",
    "end station id",
    "end station name",
    "end station latitude",
    "end station longitude",
    bikeid,
    usertype,
    "birth year",
    gender
FROM
    Source2_1;
-- Step 5: Export the result to a CSV file
COPY (
    SELECT *
    FROM Target1_2
) TO 'D:\lab\ChatGPTwithSQLscript\github-pipelines\length1_2\Target1_2_result.csv' DELIMITER ',' CSV HEADER;</t>
  </si>
  <si>
    <t>[0.0013109023377758358, 0.0, 0.0, 0.09558662879615469, 1.0, 0.09558662879615469, 0.09558662879615469, 0.04040128177117471, 1.0, 0.04040128177117471, 0.04040128177117471, 0.0019117325759230937, 1.0, 0.035813123588959286, 0.5586264656616415]</t>
  </si>
  <si>
    <t>The gpt generate results seems correct but due to ordering the accuracy is so low. Can not figure out the ordering.</t>
  </si>
  <si>
    <t>1.0, 0.0, 0.0, 1.0, 1.0, 1.0, 1.0, 1.0, 1.0, 1.0, 1.0, 1.0, 1.0, 1.0, 1.0</t>
  </si>
  <si>
    <t xml:space="preserve">The sim score is different </t>
  </si>
  <si>
    <t>Source2_1</t>
  </si>
  <si>
    <t xml:space="preserve">After checking both files, ordering </t>
  </si>
  <si>
    <t>L1_20</t>
  </si>
  <si>
    <t>['sex', 'smoker', 'total_bill', 'tip', 'size']</t>
  </si>
  <si>
    <t>[['Female', 'No', 18.846206896551728, 2.8279310344827597, 2.5172413793103448], ['Female', 'Yes', 18.504, 2.992, 2.0], ['Male', 'No', 19.666615384615387, 3.1616923076923067, 2.569230769230769]]</t>
  </si>
  <si>
    <t>Source20_0</t>
  </si>
  <si>
    <t>[[16.99, 1.01, 'Female', 'No', 'Sun', 'Dinner', 2], [10.34, 1.66, 'Male', 'No', 'Sun', 'Dinner', 3], [21.01, 3.5, 'Male', 'No', 'Sun', 'Dinner', 3]]</t>
  </si>
  <si>
    <t>['total_bill', 'tip', 'sex', 'smoker', 'day', 'time', 'size']</t>
  </si>
  <si>
    <t>L1_21</t>
  </si>
  <si>
    <t>['Major_category', 'Median']</t>
  </si>
  <si>
    <t>[['Agriculture &amp; Natural Resources', 55000.0], ['Biology &amp; Life Science', 51833.33333333334], ['Communications &amp; Journalism', 49500.0]]</t>
  </si>
  <si>
    <t>In target, for Major_category and Median type the  , Median are averaged from source table</t>
  </si>
  <si>
    <t>Source21_0</t>
  </si>
  <si>
    <t>[[1100, 'GENERAL AGRICULTURE', 'Agriculture &amp; Natural Resources', 128148, 90245, 74078, 2423, 0.026147106, 50000, 34000, 80000], [1101, 'AGRICULTURE PRODUCTION AND MANAGEMENT', 'Agriculture &amp; Natural Resources', 95326, 76865, 64240, 2266, 0.028636059, 54000, 36000, 80000], [1102, 'AGRICULTURAL ECONOMICS', 'Agriculture &amp; Natural Resources', 33955, 26321, 22810, 821, 0.030248324, 63000, 40000, 98000]]</t>
  </si>
  <si>
    <t>['Major_code', 'Major', 'Major_category', 'Total', 'Employed', 'Employed_full_time_year_round', 'Unemployed', 'Unemployment_rate', 'Median', 'P25th', 'P75th']</t>
  </si>
  <si>
    <t>DROP TABLE IF EXISTS Source21_0;
CREATE TABLE Source21_0 (
    Major_code INT,
    Major VARCHAR(255),
    Major_category VARCHAR(255),
    Total INT,
    Employed INT,
    Employed_full_time_year_round INT,
    Unemployed INT,
    Unemployment_rate FLOAT,
    Median INT,
    P25th INT,
    P75th INT
);
-- Insert sample rows into the source table
INSERT INTO Source21_0 (Major_code, Major, Major_category, Total, Employed, Employed_full_time_year_round, Unemployed, Unemployment_rate, Median, P25th, P75th)
VALUES (1100, 'GENERAL AGRICULTURE', 'Agriculture &amp; Natural Resources', 128148, 90245, 74078, 2423, 0.026147106, 50000, 34000, 80000),
       (1101, 'AGRICULTURE PRODUCTION AND MANAGEMENT', 'Agriculture &amp; Natural Resources', 95326, 76865, 64240, 2266, 0.028636059, 54000, 36000, 80000),
       (1102, 'AGRICULTURAL ECONOMICS', 'Agriculture &amp; Natural Resources', 33955, 26321, 22810, 821, 0.030248324, 63000, 40000, 98000);
-- Create the target table
DROP TABLE IF EXISTS Target1_21;
CREATE TABLE Target1_21 (
    Major_category VARCHAR(255),
    Median FLOAT
);
-- Insert rows from the source table into the target table
INSERT INTO Target1_21 (Major_category, Median)
SELECT Major_category, AVG(Median) AS Median
FROM Source21_0
GROUP BY Major_category;
-- Export the result to a CSV file
SELECT * FROM Target1_21;</t>
  </si>
  <si>
    <t>The SQL result is correct but comparision acc is 0</t>
  </si>
  <si>
    <t>CSV file upload have more columns</t>
  </si>
  <si>
    <t>success</t>
  </si>
  <si>
    <t>L1_22</t>
  </si>
  <si>
    <t>['condition', 'click']</t>
  </si>
  <si>
    <t>[[0, 253], [1, 246]]</t>
  </si>
  <si>
    <t>Source22_0</t>
  </si>
  <si>
    <t>[[1, 0], [0, 0], [0, 0]]</t>
  </si>
  <si>
    <t>L1_23</t>
  </si>
  <si>
    <t>['customer_id', 'amount']</t>
  </si>
  <si>
    <t>[[80.0, 75.0], [90.0, 121.33333333333331], [130.0, 60.0]]</t>
  </si>
  <si>
    <t>Source23_0</t>
  </si>
  <si>
    <t>[[760, 25, '2009-11-06'], [860, 50, '2012-09-28'], [1200, 100, '2005-10-25']]</t>
  </si>
  <si>
    <t>['customer_id', 'amount', 'date']</t>
  </si>
  <si>
    <t>L1_25</t>
  </si>
  <si>
    <t>Target1_25</t>
  </si>
  <si>
    <t>Source25_0</t>
  </si>
  <si>
    <t>DROP TABLE IF EXISTS Source25_0;
CREATE TABLE Source25_0 (
    State TEXT,
    Participation TEXT,
    English FLOAT,
    Math FLOAT,
    Reading FLOAT,
    Science FLOAT,
    Composite FLOAT
);
DROP TABLE IF EXISTS Source25_1;
CREATE TABLE Source25_1 (
    State TEXT,
    Participation TEXT,
    "Evidence-Based Reading and Writing" FLOAT,
    Math FLOAT,
    Total FLOAT
);
-- Step 2: Insert data into the source tables from CSV files
COPY Source25_0 FROM 'D:\lab\ChatGPTwithSQLscript\github-pipelines\length1_25\test_0.csv' DELIMITER ',' CSV HEADER NULL '';
COPY Source25_1 FROM 'D:\lab\ChatGPTwithSQLscript\github-pipelines\length1_25\test_1.csv' DELIMITER ',' CSV HEADER NULL '';
-- Step 3: Create the target table
DROP TABLE IF EXISTS Target1_25;
CREATE TABLE Target1_25 (
    State TEXT,
    Participation_x TEXT,
    English FLOAT,
    Math_x FLOAT,
    Reading FLOAT,
    Science FLOAT,
    Composite FLOAT,
    Participation_y TEXT,
    "Evidence-Based Reading and Writing" FLOAT,
    Math_y FLOAT,
    Total FLOAT
);
-- Step 4: Insert data into the target table by joining the source tables
INSERT INTO Target1_25 (
    State,
    Participation_x,
    English,
    Math_x,
    Reading,
    Science,
    Composite,
    Participation_y,
    "Evidence-Based Reading and Writing",
    Math_y,
    Total
)
SELECT
    s0.State,
    s0.Participation,
    s0.English,
    s0.Math,
    s0.Reading,
    s0.Science,
    s0.Composite,
    s1.Participation,
    s1."Evidence-Based Reading and Writing",
    s1.Math,
    s1.Total
FROM
    Source25_0 s0
JOIN
    Source25_1 s1 ON s0.State = s1.State;
-- Step 5: Export the result to a CSV file
COPY Target1_25 TO 'D:\lab\ChatGPTwithSQLscript\github-pipelines\length1_25\Target1_25_result.csv' DELIMITER ',' CSV HEADER;</t>
  </si>
  <si>
    <t>Source25_1</t>
  </si>
  <si>
    <t>L1_27</t>
  </si>
  <si>
    <t>['day_week', 'ENTRIESn', 'EXITSn', 'ENTRIESn_hourly', 'EXITSn_hourly', 'hour', 'weekday', 'latitude', 'longitude', 'fog', 'precipi', 'pressurei', 'rain', 'tempi', 'wspdi', 'meanprecipi', 'meanpressurei', 'meantempi', 'meanwspdi', 'weather_lat', 'weather_lon']</t>
  </si>
  <si>
    <t>[[0.0, 41334339.33534309, 28585085.11857594, 2586.123169681309, 1856.9204708584552, 9.987941429801896, 1.0, 40.74000497243772, -73.93944350760863, 0.0, 0.0006057995980476603, 29.992896927935597, 0.22078667815101924, 62.5368934826296, 8.040453631926482, 0.0006057995980476656, 29.99287635180396, 62.53808976935586, 8.040841228825597, 40.74122319867967, -73.94012390956115], [1.0, 40986712.2318716, 28448771.972198334, 3105.145027228433, 2198.6319862424757, 9.975351103468043, 1.0, 40.74030948208674, -73.93931545887101, 0.006878761822871883, 0.013511034680424241, 29.97894812267107, 0.2003439380911436, 65.74829464029786, 8.44284895385487, 0.013511034680424087, 29.978948122671277, 65.74829464030088, 8.442848953854938, 40.741456139581906, -73.9399656231016], [2.0, 39965661.09031079, 27758647.87678245, 3268.891773308958, 2325.6416819012798, 10.044606946983548, 1.0, 40.73980380767834, -73.93989930310838, 0.0380255941499086, 0.010756855575868356, 29.97335648994529, 0.5023765996343693, 61.41265082266914, 7.8747714808043625, 0.010756855575868522, 29.97335648994478, 61.412650822667224, 7.874771480804461, 40.7409328270569, -73.94060192504577]]</t>
  </si>
  <si>
    <t>Source27_0</t>
  </si>
  <si>
    <t>[['R003', '05-01-11', '00:00:00', 4388333, 2911002, 0, 0, '2011-05-01 00:00:00', 0, 6, 0, 'CYPRESS HILLS', 40.689945, -73.872564, 'Clear', 0, 0.0, 30.22, 0, 55.9, 3.5, 0.0, 30.25800000000001, 55.98, 7.8599999999999985, 40.700348, -73.88717700000002], ['R003', '05-01-11', '04:00:00', 4388333, 2911002, 0, 0, '2011-05-01 04:00:00', 4, 6, 0, 'CYPRESS HILLS', 40.689945, -73.872564, 'Partly Cloudy', 0, 0.0, 30.25, 0, 52.0, 3.5, 0.0, 30.25800000000001, 55.98, 7.8599999999999985, 40.700348, -73.88717700000002], ['R003', '05-01-11', '12:00:00', 4388333, 2911002, 0, 0, '2011-05-01 12:00:00', 12, 6, 0, 'CYPRESS HILLS', 40.689945, -73.872564, 'Mostly Cloudy', 0, 0.0, 30.28, 0, 62.1, 6.9, 0.0, 30.25800000000001, 55.98, 7.8599999999999985, 40.700348, -73.88717700000002]]</t>
  </si>
  <si>
    <t>['UNIT', 'DATEn', 'TIMEn', 'ENTRIESn', 'EXITSn', 'ENTRIESn_hourly', 'EXITSn_hourly', 'datetime', 'hour', 'day_week', 'weekday', 'station', 'latitude', 'longitude', 'conds', 'fog', 'precipi', 'pressurei', 'rain', 'tempi', 'wspdi', 'meanprecipi', 'meanpressurei', 'meantempi', 'meanwspdi', 'weather_lat', 'weather_lon']</t>
  </si>
  <si>
    <t>L1_29</t>
  </si>
  <si>
    <t>['Gender', '0']</t>
  </si>
  <si>
    <t>[['Female', 56], ['Male', 325], ['Other / Non-Disclosed', 9]]</t>
  </si>
  <si>
    <t>In target, For Gender the 0 is total count for Gender in source table.</t>
  </si>
  <si>
    <t>Source29_0</t>
  </si>
  <si>
    <t>[[0, 'Lisim78', 20, 'Male', 108, 'Extraction, Quickblade Of Trembling Hands', 3.53], [1, 'Lisovynya38', 40, 'Male', 143, 'Frenzied Scimitar', 1.56], [2, 'Ithergue48', 24, 'Male', 92, 'Final Critic', 4.88]]</t>
  </si>
  <si>
    <t>['Purchase ID', 'SN', 'Age', 'Gender', 'Item ID', 'Item Name', 'Price']</t>
  </si>
  <si>
    <t>DROP TABLE IF EXISTS Source29_0;
-- Create the source table
CREATE TABLE Source29_0 (
    "Purchase ID" INTEGER,
    "SN" VARCHAR(255),
    "Age" INTEGER,
    "Gender" VARCHAR(255),
    "Item ID" INTEGER,
    "Item Name" VARCHAR(255),
    "Price" NUMERIC(10, 2)
);
-- Insert sample rows into the source table
INSERT INTO Source29_0 ("Purchase ID", "SN", "Age", "Gender", "Item ID", "Item Name", "Price")
VALUES (0, 'Lisim78', 20, 'Male', 108, 'Extraction, Quickblade Of Trembling Hands', 3.53),
       (1, 'Lisovynya38', 40, 'Male', 143, 'Frenzied Scimitar', 1.56),
       (2, 'Ithergue48', 24, 'Male', 92, 'Final Critic', 4.88);
-- Drop the target table if it exists
DROP TABLE IF EXISTS Target1_29;
-- Create the target table
CREATE TABLE Target1_29 (
    "Gender" VARCHAR(255),
    "0" INTEGER
);
-- Insert rows from the source table into the target table
INSERT INTO Target1_29 ("Gender", "0")
SELECT "Gender", COUNT(*) AS "0"
FROM Source29_0
GROUP BY "Gender";
-- Export the result to a CSV file
COPY (SELECT * FROM Target1_29) TO 'D:\lab\ChatGPTwithSQLscript\github-pipelines\length1_29\Target1_29_result.csv' DELIMITER ',' CSV HEADER;</t>
  </si>
  <si>
    <t>L1_3</t>
  </si>
  <si>
    <t>The median is target is for each major_category in source.</t>
  </si>
  <si>
    <t>Source3_0</t>
  </si>
  <si>
    <t>CREATE TABLE Source3_0 (
    Major_code INT,
    Major VARCHAR(255),
    Major_category VARCHAR(255),
    Total INT,
    Employed INT,
    Employed_full_time_year_round INT,
    Unemployed INT,
    Unemployment_rate FLOAT,
    Median INT,
    P25th INT,
    P75th INT
);
-- Insert sample rows into the source table
INSERT INTO Source3_0 (Major_code, Major, Major_category, Total, Employed, Employed_full_time_year_round, Unemployed, Unemployment_rate, Median, P25th, P75th)
VALUES (1100, 'GENERAL AGRICULTURE', 'Agriculture &amp; Natural Resources', 128148, 90245, 74078, 2423, 0.026147106, 50000, 34000, 80000),
       (1101, 'AGRICULTURE PRODUCTION AND MANAGEMENT', 'Agriculture &amp; Natural Resources', 95326, 76865, 64240, 2266, 0.028636059, 54000, 36000, 80000),
       (1102, 'AGRICULTURAL ECONOMICS', 'Agriculture &amp; Natural Resources', 33955, 26321, 22810, 821, 0.030248324, 63000, 40000, 98000);
-- Drop the target table if it exists
DROP TABLE IF EXISTS Target1_3;
-- Create the target table
CREATE TABLE Target1_3 (
    Major_category VARCHAR(255),
    Median INT
);
-- Insert rows from the source table into the target table
INSERT INTO Target1_3 (Major_category, Median)
SELECT Major_category, Median
FROM Source3_0;
SELECT * FROM Target1_3;</t>
  </si>
  <si>
    <t>L1_30</t>
  </si>
  <si>
    <t>Target1_30</t>
  </si>
  <si>
    <t>['movieId', 'title', 'genres', 'userId', 'tag', 'timestamp']</t>
  </si>
  <si>
    <t>[[1, 'Toy Story (1995)', 'Adventure|Animation|Children|Comedy|Fantasy', 501, 'Pixar', 1292956344], [5, 'Father of the Bride Part II (1995)', 'Comedy', 431, 'steve martin', 1140455432], [47, 'Seven (a.k.a. Se7en) (1995)', 'Mystery|Thriller', 364, 'biblical', 1444534976]]</t>
  </si>
  <si>
    <t>Use Join on source tables</t>
  </si>
  <si>
    <t>Source30_0</t>
  </si>
  <si>
    <t>[[15, 339, "sandra 'boring' bullock", 1138537770], [15, 1955, 'dentist', 1193435061], [15, 7478, 'Cambodia', 1170560997]]</t>
  </si>
  <si>
    <t>['userId', 'movieId', 'tag', 'timestamp']</t>
  </si>
  <si>
    <t>DROP TABLE IF EXISTS Source30_0;
CREATE TABLE Source30_0 (
    userId INT,
    movieId INT,
    tag TEXT,
    timestamp INT
);
-- Insert data into the first source table from CSV file
COPY Source30_0 (userId, movieId, tag, timestamp)
FROM 'D:\lab\ChatGPTwithSQLscript\github-pipelines\length1_30\test_0.csv'
DELIMITER ','
CSV HEADER NULL '';
-- Create the second source table
DROP TABLE IF EXISTS Source30_1;
CREATE TABLE Source30_1 (
    movieId INT,
    title TEXT,
    genres TEXT
);
-- Insert data into the second source table from CSV file
COPY Source30_1 (movieId, title, genres)
FROM 'D:\lab\ChatGPTwithSQLscript\github-pipelines\length1_30\test_1.csv'
DELIMITER ','
CSV HEADER NULL '';
-- Create the target table
DROP TABLE IF EXISTS Target1_30;
CREATE TABLE Target1_30 (
    movieId INT,
    title TEXT,
    genres TEXT,
    userId INT,
    tag TEXT,
    timestamp INT
);
-- Insert data into the target table by joining the source tables
INSERT INTO Target1_30 (movieId, title, genres, userId, tag, timestamp)
SELECT s1.movieId, s2.title, s2.genres, s1.userId, s1.tag, s1.timestamp
FROM Source30_0 s1
JOIN Source30_1 s2 ON s1.movieId = s2.movieId;
-- Export the result to a CSV file
COPY (SELECT * FROM Target1_30)
TO 'D:\lab\ChatGPTwithSQLscript\github-pipelines\length1_30\Target1_30_result.csv'
DELIMITER ','
CSV HEADER;</t>
  </si>
  <si>
    <t>1.0, 1.0, 1.0, 0.8536155202821869, 1.0, 0.5343915343915344</t>
  </si>
  <si>
    <t>The SQL is correct and low score is because of exat matching and ordering mismatch in some columns.</t>
  </si>
  <si>
    <t>Source30_1</t>
  </si>
  <si>
    <t>[[1, 'Toy Story (1995)', 'Adventure|Animation|Children|Comedy|Fantasy'], [2, 'Jumanji (1995)', 'Adventure|Children|Fantasy'], [3, 'Grumpier Old Men (1995)', 'Comedy|Romance']]</t>
  </si>
  <si>
    <t>['movieId', 'title', 'genres']</t>
  </si>
  <si>
    <t>L1_31</t>
  </si>
  <si>
    <t>Target1_31</t>
  </si>
  <si>
    <t>['State', 'Participation_x', 'Evidence-Based Reading and Writing', 'Math_x', 'Total', 'Participation_y', 'English', 'Math_y', 'Reading', 'Science', 'Composite']</t>
  </si>
  <si>
    <t>[['Alabama', '5%', 593, 572, 1165, '100%', 18.9, 18.4, 19.7, 19.4, 19.2], ['Alaska', '38%', 547, 533, 1080, '65%', 18.7, 19.8, 20.4, 19.9, 19.8], ['Arizona', '30%', 563, 553, 1116, '62%', 18.6, 19.8, 20.1, 19.8, 19.7]]</t>
  </si>
  <si>
    <t>Source31_0</t>
  </si>
  <si>
    <t>DROP TABLE IF EXISTS Source31_0;
CREATE TABLE Source31_0 (
    State VARCHAR,
    Participation VARCHAR,
    "Evidence-Based Reading and Writing" FLOAT,
    Math FLOAT,
    Total FLOAT
);
-- Insert data into the first source table Source31_0
COPY Source31_0 FROM 'D:\lab\ChatGPTwithSQLscript\github-pipelines\length1_31\test_0.csv' DELIMITER ',' CSV NULL '';
-- Create the second source table Source31_1
DROP TABLE IF EXISTS Source31_1;
CREATE TABLE Source31_1 (
    State VARCHAR,
    Participation VARCHAR,
    English FLOAT,
    Math FLOAT,
    Reading FLOAT,
    Science FLOAT,
    Composite FLOAT
);
-- Insert data into the second source table Source31_1
COPY Source31_1 FROM 'D:\lab\ChatGPTwithSQLscript\github-pipelines\length1_31\test_1.csv' DELIMITER ',' CSV NULL '';
-- Create the target table Target1_31
DROP TABLE IF EXISTS Target1_31;
CREATE TABLE Target1_31 (
    State VARCHAR,
    Participation_x VARCHAR,
    "Evidence-Based Reading and Writing" FLOAT,
    Math_x FLOAT,
    Total FLOAT,
    Participation_y VARCHAR,
    English FLOAT,
    Math_y FLOAT,
    Reading FLOAT,
    Science FLOAT,
    Composite FLOAT
);
-- Insert data into the target table Target1_31 by joining the source tables
INSERT INTO Target1_31 (
    State,
    Participation_x,
    "Evidence-Based Reading and Writing",
    Math_x,
    Total,
    Participation_y,
    English,
    Math_y,
    Reading,
    Science,
    Composite
)
SELECT
    s0.State,
    s0.Participation,
    s0."Evidence-Based Reading and Writing",
    s0.Math,
    s0.Total,
    s1.Participation,
    s1.English,
    s1.Math,
    s1.Reading,
    s1.Science,
    s1.Composite
FROM
    Source31_0 s0
JOIN
    Source31_1 s1 ON s0.State = s1.State;
-- Export the SQL result to a CSV file
COPY (
    SELECT * FROM Target1_31
) TO 'D:\lab\ChatGPTwithSQLscript\github-pipelines\length1_31\Target1_31_result.csv' DELIMITER ',' CSV HEADER;</t>
  </si>
  <si>
    <t>SQL Result: Error: ERROR:  invalid input syntax for type double precision: "Evidence-Based Reading and Writing"
CONTEXT:  COPY source31_0, line 1, column Evidence-Based Reading and Writing: "Evidence-Based Reading and Writing"</t>
  </si>
  <si>
    <t>DROP TABLE IF EXISTS Source31_0;
CREATE TABLE Source31_0 (
    State VARCHAR,
    Participation VARCHAR,
    "Evidence-Based Reading and Writing" INTEGER,
    Math INTEGER,
    Total INTEGER
);
-- Insert data into the first source table
COPY Source31_0 FROM 'D:\lab\ChatGPTwithSQLscript\github-pipelines\length1_31\test_0.csv' DELIMITER ',' CSV HEADER NULL '';
-- Create the second source table
DROP TABLE IF EXISTS Source31_1;
CREATE TABLE Source31_1 (
    State VARCHAR,
    Participation VARCHAR,
    English FLOAT,
    Math FLOAT,
    Reading FLOAT,
    Science FLOAT,
    Composite FLOAT
);
-- Insert data into the second source table
COPY Source31_1 FROM 'D:\lab\ChatGPTwithSQLscript\github-pipelines\length1_31\test_1.csv' DELIMITER ',' CSV HEADER NULL '';
-- Create the target table
DROP TABLE IF EXISTS Target1_31;
CREATE TABLE Target1_31 (
    State VARCHAR,
    Participation_x VARCHAR,
    "Evidence-Based Reading and Writing" INTEGER,
    Math_x INTEGER,
    Total INTEGER,
    Participation_y VARCHAR,
    English FLOAT,
    Math_y FLOAT,
    Reading FLOAT,
    Science FLOAT,
    Composite FLOAT
);
-- Insert data into the target table by joining the source tables
INSERT INTO Target1_31 (
    State,
    Participation_x,
    "Evidence-Based Reading and Writing",
    Math_x,
    Total,
    Participation_y,
    English,
    Math_y,
    Reading,
    Science,
    Composite
)
SELECT
    s0.State,
    s0.Participation,
    s0."Evidence-Based Reading and Writing",
    s0.Math,
    s0.Total,
    s1.Participation,
    s1.English,
    s1.Math,
    s1.Reading,
    s1.Science,
    s1.Composite
FROM
    Source31_0 s0
JOIN
    Source31_1 s1 ON s0.State = s1.State;
-- Export the result to a CSV file
COPY (SELECT * FROM Target1_31) TO 'D:\lab\ChatGPTwithSQLscript\github-pipelines\length1_31\Target1_31_result.csv' DELIMITER ',' CSV HEADER;</t>
  </si>
  <si>
    <t>Source31_1</t>
  </si>
  <si>
    <t>L1_34</t>
  </si>
  <si>
    <t>['V_GENE']</t>
  </si>
  <si>
    <t>[['IGHJ5*02'], ['IGHJ4*02'], ['IGHJ4*02']]</t>
  </si>
  <si>
    <t>J_call should map to V_GENE</t>
  </si>
  <si>
    <t>Source34_0</t>
  </si>
  <si>
    <t>['J_CALL']</t>
  </si>
  <si>
    <t>DROP TABLE IF EXISTS Source34_0;
-- Create the source table
CREATE TABLE Source34_0 (
    J_CALL VARCHAR(255)
);
-- Insert sample rows into the source table
INSERT INTO Source34_0 (J_CALL) VALUES
    ('IGHJ5*02'),
    ('IGHJ4*02'),
    ('IGHJ4*02');
-- Drop the target table if it exists
DROP TABLE IF EXISTS Target1_34;
-- Create the target table
CREATE TABLE Target1_34 (
    V_GENE VARCHAR(255)
);
-- Insert rows from the source table into the target table
INSERT INTO Target1_34 (V_GENE)
SELECT J_CALL AS V_GENE
FROM Source34_0;
-- Export the result to a CSV file
COPY (SELECT * FROM Target1_34) TO 'D:\lab\ChatGPTwithSQLscript\github-pipelines\length1_34\Target1_34_result.csv' DELIMITER ',' CSV HEADER;</t>
  </si>
  <si>
    <t>L1_35</t>
  </si>
  <si>
    <t>['Source Zipcode', 'Counts']</t>
  </si>
  <si>
    <t>[[90230, 1], [90715, 1], [91104, 1]]</t>
  </si>
  <si>
    <t>The Counts in target is total number of counts for each source zipcode.</t>
  </si>
  <si>
    <t>Source35_0</t>
  </si>
  <si>
    <t>[[90230, 'Private Education and Health Services', 1], [90715, 'Accommodations', 1], [91104, 'Financial Services', 1]]</t>
  </si>
  <si>
    <t>['Source Zipcode', 'NAICS Code Description', 'Counts']</t>
  </si>
  <si>
    <t>DROP TABLE IF EXISTS Source35_0;
-- Create the source table
CREATE TABLE Source35_0 (
    "Source Zipcode" INTEGER,
    "NAICS Code Description" VARCHAR,
    "Counts" INTEGER
);
-- Insert sample rows into the source table
INSERT INTO Source35_0 ("Source Zipcode", "NAICS Code Description", "Counts")
VALUES (90230, 'Private Education and Health Services', 1),
       (90715, 'Accommodations', 1),
       (91104, 'Financial Services', 1);
-- Drop the target table if it exists
DROP TABLE IF EXISTS Target1_35;
-- Create the target table
CREATE TABLE Target1_35 (
    "Source Zipcode" INTEGER,
    "Counts" INTEGER
);
-- Insert rows from the source table into the target table
INSERT INTO Target1_35 ("Source Zipcode", "Counts")
SELECT "Source Zipcode", "Counts"
FROM Source35_0;
-- Export the result to a CSV file
COPY (SELECT * FROM Target1_35) TO 'D:\lab\ChatGPTwithSQLscript\github-pipelines\length1_35\Target1_35_result.csv' DELIMITER ',' CSV HEADER;</t>
  </si>
  <si>
    <t>L1_36</t>
  </si>
  <si>
    <t>Target1_36</t>
  </si>
  <si>
    <t>[[201, '2019-01-01 03:09:09.7110', '2019-01-01 03:12:30.8790', 3183, 'Exchange Place', 40.7162469, -74.0334588, 3214, 'Essex Light Rail', 40.71277420000001, -74.03648570000001, 29612, 'Subscriber', 1993, 1], [505, '2019-01-01 05:18:00.1060', '2019-01-01 05:26:25.9050', 3183, 'Exchange Place', 40.7162469, -74.0334588, 3638, 'Washington St', 40.7242941, -74.0354826, 29213, 'Subscriber', 1972, 2], [756, '2019-01-01 10:36:33.3400', '2019-01-01 10:49:10.2600', 3183, 'Exchange Place', 40.7162469, -74.0334588, 3192, 'Liberty Light Rail', 40.7112423, -74.0557013, 26164, 'Subscriber', 1985, 1]]</t>
  </si>
  <si>
    <t>starttime and stoptime are time type.</t>
  </si>
  <si>
    <t>Source36_0</t>
  </si>
  <si>
    <t>[[142, '2019-02-01 15:35:02.0820', '2019-02-01 15:37:24.1360', 3183, 'Exchange Place', 40.7162469, -74.0334588, 3639, 'Harborside', 40.71925170000001, -74.034234, 29677, 'Subscriber', 1963, 1], [223, '2019-02-01 17:00:46.8900', '2019-02-01 17:04:30.5500', 3183, 'Exchange Place', 40.7162469, -74.0334588, 3681, 'Grand St', 40.71517767732029, -74.03768330812454, 26234, 'Subscriber', 1992, 2], [106, '2019-02-01 17:08:01.3260', '2019-02-01 17:09:47.4400', 3183, 'Exchange Place', 40.7162469, -74.0334588, 3184, 'Paulus Hook', 40.7141454, -74.0335519, 29588, 'Subscriber', 1960, 1]]</t>
  </si>
  <si>
    <t>DROP TABLE IF EXISTS Source36_0;
CREATE TABLE Source36_0 (
    tripduration INT,
    starttime TIMESTAMP,
    stoptime TIMESTAMP,
    "start station id" INT,
    "start station name" VARCHAR(255),
    "start station latitude" FLOAT,
    "start station longitude" FLOAT,
    "end station id" INT,
    "end station name" VARCHAR(255),
    "end station latitude" FLOAT,
    "end station longitude" FLOAT,
    bikeid INT,
    usertype VARCHAR(255),
    "birth year" INT,
    gender INT
);
-- Insert rows into the first source table Source36_0
INSERT INTO Source36_0 (tripduration, starttime, stoptime, "start station id", "start station name", "start station latitude", "start station longitude", "end station id", "end station name", "end station latitude", "end station longitude", bikeid, usertype, "birth year", gender)
VALUES (142, '2019-02-01 15:35:02.0820', '2019-02-01 15:37:24.1360', 3183, 'Exchange Place', 40.7162469, -74.0334588, 3639, 'Harborside', 40.71925170000001, -74.034234, 29677, 'Subscriber', 1963, 1),
       (223, '2019-02-01 17:00:46.8900', '2019-02-01 17:04:30.5500', 3183, 'Exchange Place', 40.7162469, -74.0334588, 3681, 'Grand St', 40.71517767732029, -74.03768330812454, 26234, 'Subscriber', 1992, 2),
       (106, '2019-02-01 17:08:01.3260', '2019-02-01 17:09:47.4400', 3183, 'Exchange Place', 40.7162469, -74.0334588, 3184, 'Paulus Hook', 40.7141454, -74.0335519, 29588, 'Subscriber', 1960, 1);
-- Create the second source table Source36_1
DROP TABLE IF EXISTS Source36_1;
CREATE TABLE Source36_1 (
    tripduration INT,
    starttime TIMESTAMP,
    stoptime TIMESTAMP,
    "start station id" INT,
    "start station name" VARCHAR(255),
    "start station latitude" FLOAT,
    "start station longitude" FLOAT,
    "end station id" INT,
    "end station name" VARCHAR(255),
    "end station latitude" FLOAT,
    "end station longitude" FLOAT,
    bikeid INT,
    usertype VARCHAR(255),
    "birth year" INT,
    gender INT
);
-- Insert rows into the second source table Source36_1
INSERT INTO Source36_1 (tripduration, starttime, stoptime, "start station id", "start station name", "start station latitude", "start station longitude", "end station id", "end station name", "end station latitude", "end station longitude", bikeid, usertype, "birth year", gender)
VALUES (201, '2019-01-01 03:09:09.7110', '2019-01-01 03:12:30.8790', 3183, 'Exchange Place', 40.7162469, -74.0334588, 3214, 'Essex Light Rail', 40.71277420000001, -74.03648570000001, 29612, 'Subscriber', 1993, 1),
       (505, '2019-01-01 05:18:00.1060', '2019-01-01 05:26:25.9050', 3183, 'Exchange Place', 40.7162469, -74.0334588, 3638, 'Washington St', 40.7242941, -74.0354826, 29213, 'Subscriber', 1972, 2),
       (756, '2019-01-01 10:36:33.3400', '2019-01-01 10:49:10.2600', 3183, 'Exchange Place', 40.7162469, -74.0334588, 3192, 'Liberty Light Rail', 40.7112423, -74.0557013, 26164, 'Subscriber', 1985, 1);
-- Create the target table Target1_36
DROP TABLE IF EXISTS Target1_36;
CREATE TABLE Target1_36 (
    tripduration INT,
    starttime TIMESTAMP,
    stoptime TIMESTAMP,
    "start station id" INT,
    "start station name" VARCHAR(255),
    "start station latitude" FLOAT,
    "start station longitude" FLOAT,
    "end station id" INT,
    "end station name" VARCHAR(255),
    "end station latitude" FLOAT,
    "end station longitude" FLOAT,
    bikeid INT,
    usertype VARCHAR(255),
    "birth year" INT,
    gender INT
);
-- Insert rows into the target table Target1_36 by joining the source tables
INSERT INTO Target1_36 (tripduration, starttime, stoptime, "start station id", "start station name", "start station latitude", "start station longitude", "end station id", "end station name", "end station latitude", "end station longitude", bikeid, usertype, "birth year", gender)
SELECT s0.tripduration, s0.starttime, s0.stoptime, s0."start station id", s0."start station name", s0."start station latitude", s0."start station longitude", s0."end station id", s0."end station name", s0."end station latitude", s0."end station longitude", s0.bikeid, s0.usertype, s0."birth year", s0.gender
FROM Source36_0 s0
UNION ALL
SELECT s1.tripduration, s1.starttime, s1.stoptime, s1."start station id", s1."start station name", s1."start station latitude", s1."start station longitude", s1."end station id", s1."end station name", s1."end station latitude", s1."end station longitude", s1.bikeid, s1.usertype, s1."birth year", s1.gender
FROM Source36_1 s1;
-- Export the result to a CSV file
COPY (SELECT * FROM Target1_36) TO 'D:\lab\ChatGPTwithSQLscript\github-pipelines\length1_36\Target1_36_result.csv' DELIMITER ',' CSV HEADER;</t>
  </si>
  <si>
    <t xml:space="preserve">It is not a join, stack operation could be there. Test_1 file have same City hall values as target. </t>
  </si>
  <si>
    <t>ERROR:  invalid input syntax for type timestamp: "35:02.1"</t>
  </si>
  <si>
    <t>Source36_1</t>
  </si>
  <si>
    <t>L1_37</t>
  </si>
  <si>
    <t>Target1_37</t>
  </si>
  <si>
    <t>['business_id', 'Score', 'date', 'type', 'ViolationTypeID', 'risk_category', 'description']</t>
  </si>
  <si>
    <t>[[10, 94.0, 20140729, 'Routine - Unscheduled', 103129, 'Moderate Risk', 'Insufficient hot water or running water'], [10, 94.0, 20140729, 'Routine - Unscheduled', 103144, 'Low Risk', 'Unapproved or unmaintained equipment or utensils'], [10, 92.0, 20140114, 'Routine - Unscheduled', 103154, 'Low Risk', 'Unclean or degraded floors walls or ceilings']]</t>
  </si>
  <si>
    <t>Use Join on source tables on business_id and date.</t>
  </si>
  <si>
    <t>Source37_0</t>
  </si>
  <si>
    <t>[[10, nan, 20140807, 'Reinspection/Followup'], [10, 94.0, 20140729, 'Routine - Unscheduled'], [10, nan, 20140124, 'Reinspection/Followup']]</t>
  </si>
  <si>
    <t>['business_id', 'Score', 'date', 'type']</t>
  </si>
  <si>
    <t>DROP TABLE IF EXISTS Source37_0;
CREATE TABLE Source37_0 (
    business_id INTEGER,
    Score FLOAT,
    date INTEGER,
    type VARCHAR
);
DROP TABLE IF EXISTS Source37_1;
CREATE TABLE Source37_1 (
    business_id INTEGER,
    date INTEGER,
    ViolationTypeID INTEGER,
    risk_category VARCHAR,
    description VARCHAR
);
-- Step 2: Insert data into the source tables
COPY Source37_0 (business_id, Score, date, type)
FROM 'D:\lab\ChatGPTwithSQLscript\github-pipelines\length1_37\test_0.csv'
DELIMITER ','
CSV HEADER NULL '';
COPY Source37_1 (business_id, date, ViolationTypeID, risk_category, description)
FROM 'D:\lab\ChatGPTwithSQLscript\github-pipelines\length1_37\test_1.csv'
DELIMITER ','
CSV HEADER NULL '';
-- Step 3: Create the target table
DROP TABLE IF EXISTS Target1_37;
CREATE TABLE Target1_37 (
    business_id INTEGER,
    Score FLOAT,
    date INTEGER,
    type VARCHAR,
    ViolationTypeID INTEGER,
    risk_category VARCHAR,
    description VARCHAR
);
-- Step 4: Insert data into the target table
INSERT INTO Target1_37 (business_id, Score, date, type, ViolationTypeID, risk_category, description)
SELECT s0.business_id, s0.Score, s0.date, s0.type, s1.ViolationTypeID, s1.risk_category, s1.description
FROM Source37_0 s0
JOIN Source37_1 s1 ON s0.business_id = s1.business_id AND s0.date = s1.date;
-- Step 5: Export the result to a CSV file
COPY (SELECT * FROM Target1_37)
TO 'D:\lab\ChatGPTwithSQLscript\github-pipelines\length1_37\Target1_37_result.csv'
DELIMITER ','
CSV HEADER;</t>
  </si>
  <si>
    <t>Validation fails due to validation script, sql is correct after target data description. After updating validation script for numerical_similarity, the similarity score was calculated.</t>
  </si>
  <si>
    <t>False [0.8740395809080326, 0.23031431897555296, 0.21373690337601864, 1.0, 0.11590221187427241, 0.6, 0.9701492537313433]</t>
  </si>
  <si>
    <t>Error: ERROR:  invalid input syntax for type double precision: ""
CONTEXT:  COPY source37_0, line 2, column score: ""</t>
  </si>
  <si>
    <t>Source37_1</t>
  </si>
  <si>
    <t>[[10, 20140114, 103154, 'Low Risk', 'Unclean or degraded floors walls or ceilings'], [10, 20140114, 103119, 'Moderate Risk', 'Inadequate and inaccessible handwashing facilities'], [10, 20140114, 103145, 'Low Risk', 'Improper storage of equipment utensils or linens']]</t>
  </si>
  <si>
    <t>['business_id', 'date', 'ViolationTypeID', 'risk_category', 'description']</t>
  </si>
  <si>
    <t>L1_38</t>
  </si>
  <si>
    <t>['user_id', 'sad', 'stressed']</t>
  </si>
  <si>
    <t>[[2.0, 0.4081632653061225, 0.17346938775510204], [4.0, 0.0078125, 0.015625], [5.0, 0.0, 0.037037037037037035]]</t>
  </si>
  <si>
    <t>In target, the sad and stressed are average for each user id in source. Final table have order as per user_id.</t>
  </si>
  <si>
    <t>Source38_0</t>
  </si>
  <si>
    <t>[[2, '2009-01-09 19:38:00', 0, 0, 0, 0, 1, 1], [2, '2009-01-10 13:36:00', 0, 0, 0, 0, 1, 1], [2, '2009-01-11 12:58:00', 0, 0, 0, 0, 0, 0]]</t>
  </si>
  <si>
    <t>['user_id', 'time', 'sore.throat.cough', 'runnynose.congestion.sneezing', 'fever', 'nausea.vomiting.diarrhea', 'sad.depressed', 'open.stressed']</t>
  </si>
  <si>
    <t>DROP TABLE IF EXISTS Source38_0;
-- Create the source table
CREATE TABLE Source38_0 (
    user_id INTEGER,
    time TIMESTAMP,
    sore_throat_cough INTEGER,
    runnynose_congestion_sneezing INTEGER,
    fever INTEGER,
    nausea_vomiting_diarrhea INTEGER,
    sad_depressed INTEGER,
    open_stressed INTEGER
);
-- Insert sample rows into the source table
-- INSERT INTO Source38_0 (user_id, time, sore_throat_cough, runnynose_congestion_sneezing, fever, nausea_vomiting_diarrhea, sad_depressed, open_stressed)
-- VALUES (2, '2009-01-09 19:38:00', 0, 0, 0, 0, 1, 1),
--        (2, '2009-01-10 13:36:00', 0, 0, 0, 0, 1, 1),
--        (2, '2009-01-11 12:58:00', 0, 0, 0, 0, 0, 0);
copy Source38_0 
FROM 'D:\lab\ChatGPTwithSQLscript\github-pipelines\length1_38\test_0.csv' DELIMITER ',' CSV HEADER ENCODING 'UTF8' ESCAPE '''';
-- Drop the target table if it exists
DROP TABLE IF EXISTS Target1_38;
-- Create the target table
CREATE TABLE Target1_38 (
    user_id INTEGER,
    sad FLOAT,
    stressed FLOAT
);
-- Insert rows from the source table into the target table
INSERT INTO Target1_38 (user_id, sad, stressed)
SELECT user_id, AVG(sad_depressed) AS sad, AVG(open_stressed) AS stressed
FROM Source38_0
GROUP BY user_id;
-- Export the result to a CSV file
COPY (SELECT * FROM Target1_38) TO 'D:\lab\ChatGPTwithSQLscript\github-pipelines\length1_38\Target1_38_result.csv' CSV HEADER;</t>
  </si>
  <si>
    <t>Order By user_id</t>
  </si>
  <si>
    <t>DROP TABLE IF EXISTS Source38_0;
-- Create the source table
CREATE TABLE Source38_0 (
    user_id INTEGER,
    time TIMESTAMP,
    sore_throat_cough INTEGER,
    runnynose_congestion_sneezing INTEGER,
    fever INTEGER,
    nausea_vomiting_diarrhea INTEGER,
    sad_depressed INTEGER,
    open_stressed INTEGER
);
-- Insert sample rows into the source table
-- INSERT INTO Source38_0 (user_id, time, sore_throat_cough, runnynose_congestion_sneezing, fever, nausea_vomiting_diarrhea, sad_depressed, open_stressed)
-- VALUES (2, '2009-01-09 19:38:00', 0, 0, 0, 0, 1, 1),
--        (2, '2009-01-10 13:36:00', 0, 0, 0, 0, 1, 1),
--        (2, '2009-01-11 12:58:00', 0, 0, 0, 0, 0, 0);
copy Source38_0 
FROM 'D:\lab\ChatGPTwithSQLscript\github-pipelines\length1_38\test_0.csv' DELIMITER ',' CSV HEADER ENCODING 'UTF8' ESCAPE '''';
-- Drop the target table if it exists
DROP TABLE IF EXISTS Target1_38;
-- Create the target table
CREATE TABLE Target1_38 (
    user_id INTEGER,
    sad FLOAT,
    stressed FLOAT
);
-- Insert rows from the source table into the target table
INSERT INTO Target1_38 (user_id, sad, stressed)
SELECT user_id, AVG(sad_depressed) AS sad, AVG(open_stressed) AS stressed
FROM Source38_0
GROUP BY user_id
ORDER BY user_id;
-- Export the result to a CSV file
COPY (SELECT * FROM Target1_38) TO 'D:\lab\ChatGPTwithSQLscript\github-pipelines\length1_38\Target1_38_result.csv' CSV HEADER;</t>
  </si>
  <si>
    <t>This query would fail if target discrption does not have order by hint.</t>
  </si>
  <si>
    <t>L1_4</t>
  </si>
  <si>
    <t>['fname', 'count_of_obs']</t>
  </si>
  <si>
    <t>[['01_1D_11', 24], ['01_1D_13', 24], ['01_1D_15', 24]]</t>
  </si>
  <si>
    <t>In target table, the count_of_obs has the total count of fname for each fname. The final result should have order as per fname.</t>
  </si>
  <si>
    <t>Source4_0</t>
  </si>
  <si>
    <t>[[40, 91, 38, 0.0, 119, 1, 0, 0, '26_6B', 11, '26_6B_11'], [46, 100, 29, 1.459, 170, 1, 0, 0, '01_2C', 15, '01_2C_15'], [26, 12, 76, 0.0, 149, 1, 0, 0, '71_1C', 11, '71_1C_11']]</t>
  </si>
  <si>
    <t>['Slice n°', 'X', 'Y', 'Distance', 'Pixel Value', 'ok_col_names', 'ok_col_num', 'ok_row_num', 'cop_name', 'day', 'fname']</t>
  </si>
  <si>
    <t>COPY Source4_0
FROM 'D:\lab\ChatGPTwithSQLscript\github-pipelines\length1_4\test_0.csv' CSV HEADER NULL AS 'nan';</t>
  </si>
  <si>
    <t>Slice nÃ‚Â° name could not be read. Had to make it 'Slice n'</t>
  </si>
  <si>
    <t>DROP TABLE IF EXISTS Source4_0;
-- Create the source table
CREATE TABLE Source4_0 (
    "Slice n" INTEGER,
    "X" INTEGER,
    "Y" INTEGER,
    "Distance" FLOAT,
    "Pixel Value" INTEGER,
    "ok_col_names" INTEGER,
    "ok_col_num" INTEGER,
    "ok_row_num" INTEGER,
    "cop_name" VARCHAR(10),
    "day" INTEGER,
    "fname" VARCHAR(10)
);
copy Source4_0 FROM 'D:\lab\ChatGPTwithSQLscript\github-pipelines\length1_4\test_0.csv' DELIMITER ',' CSV HEADER ENCODING 'UTF8' ESCAPE '''';
-- Insert sample rows into the source table
-- INSERT INTO Source4_0 ("Slice n ", "X", "Y", "Distance", "Pixel Value", "ok_col_names", "ok_col_num", "ok_row_num", "cop_name", "day", "fname")
-- VALUES (40, 91, 38, 0.0, 119, 1, 0, 0, '26_6B', 11, '26_6B_11'),
--        (46, 100, 29, 1.459, 170, 1, 0, 0, '01_2C', 15, '01_2C_15'),
--        (26, 12, 76, 0.0, 149, 1, 0, 0, '71_1C', 11, '71_1C_11');
-- Drop the target table if it exists
DROP TABLE IF EXISTS Target1_4;
-- Create the target table
CREATE TABLE Target1_4 (
    "fname" VARCHAR(10),
    "count_of_obs" INTEGER
);
-- Insert rows from the source table into the target table
INSERT INTO Target1_4 ("fname", "count_of_obs")
SELECT "fname", COUNT("fname")
FROM Source4_0
GROUP BY "fname"
ORDER BY "fname";
-- Export the result to a CSV file
COPY (SELECT * FROM Target1_4) TO 'D:\lab\ChatGPTwithSQLscript\github-pipelines\length1_4\Target1_4_result_new.csv' CSV HEADER;</t>
  </si>
  <si>
    <t>This query would execute if we upload the csv file by making attribute name change manually and add ORDER BY "fname" in SQL query to get exact row-by-row match.</t>
  </si>
  <si>
    <t>L1_40</t>
  </si>
  <si>
    <t>['CUSTOMERNAME', 'ORDERNUMBER', 'QUANTITYORDERED']</t>
  </si>
  <si>
    <t>[['Alpha Cognac', 10136, 102], ['Alpha Cognac', 10178, 155], ['Amica Models &amp; Co.', 10280, 432]]</t>
  </si>
  <si>
    <t xml:space="preserve">In target table, quantityordered is the sum of qualtityordered in source for each order number. </t>
  </si>
  <si>
    <t>Source40_0</t>
  </si>
  <si>
    <t>DROP TABLE IF EXISTS Source40_0;
-- Create the source table
CREATE TABLE Source40_0 (
    ORDERNUMBER INTEGER,
    QUANTITYORDERED NUMERIC,
    PRICEEACH NUMERIC,
    ORDERLINENUMBER NUMERIC,
    SALES NUMERIC,
    ORDERDATE TIMESTAMP,
    STATUS VARCHAR(255),
    QTR_ID NUMERIC,
    MONTH_ID NUMERIC,
    YEAR_ID NUMERIC,
    PRODUCTLINE VARCHAR(255),
    MSRP NUMERIC,
    PRODUCTCODE VARCHAR(255),
    CUSTOMERNAME VARCHAR(255),
    PHONE VARCHAR(255),
    ADDRESSLINE1 VARCHAR(255),
    ADDRESSLINE2 VARCHAR(255),
    CITY VARCHAR(255),
    STATE VARCHAR(255),
    POSTALCODE INTEGER,
    COUNTRY VARCHAR(255),
    TERRITORY VARCHAR(255),
    CONTACTLASTNAME VARCHAR(255),
    CONTACTFIRSTNAME VARCHAR(255),
    DEALSIZE VARCHAR(255)
);
-- entire file
COPY Source40_0
FROM 'D:\lab\ChatGPTwithSQLscript\github-pipelines\length1_40\test_0.csv' CSV HEADER NULL AS 'nan'; 
-- Insert sample rows into the source table
-- INSERT INTO Source40_0 (ORDERNUMBER, QUANTITYORDERED, PRICEEACH, ORDERLINENUMBER, SALES, ORDERDATE, STATUS, QTR_ID, MONTH_ID, YEAR_ID, PRODUCTLINE, MSRP, PRODUCTCODE, CUSTOMERNAME, PHONE, ADDRESSLINE1, ADDRESSLINE2, CITY, STATE, POSTALCODE, COUNTRY, TERRITORY, CONTACTLASTNAME, CONTACTFIRSTNAME, DEALSIZE)
-- VALUES (10107, 30.0, 95.7, 2.0, 2871.0, '2003-02-24 00:00:00', 'Shipped', 1.0, 2.0, 2003.0, 'Motorcycles', 95.0, 'S10_1678', 'Land of Toys Inc.', '2125557818', '897 Long Airport Avenue', NULL, 'NYC', 'NY', 10022, 'USA', NULL, 'Yu', 'Kwai', 'Small'),
--        (10121, 34.0, 81.35, 5.0, 2765.9, '2003-05-07 00:00:00', 'Shipped', 2.0, 5.0, 2003.0, 'Motorcycles', 95.0, 'S10_1678', 'Reims Collectables', '26.47.1555', '59 rue de l''Abbaye', NULL, 'Reims', NULL, 51100, 'France', 'EMEA', 'Henriot', 'Paul', 'Small'),
--        (10134, 41.0, 94.74, 2.0, 3884.34, '2003-07-01 00:00:00', 'Shipped', 3.0, 7.0, 2003.0, 'Motorcycles', 95.0, 'S10_1678', 'Lyon Souveniers', '+33 1 46 62 7555', '27 rue du Colonel Pierre Avia', NULL, 'Paris', NULL, 75508, 'France', 'EMEA', 'Da Cunha', 'Daniel', 'Medium');
-- Drop the target table if it exists
DROP TABLE IF EXISTS Target1_40;
-- Create the target table
CREATE TABLE Target1_40 (
    CUSTOMERNAME VARCHAR(255),
    ORDERNUMBER INTEGER,
    QUANTITYORDERED NUMERIC
);
-- Insert rows from the source table into the target table
INSERT INTO Target1_40 (CUSTOMERNAME, ORDERNUMBER, QUANTITYORDERED)
SELECT CUSTOMERNAME, ORDERNUMBER, SUM(QUANTITYORDERED)
FROM Source40_0
GROUP BY CUSTOMERNAME, ORDERNUMBER;
-- Export the result to a CSV file
COPY (SELECT * FROM Target1_40) TO 'D:\lab\ChatGPTwithSQLscript\github-pipelines\length1_40\Target1_40_result.csv' DELIMITER ',' CSV HEADER;</t>
  </si>
  <si>
    <t>ERROR:  invalid input syntax for type integer: ""
CONTEXT:  COPY source40_0, line 6, column postalcode: ""
SQL state: 22P02</t>
  </si>
  <si>
    <t>This failure is due to the csv file read have issue with , in the data, e.g.line 6 in test_0.csv</t>
  </si>
  <si>
    <t xml:space="preserve">ERROR: Error: ERROR:  invalid input syntax for type integer: "10180,29,86.13,9,2497.77,11/11/2003 0:00,Shipped,4,11,2003,Motorcycles,95,S10_1678,Daedalus Designs Imports,20.16.1555,"184, chausse de Tournai",,Lille,,59000,France,EMEA,Rance,Martine,Small"
CONTEXT:  COPY source40_0, line 8, column ordernumber: "10180,29,86.13,9,2497.77,11/11/2003 0:00,Shipped,4,11,2003,Motorcycles,95,S10_1678,Daedalus Designs ..."      </t>
  </si>
  <si>
    <t>data pre processing error</t>
  </si>
  <si>
    <t>L1_41</t>
  </si>
  <si>
    <t>['zipcode', 'AGI_STUB', 'N1', 'A00100']</t>
  </si>
  <si>
    <t>[[0, 546, 75619290, 4857739566], [1001, 21, 8780, 458716], [1002, 21, 9460, 732849]]</t>
  </si>
  <si>
    <t xml:space="preserve">In target, the AGI_STUB , N1, A00100 are the sum for each zipcode in source table. </t>
  </si>
  <si>
    <t>Source41_0</t>
  </si>
  <si>
    <t>[[1, 'AL', 0, 1, 889920, 490850, 129070, 256900, 526740, 1505430, 598680, 11517112, 712630, 9014595, 116620, 101108, 49750, 92178, 43200, 59907, 150240, 873349, 9120, 35010, -3916, 38910, 221795, 112470, 1072785, 65230, 265804, 34100, 59389, 260, 843, 62190, 968541, 62120, 850798, 24840, 23577, 29040, 23668, 33360, 27495, 60070, 90908, 31110, 181519, 46490, 121095, 356200, 1962972, 112340, 38443, 39440, 12168, 9920, 3393, 1680, 408, 406300, 1178852, 379060, 1071400, 266230, 335781, 0, 0, 269140, 168057, 387720, 314297, 59310, 40782, 785950, 2040191], [1, 'AL', 0, 2, 491150, 194370, 159200, 123350, 293480, 1034650, 387700, 17617800, 428710, 14482697, 107970, 101203, 43720, 101793, 37910, 68476, 61720, 277466, 9210, 30710, 21881, 34870, 314019, 102070, 1750044, 30620, 109617, 85660, 521123, 360, 1962, 129250, 4897366, 129230, 1914481, 92510, 151956, 27820, 34819, 87590, 67397, 124940, 286169, 83250, 486909, 103450, 358997, 471490, 8655664, 213860, 195459, 128810, 116182, 29670, 17003, 8030, 3038, 128140, 235609, 107760, 202016, 102930, 153772, 0, 0, 370140, 854669, 389320, 937609, 62450, 85568, 421290, 1185415], [1, 'AL', 0, 3, 254280, 68160, 148960, 31480, 157230, 591880, 188670, 15644666, 221520, 12162751, 94810, 102766, 41880, 121653, 36720, 83798, 39520, 254111, 8150, 30190, 47365, 27460, 337870, 72270, 1692583, 15190, 59496, 57280, 807546, 340, 2559, 112570, 6984334, 112550, 1914831, 91960, 229994, 17400, 25542, 92990, 82247, 112220, 368093, 87520, 581501, 96530, 404644, 253210, 9996182, 112520, 169569, 78390, 119471, 19160, 10007, 7240, 2715, 120, 3, 90, 2, 10020, 12913, 100, 73, 242260, 1214154, 245280, 1286668, 55290, 113674, 193020, 550512]]</t>
  </si>
  <si>
    <t>['STATEFIPS', 'STATE', 'zipcode', 'AGI_STUB', 'N1', 'MARS1', 'MARS2', 'MARS4', 'PREP', 'N2', 'NUMDEP', 'A00100', 'N00200', 'A00200', 'N00300', 'A00300', 'N00600', 'A00600', 'N00650', 'A00650', 'N00900', 'A00900', 'SCHF', 'N01000', 'A01000', 'N01400', 'A01400', 'N01700', 'A01700', 'N02300', 'A02300', 'N02500', 'A02500', 'N03300', 'A03300', 'N00101', 'A00101', 'N04470', 'A04470', 'N18425', 'A18425', 'N18450', 'A18450', 'N18500', 'A18500', 'N18300', 'A18300', 'N19300', 'A19300', 'N19700', 'A19700', 'N04800', 'A04800', 'N07100', 'A07100', 'N07220', 'A07220', 'N07180', 'A07180', 'N07260', 'A07260', 'N59660', 'A59660', 'N59720', 'A59720', 'N11070', 'A11070', 'N09600', 'A09600', 'N06500', 'A06500', 'N10300', 'A10300', 'N11901', 'A11901', 'N11902', 'A11902']</t>
  </si>
  <si>
    <t>DROP TABLE IF EXISTS Source41_0;
CREATE TABLE Source41_0 (
    STATEFIPS INT,
    STATE VARCHAR(2),
    zipcode INT,
    AGI_STUB INT,
    N1 INT,
    MARS1 INT,
    MARS2 INT,
    MARS4 INT,
    PREP INT,
    N2 INT,
    NUMDEP INT,
    A00100 INT,
    N00200 INT,
    A00200 INT,
    N00300 INT,
    A00300 INT,
    N00600 INT,
    A00600 INT,
    N00650 INT,
    A00650 INT,
    N00900 INT,
    A00900 INT,
    SCHF INT,
    N01000 INT,
    A01000 INT,
    N01400 INT,
    A01400 INT,
    N01700 INT,
    A01700 INT,
    N02300 INT,
    A02300 INT,
    N02500 INT,
    A02500 INT,
    N03300 INT,
    A03300 INT,
    N00101 INT,
    A00101 INT,
    N04470 INT,
    A04470 INT,
    N18425 INT,
    A18425 INT,
    N18450 INT,
    A18450 INT,
    N18500 INT,
    A18500 INT,
    N18300 INT,
    A18300 INT,
    N19300 INT,
    A19300 INT,
    N19700 INT,
    A19700 INT,
    N04800 INT,
    A04800 INT,
    N07100 INT,
    A07100 INT,
    N07220 INT,
    A07220 INT,
    N07180 INT,
    A07180 INT,
    N07260 INT,
    A07260 INT,
    N59660 INT,
    A59660 INT,
    N59720 INT,
    A59720 INT,
    N11070 INT,
    A11070 INT,
    N09600 INT,
    A09600 INT,
    N06500 INT,
    A06500 INT,
    N10300 INT,
    A10300 INT,
    N11901 INT,
    A11901 INT,
    N11902 INT,
    A11902 INT
);
--entire file
copy Source41_0
from 'D:\lab\ChatGPTwithSQLscript\github-pipelines\length1_41\test_0.csv'  CSV HEADER NULL AS 'nan'; 
-- Step 3: Create the target table
DROP TABLE IF EXISTS Target1_41;
CREATE TABLE Target1_41 (
    zipcode INT,
    AGI_STUB INT,
    N1 INT,
    A00100 INT
);
-- Step 4: Insert rows from source table into target table
INSERT INTO Target1_41 (zipcode, AGI_STUB, N1, A00100)
SELECT zipcode, AGI_STUB, SUM(N1), SUM(A00100)
FROM Source41_0
GROUP BY zipcode, AGI_STUB;
-- Step 5: Export the result to a CSV file
COPY (SELECT * FROM Target1_41) TO 'D:\lab\ChatGPTwithSQLscript\github-pipelines\length1_41\Target1_41_result.csv' DELIMITER ',' CSV HEADER;</t>
  </si>
  <si>
    <t>SQL Query executes but total number of rows are different. Target has 13862 rows but gpt produced 83156</t>
  </si>
  <si>
    <t>The conversion seems sum of source values but , target results are not matching the results.</t>
  </si>
  <si>
    <t>Need to figure out the duplicate values as number of rows are way too much different.</t>
  </si>
  <si>
    <t>L1_42</t>
  </si>
  <si>
    <t>Target1_42</t>
  </si>
  <si>
    <t>['user_id', 'item_id', 'rating', 'timestamp', 'movie title']</t>
  </si>
  <si>
    <t>[[196, 242, 3, 881250949, 'Kolya (1996)'], [63, 242, 3, 875747190, 'Kolya (1996)'], [226, 242, 5, 883888671, 'Kolya (1996)']]</t>
  </si>
  <si>
    <t>Source42_0</t>
  </si>
  <si>
    <t>[[196, 242, 3, 881250949], [186, 302, 3, 891717742], [22, 377, 1, 878887116]]</t>
  </si>
  <si>
    <t>['user_id', 'item_id', 'rating', 'timestamp']</t>
  </si>
  <si>
    <t>The csv file had extra column with space that was making extra , and making extra column</t>
  </si>
  <si>
    <t>DROP TABLE IF EXISTS Source42_0;
CREATE TABLE Source42_0 (
    user_id INTEGER,
    item_id INTEGER,
    rating INTEGER,
    timestamp INTEGER
);
-- Insert rows into Source42_0
INSERT INTO Source42_0 (user_id, item_id, rating, timestamp)
VALUES (196, 242, 3, 881250949),
       (186, 302, 3, 891717742),
       (22, 377, 1, 878887116);
-- Create the second source table Source42_1
DROP TABLE IF EXISTS Source42_1;
CREATE TABLE Source42_1 (
    item_id INTEGER,
    movie_title VARCHAR(255),
    release_date VARCHAR(20),
    video_release_date VARCHAR(20),
    imdb_url VARCHAR(255),
    unknown INTEGER,
    action INTEGER,
    adventure INTEGER,
    animation INTEGER,
    childrens INTEGER,
    comedy INTEGER,
    crime INTEGER,
    documentary INTEGER,
    drama INTEGER,
    fantasy INTEGER,
    film_noir INTEGER,
    horror INTEGER,
    musical INTEGER,
    mystery INTEGER,
    romance INTEGER,
    sci_fi INTEGER,
    thriller INTEGER,
    war INTEGER,
    western INTEGER
);
-- Insert rows into Source42_1
INSERT INTO Source42_1 (item_id, movie_title, release_date, video_release_date, imdb_url, unknown, action, adventure, animation, childrens, comedy, crime, documentary, drama, fantasy, film_noir, horror, musical, mystery, romance, sci_fi, thriller, war, western)
VALUES (1, 'Toy Story (1995)', '01-Jan-1995', NULL, 'http://us.imdb.com/M/title-exact?Toy%20Story%20(1995)', 0, 0, 0, 1, 1, 1, 0, 0, 0, 0, 0, 0, 0, 0, 0, 0, 0, 0),
       (2, 'GoldenEye (1995)', '01-Jan-1995', NULL, 'http://us.imdb.com/M/title-exact?GoldenEye%20(1995)', 0, 1, 1, 0, 0, 0, 0, 0, 0, 0, 0, 0, 0, 0, 0, 0, 1, 0, 0),
       (3, 'Four Rooms (1995)', '01-Jan-1995', NULL, 'http://us.imdb.com/M/title-exact?Four%20Rooms%20(1995)', 0, 0, 0, 0, 0, 0, 0, 0, 0, 0, 0, 0, 0, 0, 0, 0, 1, 0, 0);
-- Create the target table Target1_42
DROP TABLE IF EXISTS Target1_42;
CREATE TABLE Target1_42 (
    user_id INTEGER,
    item_id INTEGER,
    rating INTEGER,
    timestamp INTEGER,
    movie_title VARCHAR(255)
);
-- Insert rows into Target1_42 by joining Source42_0 and Source42_1
INSERT INTO Target1_42 (user_id, item_id, rating, timestamp, movie_title)
SELECT s0.user_id, s0.item_id, s0.rating, s0.timestamp, s1.movie_title
FROM Source42_0 s0
JOIN Source42_1 s1 ON s0.item_id = s1.item_id;
-- Export the result to a CSV file
COPY (SELECT * FROM Target1_42) TO 'D:\lab\ChatGPTwithSQLscript\github-pipelines\length1_42\Target1_42_result.csv' DELIMITER ',' CSV HEADER;</t>
  </si>
  <si>
    <t>ERROR:  INSERT has more target columns than expressions
LINE 45: ..., musical, mystery, romance, sci_fi, thriller, war, western)
                                                                ^
SQL state: 42601</t>
  </si>
  <si>
    <t>ERROR:  extra data after last expected column
CONTEXT:  COPY source42_0, line 2: "0,196,242,3,881250949"
SQL state: 22P04</t>
  </si>
  <si>
    <t>Source42_1</t>
  </si>
  <si>
    <t>[[1, 'Toy Story (1995)', '01-Jan-1995', nan, 'http://us.imdb.com/M/title-exact?Toy%20Story%20(1995)', 0, 0, 0, 1, 1, 1, 0, 0, 0, 0, 0, 0, 0, 0, 0, 0, 0, 0, 0], [2, 'GoldenEye (1995)', '01-Jan-1995', nan, 'http://us.imdb.com/M/title-exact?GoldenEye%20(1995)', 0, 1, 1, 0, 0, 0, 0, 0, 0, 0, 0, 0, 0, 0, 0, 0, 1, 0, 0], [3, 'Four Rooms (1995)', '01-Jan-1995', nan, 'http://us.imdb.com/M/title-exact?Four%20Rooms%20(1995)', 0, 0, 0, 0, 0, 0, 0, 0, 0, 0, 0, 0, 0, 0, 0, 0, 1, 0, 0]]</t>
  </si>
  <si>
    <t>['item_id', 'movie title', 'release date', 'video release date', 'IMDb URL', 'unknown', 'Action', 'Adventure', 'Animation', 'Childrens', 'Comedy', 'Crime', 'Documentary', 'Drama', 'Fantasy', 'Film-Noir', 'Horror', 'Musical', 'Mystery', 'Romance', 'Sci-Fi', 'Thriller', 'War', 'Western']</t>
  </si>
  <si>
    <t>L1_43</t>
  </si>
  <si>
    <t>['fac_type', 'facid', 'capacity', 'fac_name', 'fac_address', 'city_state_zip', 'owner', 'operator']</t>
  </si>
  <si>
    <t>[['NF', 137, 137, 137, 137, 137, 137, 137], ['RCF', 184, 183, 184, 184, 184, 184, 184]]</t>
  </si>
  <si>
    <t>In target table, for each fac_type, the rest attributes are count of the attribtues in source table.</t>
  </si>
  <si>
    <t>Source43_0</t>
  </si>
  <si>
    <t>[[385008, 'NF', 96.0, 'Presbyterian Community Care Center', '1085 N Oregon St', 'Ontario, OR 97914', 'Presbyterian Nursing Home, Inc.', 'Presbyterian Nursing Home, Inc.'], [385010, 'NF', 159.0, 'Laurelhurst Village Rehabilitation Center', '3060 SE Stark St', 'Portland, OR 97214', 'Laurelhurst Operations, LLC', 'Laurelhurst Operations, LLC'], [385015, 'NF', 128.0, 'Regency Gresham Nursing &amp; Rehabilitation Center', '5905 SE Powell Valley Rd', 'Gresham, OR 97080', 'Regency Gresham Nursing &amp; Rehabilitation Center, LLC', 'Regency Pacific Management, LLC']]</t>
  </si>
  <si>
    <t>['facid', 'fac_type', 'capacity', 'fac_name', 'fac_address', 'city_state_zip', 'owner', 'operator']</t>
  </si>
  <si>
    <t>DROP TABLE IF EXISTS Source43_0;
-- Create the source table
CREATE TABLE Source43_0 (
    facid INTEGER,
    fac_type VARCHAR(2),
    capacity NUMERIC(5,1),
    fac_name VARCHAR(100),
    fac_address VARCHAR(100),
    city_state_zip VARCHAR(100),
    owner VARCHAR(100),
    operator VARCHAR(100)
);
-- Insert sample rows into the source table
INSERT INTO Source43_0 (facid, fac_type, capacity, fac_name, fac_address, city_state_zip, owner, operator)
VALUES (385008, 'NF', 96.0, 'Presbyterian Community Care Center', '1085 N Oregon St', 'Ontario, OR 97914', 'Presbyterian Nursing Home, Inc.', 'Presbyterian Nursing Home, Inc.'),
       (385010, 'NF', 159.0, 'Laurelhurst Village Rehabilitation Center', '3060 SE Stark St', 'Portland, OR 97214', 'Laurelhurst Operations, LLC', 'Laurelhurst Operations, LLC'),
       (385015, 'NF', 128.0, 'Regency Gresham Nursing &amp; Rehabilitation Center', '5905 SE Powell Valley Rd', 'Gresham, OR 97080', 'Regency Gresham Nursing &amp; Rehabilitation Center, LLC', 'Regency Pacific Management, LLC');
-- Drop the target table if it exists
DROP TABLE IF EXISTS Target1_43;
-- Create the target table
CREATE TABLE Target1_43 (
    fac_type VARCHAR(2),
    facid INTEGER,
    capacity_count INTEGER,
    fac_name_count INTEGER,
    fac_address_count INTEGER,
    city_state_zip_count INTEGER,
    owner_count INTEGER,
    operator_count INTEGER
);
-- Insert rows from the source table into the target table
INSERT INTO Target1_43 (fac_type, facid, capacity_count, fac_name_count, fac_address_count, city_state_zip_count, owner_count, operator_count)
SELECT fac_type, facid, COUNT(capacity) AS capacity_count, COUNT(fac_name) AS fac_name_count, COUNT(fac_address) AS fac_address_count, COUNT(city_state_zip) AS city_state_zip_count, COUNT(owner) AS owner_count, COUNT(operator) AS operator_count
FROM Source43_0
GROUP BY fac_type, facid;
-- Export the result to a CSV file
COPY (SELECT * FROM Target1_43) TO 'D:\lab\ChatGPTwithSQLscript\github-pipelines\length1_43\Target1_43_result.csv' DELIMITER ',' CSV HEADER;</t>
  </si>
  <si>
    <t xml:space="preserve">It should be a count, can not be a sum </t>
  </si>
  <si>
    <t>ERROR: Error: ERROR:  invalid input syntax for type integer: "38A001"
CONTEXT:  COPY source43_0, line 120, column facid: "38A001"</t>
  </si>
  <si>
    <t>L1_46</t>
  </si>
  <si>
    <t>['Date', 'Water Use', 'Power Use']</t>
  </si>
  <si>
    <t>[['Apr_2006', 4351.0999999999985, 25274], ['Apr_2007', 6148.879999999999, 34389], ['Apr_2008', 4618.79, 31594]]</t>
  </si>
  <si>
    <t xml:space="preserve">In target, for each date the water use and power use is sum from source table. </t>
  </si>
  <si>
    <t>Source46_0</t>
  </si>
  <si>
    <t>[['Mar_2008', 'Mar-08', '90230\n(33.99506171100046, -118.39500957899969)', 16.7, 396], ['Jul_2011', 'Jul-11', '90272\n(34.04886156900045, -118.53572692799969)', 35.73, 1013], ['Apr_2010', 'Apr-10', '90272\n(34.04886156900045, -118.53572692799969)', 23.53, 916]]</t>
  </si>
  <si>
    <t>['Text Date', 'Value Date', 'Zip Code', 'Water Use', 'Power Use']</t>
  </si>
  <si>
    <t>DROP TABLE IF EXISTS Source46_0;
-- Create the source table
CREATE TABLE Source46_0 (
    "Text Date" VARCHAR,
    "Value Date" VARCHAR,
    "Zip Code" VARCHAR,
    "Water Use" NUMERIC,
    "Power Use" NUMERIC
);
-- Insert sample rows into the source table
INSERT INTO Source46_0 ("Text Date", "Value Date", "Zip Code", "Water Use", "Power Use")
VALUES ('Mar_2008', 'Mar-08', '90230\n(33.99506171100046, -118.39500957899969)', 16.7, 396),
       ('Jul_2011', 'Jul-11', '90272\n(34.04886156900045, -118.53572692799969)', 35.73, 1013),
       ('Apr_2010', 'Apr-10', '90272\n(34.04886156900045, -118.53572692799969)', 23.53, 916);
-- Drop the target table if it exists
DROP TABLE IF EXISTS Target1_46;
-- Create the target table
CREATE TABLE Target1_46 (
    "Date" VARCHAR,
    "Water Use" NUMERIC,
    "Power Use" NUMERIC
);
-- Insert rows from the source table into the target table
INSERT INTO Target1_46 ("Date", "Water Use", "Power Use")
SELECT "Text Date", SUM("Water Use"), SUM("Power Use")
FROM Source46_0
GROUP BY "Text Date";
-- Export the result to a CSV file
COPY (SELECT * FROM Target1_46) TO 'D:\lab\ChatGPTwithSQLscript\github-pipelines\length1_46\Target1_46_result.csv' DELIMITER ',' CSV HEADER;</t>
  </si>
  <si>
    <t>wrong sql generation, as description was not used</t>
  </si>
  <si>
    <t>L1_5</t>
  </si>
  <si>
    <t>Target1_5</t>
  </si>
  <si>
    <t>['ProvinciaID', 'ProvinciaNombre', 'RegionID', 'ComunaID', 'ComunaNombre']</t>
  </si>
  <si>
    <t>[[1, "'Arica'", 1, 1, "'Arica'"], [1, "'Arica'", 1, 2, "'Camarones'"], [2, "'Parinacota'", 1, 3, "'General Lagos'"]]</t>
  </si>
  <si>
    <t>Source5_0</t>
  </si>
  <si>
    <t>[[1, "'Arica'", 1], [2, "'Camarones'", 1], [3, "'General Lagos'", 2]]</t>
  </si>
  <si>
    <t>['ComunaID', 'ComunaNombre', 'ProvinciaID']</t>
  </si>
  <si>
    <t>[1.0, 1.0, 1.0, 1.0, 1.0]</t>
  </si>
  <si>
    <t>Source5_1</t>
  </si>
  <si>
    <t>[[1, "'Arica'", 1], [2, "'Parinacota'", 1], [3, "'Iquique'", 2]]</t>
  </si>
  <si>
    <t>['ProvinciaID', 'ProvinciaNombre', 'RegionID']</t>
  </si>
  <si>
    <t>L1_52</t>
  </si>
  <si>
    <t>['condition', '0']</t>
  </si>
  <si>
    <t>In target, '0' is total count of click from source table.</t>
  </si>
  <si>
    <t>Source52_0</t>
  </si>
  <si>
    <t>DROP TABLE IF EXISTS Source52_0;
CREATE TABLE Source52_0 (
    condition INT,
    click INT
);
-- Insert sample rows into source table
INSERT INTO Source52_0 (condition, click)
VALUES (1, 0), (0, 0), (0, 0);
-- Create target table
DROP TABLE IF EXISTS Target1_52;
CREATE TABLE Target1_52 (
    condition INT,
    "0" INT
);
-- Insert rows from source table into target table
INSERT INTO Target1_52 (condition, "0")
SELECT condition, COUNT(click) AS "0"
FROM Source52_0
GROUP BY condition;
-- Export result to CSV file
COPY (SELECT * FROM Target1_52) TO 'D:\lab\ChatGPTwithSQLscript\github-pipelines\length1_52\Target1_52_result.csv' DELIMITER ',' CSV HEADER;</t>
  </si>
  <si>
    <t>1.0, 0.0</t>
  </si>
  <si>
    <t>correct sql generation but failing due to mismatch in number of rows to compare in target.</t>
  </si>
  <si>
    <t>need to check why these are failing and some are success</t>
  </si>
  <si>
    <t>L1_53</t>
  </si>
  <si>
    <t>['continent', 'beer_servings', 'spirit_servings', 'wine_servings', 'total_litres_of_pure_alcohol']</t>
  </si>
  <si>
    <t>[['AF', 67.11538461538461, 15.576923076923075, 18.69230769230769, 2.7884615384615383], ['AS', 31.9, 56.5, 10.75, 2.0], ['EU', 195.70833333333331, 141.79166666666666, 145.95833333333334, 8.962500000000002]]</t>
  </si>
  <si>
    <t xml:space="preserve">In target, for each continent, the average is calculated from source attributes. </t>
  </si>
  <si>
    <t>Source53_0</t>
  </si>
  <si>
    <t>[['Afghanistan', 0, 0, 0, 0.0, 'AS'], ['Albania', 89, 132, 54, 4.9, 'EU'], ['Algeria', 25, 0, 14, 0.7, 'AF']]</t>
  </si>
  <si>
    <t>['country', 'beer_servings', 'spirit_servings', 'wine_servings', 'total_litres_of_pure_alcohol', 'continent']</t>
  </si>
  <si>
    <t>DROP TABLE IF EXISTS Source53_0;
-- Create the source table
CREATE TABLE Source53_0 (
    country VARCHAR,
    beer_servings INTEGER,
    spirit_servings INTEGER,
    wine_servings INTEGER,
    total_litres_of_pure_alcohol FLOAT,
    continent VARCHAR
);
-- Insert data from the CSV file into the source table
COPY Source53_0 FROM 'D:\lab\ChatGPTwithSQLscript\github-pipelines\length1_53\test_0.csv' WITH (FORMAT CSV, HEADER, NULL '');
-- Drop the target table if it exists
DROP TABLE IF EXISTS Target1_53;
-- Create the target table
CREATE TABLE Target1_53 (
    continent VARCHAR,
    beer_servings INTEGER,
    spirit_servings INTEGER,
    wine_servings INTEGER,
    total_litres_of_pure_alcohol FLOAT
);
-- Insert data from the source table into the target table
INSERT INTO Target1_53 (continent, beer_servings, spirit_servings, wine_servings, total_litres_of_pure_alcohol)
SELECT continent, AVG(beer_servings), AVG(spirit_servings), AVG(wine_servings), AVG(total_litres_of_pure_alcohol)
FROM Source53_0
GROUP BY continent;
-- Copy the result of the SQL query into a CSV file
COPY (SELECT * FROM Target1_53) TO 'D:\lab\ChatGPTwithSQLscript\github-pipelines\length1_53\Target1_53_result.csv' WITH (FORMAT CSV, HEADER);</t>
  </si>
  <si>
    <t>two rows are missing from sql results</t>
  </si>
  <si>
    <t>wrong sql as no description</t>
  </si>
  <si>
    <t>why in this case target samples did not help</t>
  </si>
  <si>
    <t>L1_57</t>
  </si>
  <si>
    <t>['movieId', 'rating']</t>
  </si>
  <si>
    <t>[[1.0, 3.8192307692307694], [2.0, 3.411290322580645], [3.0, 3.4615384615384617]]</t>
  </si>
  <si>
    <t>In target, rating is average from source table for each movieid</t>
  </si>
  <si>
    <t>Source57_0</t>
  </si>
  <si>
    <t>[[1.0, 31.0, 2.5, 1260759144.0], [1.0, 1029.0, 3.0, 1260759179.0], [1.0, 1061.0, 3.0, 1260759182.0]]</t>
  </si>
  <si>
    <t>['userId', 'movieId', 'rating', 'timestamp']</t>
  </si>
  <si>
    <t>L1_59</t>
  </si>
  <si>
    <t>['PRODUCTLINE', 'SALES']</t>
  </si>
  <si>
    <t>[['Classic Cars', 1489382.800000001], ['Motorcycles', 364712.20000000007], ['Planes', 116886.11]]</t>
  </si>
  <si>
    <t>In target, the sales is sum of sales for each productline type from source table.</t>
  </si>
  <si>
    <t>Source59_0</t>
  </si>
  <si>
    <t>DROP TABLE IF EXISTS Source59_0;
-- Create the source table
CREATE TABLE Source59_0 (
    ORDERNUMBER INTEGER,
    QUANTITYORDERED FLOAT,
    PRICEEACH FLOAT,
    ORDERLINENUMBER FLOAT,
    SALES FLOAT,
    ORDERDATE TIMESTAMP,
    STATUS VARCHAR(255),
    QTR_ID FLOAT,
    MONTH_ID FLOAT,
    YEAR_ID FLOAT,
    PRODUCTLINE VARCHAR(255),
    MSRP FLOAT,
    PRODUCTCODE VARCHAR(255),
    CUSTOMERNAME VARCHAR(255),
    PHONE VARCHAR(255),
    ADDRESSLINE1 VARCHAR(255),
    ADDRESSLINE2 VARCHAR(255),
    CITY VARCHAR(255),
    STATE VARCHAR(255),
    POSTALCODE INTEGER,
    COUNTRY VARCHAR(255),
    TERRITORY VARCHAR(255),
    CONTACTLASTNAME VARCHAR(255),
    CONTACTFIRSTNAME VARCHAR(255),
    DEALSIZE VARCHAR(255)
);
-- Insert data from CSV into the source table
COPY Source59_0 FROM 'D:\lab\ChatGPTwithSQLscript\github-pipelines\length1_59\test_0.csv' DELIMITER ',' CSV HEADER NULL '';
-- Drop the target table if it exists
DROP TABLE IF EXISTS Target1_59;
-- Create the target table
CREATE TABLE Target1_59 (
    PRODUCTLINE VARCHAR(255),
    SALES FLOAT
);
-- Insert data into the target table
INSERT INTO Target1_59 (PRODUCTLINE, SALES)
SELECT PRODUCTLINE, SUM(SALES)
FROM Source59_0
GROUP BY PRODUCTLINE;
-- Copy the result into a CSV file
COPY (SELECT * FROM Target1_59) TO 'D:\lab\ChatGPTwithSQLscript\github-pipelines\length1_59\Target1_59_result.csv' DELIMITER ',' CSV HEADER;</t>
  </si>
  <si>
    <t>SQL Result: Error: ERROR:  invalid input syntax for type integer: "10180,29,86.13,9,2497.77,11/11/2003 0:00,Shipped,4,11,2003,Motorcycles,95,S10_1678,Daedalus Designs Imports,20.16.1555,"184, chausse de Tournai",,Lille,,59000,France,EMEA,Rance,Martine,Small"
CONTEXT:  COPY source59_0, line 8, column ordernumber: "10180,29,86.13,9,2497.77,11/11/2003 0:00,Shipped,4,11,2003,Motorcycles,95,S10_1678,Daedalus Designs ..."</t>
  </si>
  <si>
    <t>DROP TABLE IF EXISTS Source59_0;
CREATE TABLE Source59_0 (
    ORDERNUMBER INT,
    QUANTITYORDERED FLOAT,
    PRICEEACH FLOAT,
    ORDERLINENUMBER FLOAT,
    SALES FLOAT,
    ORDERDATE TIMESTAMP,
    STATUS VARCHAR(255),
    QTR_ID FLOAT,
    MONTH_ID FLOAT,
    YEAR_ID FLOAT,
    PRODUCTLINE VARCHAR(255),
    MSRP FLOAT,
    PRODUCTCODE VARCHAR(255),
    CUSTOMERNAME VARCHAR(255),
    PHONE VARCHAR(255),
    ADDRESSLINE1 VARCHAR(255),
    ADDRESSLINE2 VARCHAR(255),
    CITY VARCHAR(255),
    STATE VARCHAR(255),
    POSTALCODE INT,
    COUNTRY VARCHAR(255),
    TERRITORY VARCHAR(255),
    CONTACTLASTNAME VARCHAR(255),
    CONTACTFIRSTNAME VARCHAR(255),
    DEALSIZE VARCHAR(255)
);
-- Create the second source table Source_0
DROP TABLE IF EXISTS Source_0;
CREATE TABLE Source_0 (
    ORDERNUMBER INT,
    QUANTITYORDERED FLOAT,
    PRICEEACH FLOAT,
    ORDERLINENUMBER FLOAT,
    SALES FLOAT,
    ORDERDATE TIMESTAMP,
    STATUS VARCHAR(255),
    QTR_ID FLOAT,
    MONTH_ID FLOAT,
    YEAR_ID FLOAT,
    PRODUCTLINE VARCHAR(255),
    MSRP FLOAT,
    PRODUCTCODE VARCHAR(255),
    CUSTOMERNAME VARCHAR(255),
    PHONE VARCHAR(255),
    ADDRESSLINE1 VARCHAR(255),
    ADDRESSLINE2 VARCHAR(255),
    CITY VARCHAR(255),
    STATE VARCHAR(255),
    POSTALCODE INT,
    COUNTRY VARCHAR(255),
    TERRITORY VARCHAR(255),
    CONTACTLASTNAME VARCHAR(255),
    CONTACTFIRSTNAME VARCHAR(255),
    DEALSIZE VARCHAR(255)
);
-- Insert rows into the first source table Source59_0
INSERT INTO Source59_0 (ORDERNUMBER, QUANTITYORDERED, PRICEEACH, ORDERLINENUMBER, SALES, ORDERDATE, STATUS, QTR_ID, MONTH_ID, YEAR_ID, PRODUCTLINE, MSRP, PRODUCTCODE, CUSTOMERNAME, PHONE, ADDRESSLINE1, ADDRESSLINE2, CITY, STATE, POSTALCODE, COUNTRY, TERRITORY, CONTACTLASTNAME, CONTACTFIRSTNAME, DEALSIZE)
VALUES (10107, 30.0, 95.7, 2.0, 2871.0, '2003-02-24 00:00:00', 'Shipped', 1.0, 2.0, 2003.0, 'Motorcycles', 95.0, 'S10_1678', 'Land of Toys Inc.', '2125557818', '897 Long Airport Avenue', NULL, 'NYC', 'NY', 10022, 'USA', NULL, 'Yu', 'Kwai', 'Small'),
       (10121, 34.0, 81.35, 5.0, 2765.9, '2003-05-07 00:00:00', 'Shipped', 2.0, 5.0, 2003.0, 'Motorcycles', 95.0, 'S10_1678', 'Reims Collectables', '26.47.1555', '59 rue de l''Abbaye', NULL, 'Reims', NULL, 51100, 'France', 'EMEA', 'Henriot', 'Paul', 'Small'),
       (10134, 41.0, 94.74, 2.0, 3884.34, '2003-07-01 00:00:00', 'Shipped', 3.0, 7.0, 2003.0, 'Motorcycles', 95.0, 'S10_1678', 'Lyon Souveniers', '+33 1 46 62 7555', '27 rue du Colonel Pierre Avia', NULL, 'Paris', NULL, 75508, 'France', 'EMEA', 'Da Cunha', 'Daniel', 'Medium');
-- Insert rows into the second source table Source_0
INSERT INTO Source_0 (ORDERNUMBER, QUANTITYORDERED, PRICEEACH, ORDERLINENUMBER, SALES, ORDERDATE, STATUS, QTR_ID, MONTH_ID, YEAR_ID, PRODUCTLINE, MSRP, PRODUCTCODE, CUSTOMERNAME, PHONE, ADDRESSLINE1, ADDRESSLINE2, CITY, STATE, POSTALCODE, COUNTRY, TERRITORY, CONTACTLASTNAME, CONTACTFIRSTNAME, DEALSIZE)
VALUES (10107, 30.0, 95.7, 2.0, 2871.0, '2003-02-24 00:00:00', 'Shipped', 1.0, 2.0, 2003.0, 'Motorcycles', 95.0, 'S10_1678', 'Land of Toys Inc.', '2125557818', '897 Long Airport Avenue', NULL, 'NYC', 'NY', 10022, 'USA', NULL, 'Yu', 'Kwai', 'Small'),
       (10121, 34.0, 81.35, 5.0, 2765.9, '2003-05-07 00:00:00', 'Shipped', 2.0, 5.0, 2003.0, 'Motorcycles', 95.0, 'S10_1678', 'Reims Collectables', '26.47.1555', '59 rue de l''Abbaye', NULL, 'Reims', NULL, 51100, 'France', 'EMEA', 'Henriot', 'Paul', 'Small'),
       (10134, 41.0, 94.74, 2.0, 3884.34, '2003-07-01 00:00:00', 'Shipped', 3.0, 7.0, 2003.0, 'Motorcycles', 95.0, 'S10_1678', 'Lyon Souveniers', '+33 1 46 62 7555', '27 rue du Colonel Pierre Avia', NULL, 'Paris', NULL, 75508, 'France', 'EMEA', 'Da Cunha', 'Daniel', 'Medium');
-- Create the target table Target1_59
DROP TABLE IF EXISTS Target1_59;
CREATE TABLE Target1_59 (
    PRODUCTLINE VARCHAR(255),
    SALES FLOAT
);
-- Insert rows into the target table Target1_59 by joining the source tables
INSERT INTO Target1_59 (PRODUCTLINE, SALES)
SELECT s.PRODUCTLINE, s.SALES
FROM Source59_0 s
JOIN Source_0 s0 ON s.ORDERNUMBER = s0.ORDERNUMBER;
-- Export the result to a CSV file
COPY (SELECT * FROM Target1_59) TO 'D:\lab\ChatGPTwithSQLscript\github-pipelines\length1_59\Target1_59_result.csv' DELIMITER ',' CSV HEADER;</t>
  </si>
  <si>
    <t>ERROR: Error: ERROR:  invalid input syntax for type integer: ""
CONTEXT:  COPY source59_0, line 6, column postalcode: ""</t>
  </si>
  <si>
    <t>0.5 success [1,0.7] score.</t>
  </si>
  <si>
    <t>ERROR: Error: ERROR:  invalid input syntax for type integer: "2003.0"
CONTEXT:  COPY source59_0, line 2, column year_id: "2003.0"</t>
  </si>
  <si>
    <t>L1_6</t>
  </si>
  <si>
    <t>['provider_id', 'provider_name', 'provider_zip_code', 'average_covered_charges', 'average_total_payments', 'average_medicare_payments']</t>
  </si>
  <si>
    <t>[[10001, 'SOUTHEAST ALABAMA MEDICAL CENTER', 36301, 45757.55797619046, 10177.445952380953, 8907.124523809522], [10005, 'MARSHALL MEDICAL CENTER SOUTH', 35957, 17601.732068965513, 7403.27448275862, 5947.807586206897], [10006, 'ELIZA COFFEE MEMORIAL HOSPITAL', 35631, 56096.88644067797, 11159.26627118644, 9789.64288135593]]</t>
  </si>
  <si>
    <t>Source6_0</t>
  </si>
  <si>
    <t>[[17734.69, 3154.38, 4303.92, '195 - SIMPLE PNEUMONIA &amp; PLEURISY W/O CC/MCC', 'TN - Johnson City', 'JOHNSON CITY', 440184, 'FRANKLIN WOODS COMMUNITY HOSPITAL', 'TN', '300 MED TECH PARKWAY', 37604, 13], [28375.14, 8231.48, 9003.1, '180 - RESPIRATORY NEOPLASMS W MCC', 'FL - Orlando', 'THE VILLAGES', 100290, 'VILLAGES REGIONAL HOSPITAL, THE', 'FL', '1451 EL CAMINO REAL', 32159, 21], [68931.09, 9809.0, 13479.96, '707 - MAJOR MALE PELVIC PROCEDURES W CC/MCC', 'TX - Houston', 'HOUSTON', 450358, 'METHODIST HOSPITAL,THE', 'TX', '6565 FANNIN', 77030, 23]]</t>
  </si>
  <si>
    <t>['average_covered_charges', 'average_medicare_payments', 'average_total_payments', 'drg_definition', 'hospital_referral_region_hrr_description', 'provider_city', 'provider_id', 'provider_name', 'provider_state', 'provider_street_address', 'provider_zip_code', 'total_discharges']</t>
  </si>
  <si>
    <t>CREATE TABLE Source6_0 (
    average_covered_charges NUMERIC,
    average_medicare_payments NUMERIC,
    average_total_payments NUMERIC,
    drg_definition VARCHAR(100),
    hospital_referral_region_hrr_description VARCHAR(100),
    provider_city VARCHAR(100),
    provider_id INTEGER,
    provider_name VARCHAR(100),
    provider_state VARCHAR(2),
    provider_street_address VARCHAR(100),
    provider_zip_code INTEGER,
    total_discharges INTEGER
);
-- Insert sample rows into the source table
INSERT INTO Source6_0 (average_covered_charges, average_medicare_payments, average_total_payments, drg_definition, hospital_referral_region_hrr_description, provider_city, provider_id, provider_name, provider_state, provider_street_address, provider_zip_code, total_discharges)
VALUES (17734.69, 3154.38, 4303.92, '195 - SIMPLE PNEUMONIA &amp; PLEURISY W/O CC/MCC', 'TN - Johnson City', 'JOHNSON CITY', 440184, 'FRANKLIN WOODS COMMUNITY HOSPITAL', 'TN', '300 MED TECH PARKWAY', 37604, 13),
       (28375.14, 8231.48, 9003.1, '180 - RESPIRATORY NEOPLASMS W MCC', 'FL - Orlando', 'THE VILLAGES', 100290, 'VILLAGES REGIONAL HOSPITAL, THE', 'FL', '1451 EL CAMINO REAL', 32159, 21),
       (68931.09, 9809.0, 13479.96, '707 - MAJOR MALE PELVIC PROCEDURES W CC/MCC', 'TX - Houston', 'HOUSTON', 450358, 'METHODIST HOSPITAL,THE', 'TX', '6565 FANNIN', 77030, 23);
-- Drop the target table if it exists
DROP TABLE IF EXISTS Target1_6;
-- Create the target table
CREATE TABLE Target1_6 (
    provider_id INTEGER,
    provider_name VARCHAR(100),
    provider_zip_code INTEGER,
    average_covered_charges NUMERIC,
    average_total_payments NUMERIC,
    average_medicare_payments NUMERIC
);
-- Insert rows from the source table into the target table
INSERT INTO Target1_6 (provider_id, provider_name, provider_zip_code, average_covered_charges, average_total_payments, average_medicare_payments)
SELECT provider_id, provider_name, provider_zip_code, AVG(average_covered_charges), AVG(average_total_payments), AVG(average_medicare_payments)
FROM Source6_0
GROUP BY provider_id, provider_name, provider_zip_code;
-- Export the result to a CSV file
COPY (SELECT * FROM Target1_6) TO 'D:\lab\ChatGPTwithSQLscript\github-pipelines\length1_6\Target1_6_result.csv' DELIMITER ',' CSV HEADER;</t>
  </si>
  <si>
    <t xml:space="preserve">Generated SQL result does not match at all, num of rows are different. </t>
  </si>
  <si>
    <t xml:space="preserve">Its challenging to figure out mapping from source to target values. </t>
  </si>
  <si>
    <t>L1_60</t>
  </si>
  <si>
    <t>['type', 'driver_count']</t>
  </si>
  <si>
    <t>[['Urban', 2149]]</t>
  </si>
  <si>
    <t xml:space="preserve">In target table, the driver_count is total count of driver from source table for each type. </t>
  </si>
  <si>
    <t>Source60_0</t>
  </si>
  <si>
    <t>[['Richardfort', 38, 'Urban'], ['Williamsstad', 59, 'Urban'], ['Port Angela', 67, 'Urban']]</t>
  </si>
  <si>
    <t>['city', 'driver_count', 'type']</t>
  </si>
  <si>
    <t>DROP TABLE IF EXISTS Source60_0;
-- Create the source table
CREATE TABLE Source60_0 (
    city VARCHAR,
    driver_count INTEGER,
    type VARCHAR
);
-- Insert sample rows into the source table
INSERT INTO Source60_0 (city, driver_count, type)
VALUES ('Richardfort', 38, 'Urban'),
       ('Williamsstad', 59, 'Urban'),
       ('Port Angela', 67, 'Urban');
-- Drop the target table if it exists
DROP TABLE IF EXISTS Target1_60;
-- Create the target table
CREATE TABLE Target1_60 (
    type VARCHAR,
    driver_count INTEGER
);
-- Insert rows from the source table into the target table
INSERT INTO Target1_60 (type, driver_count)
SELECT type, SUM(driver_count)
FROM Source60_0
GROUP BY type;
-- Export the result to a CSV file
COPY (SELECT * FROM Target1_60) TO 'D:\lab\ChatGPTwithSQLscript\github-pipelines\length1_60\Target1_60_result.csv' DELIMITER ',' CSV HEADER;</t>
  </si>
  <si>
    <t>[1.0, 0.0]</t>
  </si>
  <si>
    <t>The result is not a exact match, may be because only using test file not training.</t>
  </si>
  <si>
    <t>L1_64</t>
  </si>
  <si>
    <t>Target1_64</t>
  </si>
  <si>
    <t>['name', 'Gender', 'Eye color', 'Race', 'Hair color', 'Height', 'Publisher', 'Skin color', 'Alignment', 'Weight', 'hero_names', 'Agility', 'Accelerated Healing', 'Lantern Power Ring', 'Dimensional Awareness', 'Cold Resistance', 'Durability', 'Stealth', 'Energy Absorption', 'Flight', 'Danger Sense', 'Underwater breathing', 'Marksmanship', 'Weapons Master', 'Power Augmentation', 'Animal Attributes', 'Longevity', 'Intelligence', 'Super Strength', 'Cryokinesis', 'Telepathy', 'Energy Armor', 'Energy Blasts', 'Duplication', 'Size Changing', 'Density Control', 'Stamina', 'Astral Travel', 'Audio Control', 'Dexterity', 'Omnitrix', 'Super Speed', 'Possession', 'Animal Oriented Powers', 'Weapon-based Powers', 'Electrokinesis', 'Darkforce Manipulation', 'Death Touch', 'Teleportation', 'Enhanced Senses', 'Telekinesis', 'Energy Beams', 'Magic', 'Hyperkinesis', 'Jump', 'Clairvoyance', 'Dimensional Travel', 'Power Sense', 'Shapeshifting', 'Peak Human Condition', 'Immortality', 'Camouflage', 'Element Control', 'Phasing', 'Astral Projection', 'Electrical Transport', 'Fire Control', 'Projection', 'Summoning', 'Enhanced Memory', 'Reflexes', 'Invulnerability', 'Energy Constructs', 'Force Fields', 'Self-Sustenance', 'Anti-Gravity', 'Empathy', 'Power Nullifier', 'Radiation Control', 'Psionic Powers', 'Elasticity', 'Substance Secretion', 'Elemental Transmogrification', 'Technopath/Cyberpath', 'Photographic Reflexes', 'Seismic Power', 'Animation', 'Precognition', 'Mind Control', 'Fire Resistance', 'Power Absorption', 'Enhanced Hearing', 'Nova Force', 'Insanity', 'Hypnokinesis', 'Animal Control', 'Natural Armor', 'Intangibility', 'Enhanced Sight', 'Molecular Manipulation', 'Heat Generation', 'Adaptation', 'Gliding', 'Power Suit', 'Mind Blast', 'Probability Manipulation', 'Gravity Control', 'Regeneration', 'Light Control', 'Echolocation', 'Levitation', 'Toxin and Disease Control', 'Banish', 'Energy Manipulation', 'Heat Resistance', 'Natural Weapons', 'Time Travel', 'Enhanced Smell', 'Illusions', 'Thirstokinesis', 'Hair Manipulation', 'Illumination', 'Omnipotent', 'Cloaking', 'Changing Armor', 'Power Cosmic', 'Biokinesis', 'Water Control', 'Radiation Immunity', 'Vision - Telescopic', 'Toxin and Disease Resistance', 'Spatial Awareness', 'Energy Resistance', 'Telepathy Resistance', 'Molecular Combustion', 'Omnilingualism', 'Portal Creation', 'Magnetism', 'Mind Control Resistance', 'Plant Control', 'Sonar', 'Sonic Scream', 'Time Manipulation', 'Enhanced Touch', 'Magic Resistance', 'Invisibility', 'Sub-Mariner', 'Radiation Absorption', 'Intuitive aptitude', 'Vision - Microscopic', 'Melting', 'Wind Control', 'Super Breath', 'Wallcrawling', 'Vision - Night', 'Vision - Infrared', 'Grim Reaping', 'Matter Absorption', 'The Force', 'Resurrection', 'Terrakinesis', 'Vision - Heat', 'Vitakinesis', 'Radar Sense', 'Qwardian Power Ring', 'Weather Control', 'Vision - X-Ray', 'Vision - Thermal', 'Web Creation', 'Reality Warping', 'Odin Force', 'Symbiote Costume', 'Speed Force', 'Phoenix Force', 'Molecular Dissipation', 'Vision - Cryo', 'Omnipresent', 'Omniscient']</t>
  </si>
  <si>
    <t>[['A-Bomb', 'Male', 'yellow', 'Human', 'No Hair', 203, 'Marvel Comics', '-', 'good', 441.0, 'A-Bomb', False, True, False, False, False, True, False, False, False, False, False, False, False, False, False, True, False, True, False, False, False, False, False, False, False, True, False, False, False, False, False, False, False, False, False, False, False, False, False, False, False, False, False, False, False, False, False, False, False, False, True,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['Abe Sapien', 'Male', 'blue', 'Icthyo Sapien', 'No Hair', 191, 'Dark Horse Comics', 'blue', 'good', 65.0, 'Abe Sapien', True, True, False, False, True, True, False, False, False, False, True, True, True, False, False, True, True, True, False, True, False, False, False, False, False, True, False, False, False, False, False, False, False, False, False, False, False, False, False, False, False, False, False, False, False, False, False, False, False, True, False, False, False, False, False, False, False, False, False, True,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['Abin Sur', 'Male', 'blue', 'Ungaran', 'No Hair', 185, 'DC Comics', 'red', 'good', 90.0, 'Abin Sur',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</si>
  <si>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Source64_0</t>
  </si>
  <si>
    <t>[['A-Bomb', 'Male', 'yellow', 'Human', 'No Hair', 203, 'Marvel Comics', '-', 'good', 441.0], ['Abe Sapien', 'Male', 'blue', 'Icthyo Sapien', 'No Hair', 191, 'Dark Horse Comics', 'blue', 'good', 65.0], ['Abin Sur', 'Male', 'blue', 'Ungaran', 'No Hair', 185, 'DC Comics', 'red', 'good', 90.0]]</t>
  </si>
  <si>
    <t>['name', 'Gender', 'Eye color', 'Race', 'Hair color', 'Height', 'Publisher', 'Skin color', 'Alignment', 'Weight']</t>
  </si>
  <si>
    <t>DROP TABLE IF EXISTS Source64_0;
CREATE TABLE Source64_0 (
    name VARCHAR(255),
    Gender VARCHAR(255),
    "Eye color" VARCHAR(255),
    Race VARCHAR(255),
    "Hair color" VARCHAR(255),
    Height INTEGER,
    Publisher VARCHAR(255),
    "Skin color" VARCHAR(255),
    Alignment VARCHAR(255),
    Weight FLOAT
);
DROP TABLE IF EXISTS Source64_1;
CREATE TABLE Source64_1 (
    hero_names VARCHAR(255),
    Agility BOOLEAN,
    "Accelerated Healing" BOOLEAN,
    "Lantern Power Ring" BOOLEAN,
    "Dimensional Awareness" BOOLEAN,
    "Cold Resistance" BOOLEAN,
    Durability BOOLEAN,
    Stealth BOOLEAN,
    "Energy Absorption" BOOLEAN,
    Flight BOOLEAN,
    "Danger Sense" BOOLEAN,
    "Underwater breathing" BOOLEAN,
    Marksmanship BOOLEAN,
    "Weapons Master" BOOLEAN,
    "Power Augmentation" BOOLEAN,
    "Animal Attributes" BOOLEAN,
    Longevity BOOLEAN,
    Intelligence BOOLEAN,
    "Super Strength" BOOLEAN,
    Cryokinesis BOOLEAN,
    Telepathy BOOLEAN,
    "Energy Armor" BOOLEAN,
    "Energy Blasts" BOOLEAN,
    Duplication BOOLEAN,
    "Size Changing" BOOLEAN,
    "Density Control" BOOLEAN,
    Stamina BOOLEAN,
    "Astral Travel" BOOLEAN,
    "Audio Control" BOOLEAN,
    Dexterity BOOLEAN,
    Omnitrix BOOLEAN,
    "Super Speed" BOOLEAN,
    Possession BOOLEAN,
    "Animal Oriented Powers" BOOLEAN,
    "Weapon-based Powers" BOOLEAN,
    Electrokinesis BOOLEAN,
    "Darkforce Manipulation" BOOLEAN,
    "Death Touch" BOOLEAN,
    Teleportation BOOLEAN,
    "Enhanced Senses" BOOLEAN,
    Telekinesis BOOLEAN,
    "Energy Beams" BOOLEAN,
    Magic BOOLEAN,
    Hyperkinesis BOOLEAN,
    Jump BOOLEAN,
    Clairvoyance BOOLEAN,
    "Dimensional Travel" BOOLEAN,
    "Power Sense" BOOLEAN,
    Shapeshifting BOOLEAN,
    "Peak Human Condition" BOOLEAN,
    Immortality BOOLEAN,
    Camouflage BOOLEAN,
    "Element Control" BOOLEAN,
    Phasing BOOLEAN,
    "Astral Projection" BOOLEAN,
    "Electrical Transport" BOOLEAN,
    "Fire Control" BOOLEAN,
    Projection BOOLEAN,
    Summoning BOOLEAN,
    "Enhanced Memory" BOOLEAN,
    Reflexes BOOLEAN,
    Invulnerability BOOLEAN,
    "Energy Constructs" BOOLEAN,
    "Force Fields" BOOLEAN,
    "Self-Sustenance" BOOLEAN,
    "Anti-Gravity" BOOLEAN,
    Empathy BOOLEAN,
    "Power Nullifier" BOOLEAN,
    "Radiation Control" BOOLEAN,
    "Psionic Powers" BOOLEAN,
    Elasticity BOOLEAN,
    "Substance Secretion" BOOLEAN,
    "Elemental Transmogrification" BOOLEAN,
    "Technopath/Cyberpath" BOOLEAN,
    "Photographic Reflexes" BOOLEAN,
    "Seismic Power" BOOLEAN,
    Animation BOOLEAN,
    Precognition BOOLEAN,
    "Mind Control" BOOLEAN,
    "Fire Resistance" BOOLEAN,
    "Power Absorption" BOOLEAN,
    "Enhanced Hearing" BOOLEAN,
    "Nova Force" BOOLEAN,
    Insanity BOOLEAN,
    Hypnokinesis BOOLEAN,
    "Animal Control" BOOLEAN,
    "Natural Armor" BOOLEAN,
    Intangibility BOOLEAN,
    "Enhanced Sight" BOOLEAN,
    "Molecular Manipulation" BOOLEAN,
    "Heat Generation" BOOLEAN,
    Adaptation BOOLEAN,
    Gliding BOOLEAN,
    "Power Suit" BOOLEAN,
    "Mind Blast" BOOLEAN,
    "Probability Manipulation" BOOLEAN,
    "Gravity Control" BOOLEAN,
    Regeneration BOOLEAN,
    "Light Control" BOOLEAN,
    Echolocation BOOLEAN,
    Levitation BOOLEAN,
    "Toxin and Disease Control" BOOLEAN,
    Banish BOOLEAN,
    "Energy Manipulation" BOOLEAN,
    "Heat Resistance" BOOLEAN,
    "Natural Weapons" BOOLEAN,
    "Time Travel" BOOLEAN,
    "Enhanced Smell" BOOLEAN,
    Illusions BOOLEAN,
    Thirstokinesis BOOLEAN,
    "Hair Manipulation" BOOLEAN,
    Illumination BOOLEAN,
    Omnipotent BOOLEAN,
    Cloaking BOOLEAN,
    "Changing Armor" BOOLEAN,
    "Power Cosmic" BOOLEAN,
    Biokinesis BOOLEAN,
    "Water Control" BOOLEAN,
    "Radiation Immunity" BOOLEAN,
    "Vision - Telescopic" BOOLEAN,
    "Toxin and Disease Resistance" BOOLEAN,
    "Spatial Awareness" BOOLEAN,
    "Energy Resistance" BOOLEAN,
    "Telepathy Resistance" BOOLEAN,
    "Molecular Combustion" BOOLEAN,
    Omnilingualism BOOLEAN,
    "Portal Creation" BOOLEAN,
    Magnetism BOOLEAN,
    "Mind Control Resistance" BOOLEAN,
    "Plant Control" BOOLEAN,
    Sonar BOOLEAN,
    "Sonic Scream" BOOLEAN,
    "Time Manipulation" BOOLEAN,
    "Enhanced Touch" BOOLEAN,
    "Magic Resistance" BOOLEAN,
    Invisibility BOOLEAN,
    "Sub-Mariner" BOOLEAN,
    "Radiation Absorption" BOOLEAN,
    "Intuitive aptitude" BOOLEAN,
    "Vision - Microscopic" BOOLEAN,
    Melting BOOLEAN,
    "Wind Control" BOOLEAN,
    "Super Breath" BOOLEAN,
    Wallcrawling BOOLEAN,
    "Vision - Night" BOOLEAN,
    "Vision - Infrared" BOOLEAN,
    "Grim Reaping" BOOLEAN,
    "Matter Absorption" BOOLEAN,
    "The Force" BOOLEAN,
    Resurrection BOOLEAN,
    Terrakinesis BOOLEAN,
    "Vision - Heat" BOOLEAN,
    Vitakinesis BOOLEAN,
    "Radar Sense" BOOLEAN,
    "Qwardian Power Ring" BOOLEAN,
    "Weather Control" BOOLEAN,
    "Vision - X-Ray" BOOLEAN,
    "Vision - Thermal" BOOLEAN,
    "Web Creation" BOOLEAN,
    "Reality Warping" BOOLEAN,
    "Odin Force" BOOLEAN,
    "Symbiote Costume" BOOLEAN,
    "Speed Force" BOOLEAN,
    "Phoenix Force" BOOLEAN,
    "Molecular Dissipation" BOOLEAN,
    "Vision - Cryo" BOOLEAN,
    Omnipresent BOOLEAN,
    Omniscient BOOLEAN
);
-- Step 2: Insert data into the source tables
COPY Source64_0 FROM 'D:\lab\ChatGPTwithSQLscript\github-pipelines\length1_64\test_0.csv' DELIMITER ',' CSV HEADER NULL '';
COPY Source64_1 FROM 'D:\lab\ChatGPTwithSQLscript\github-pipelines\length1_64\test_1.csv' DELIMITER ',' CSV HEADER NULL '';
-- Step 3: Create the target table
DROP TABLE IF EXISTS Target1_64;
CREATE TABLE Target1_64 AS
SELECT
    s0.name,
    s0.Gender,
    s0."Eye color",
    s0.Race,
    s0."Hair color",
    s0.Height,
    s0.Publisher,
    s0."Skin color",
    s0.Alignment,
    s0.Weight,
    s1.hero_names,
    s1.Agility,
    s1."Accelerated Healing",
    s1."Lantern Power Ring",
    s1."Dimensional Awareness",
    s1."Cold Resistance",
    s1.Durability,
    s1.Stealth,
    s1."Energy Absorption",
    s1.Flight,
    s1."Danger Sense",
    s1."Underwater breathing",
    s1.Marksmanship,
    s1."Weapons Master",
    s1."Power Augmentation",
    s1."Animal Attributes",
    s1.Longevity,
    s1.Intelligence,
    s1."Super Strength",
    s1.Cryokinesis,
    s1.Telepathy,
    s1."Energy Armor",
    s1."Energy Blasts",
    s1.Duplication,
    s1."Size Changing",
    s1."Density Control",
    s1.Stamina,
    s1."Astral Travel",
    s1."Audio Control",
    s1.Dexterity,
    s1.Omnitrix,
    s1."Super Speed",
    s1.Possession,
    s1."Animal Oriented Powers",
    s1."Weapon-based Powers",
    s1.Electrokinesis,
    s1."Darkforce Manipulation",
    s1."Death Touch",
    s1.Teleportation,
    s1."Enhanced Senses",
    s1.Telekinesis,
    s1."Energy Beams",
    s1.Magic,
    s1.Hyperkinesis,
    s1.Jump,
    s1.Clairvoyance,
    s1."Dimensional Travel",
    s1."Power Sense",
    s1.Shapeshifting,
    s1."Peak Human Condition",
    s1.Immortality,
    s1.Camouflage,
    s1."Element Control",
    s1.Phasing,
    s1."Astral Projection",
    s1."Electrical Transport",
    s1."Fire Control",
    s1.Projection,
    s1.Summoning,
    s1."Enhanced Memory",
    s1.Reflexes,
    s1.Invulnerability,
    s1."Energy Constructs",
    s1."Force Fields",
    s1."Self-Sustenance",
    s1."Anti-Gravity",
    s1.Empathy,
    s1."Power Nullifier",
    s1."Radiation Control",
    s1."Psionic Powers",
    s1.Elasticity,
    s1."Substance Secretion",
    s1."Elemental Transmogrification",
    s1."Technopath/Cyberpath",
    s1."Photographic Reflexes",
    s1."Seismic Power",
    s1.Animation,
    s1.Precognition,
    s1."Mind Control",
    s1."Fire Resistance",
    s1."Power Absorption",
    s1."Enhanced Hearing",
    s1."Nova Force",
    s1.Insanity,
    s1.Hypnokinesis,
    s1."Animal Control",
    s1."Natural Armor",
    s1.Intangibility,
    s1."Enhanced Sight",
    s1."Molecular Manipulation",
    s1."Heat Generation",
    s1.Adaptation,
    s1.Gliding,
    s1."Power Suit",
    s1."Mind Blast",
    s1."Probability Manipulation",
    s1."Gravity Control",
    s1.Regeneration,
    s1."Light Control",
    s1.Echolocation,
    s1.Levitation,
    s1."Toxin and Disease Control",
    s1.Banish,
    s1."Energy Manipulation",
    s1."Heat Resistance",
    s1."Natural Weapons",
    s1."Time Travel",
    s1."Enhanced Smell",
    s1.Illusions,
    s1.Thirstokinesis,
    s1."Hair Manipulation",
    s1.Illumination,
    s1.Omnipotent,
    s1.Cloaking,
    s1."Changing Armor",
    s1."Power Cosmic",
    s1.Biokinesis,
    s1."Water Control",
    s1."Radiation Immunity",
    s1."Vision - Telescopic",
    s1."Toxin and Disease Resistance",
    s1."Spatial Awareness",
    s1."Energy Resistance",
    s1."Telepathy Resistance",
    s1."Molecular Combustion",
    s1.Omnilingualism,
    s1."Portal Creation",
    s1.Magnetism,
    s1."Mind Control Resistance",
    s1."Plant Control",
    s1.Sonar,
    s1."Sonic Scream",
    s1."Time Manipulation",
    s1."Enhanced Touch",
    s1."Magic Resistance",
    s1.Invisibility,
    s1."Sub-Mariner",
    s1."Radiation Absorption",
    s1."Intuitive aptitude",
    s1."Vision - Microscopic",
    s1.Melting,
    s1."Wind Control",
    s1."Super Breath",
    s1.Wallcrawling,
    s1."Vision - Night",
    s1."Vision - Infrared",
    s1."Grim Reaping",
    s1."Matter Absorption",
    s1."The Force",
    s1.Resurrection,
    s1.Terrakinesis,
    s1."Vision - Heat",
    s1.Vitakinesis,
    s1."Radar Sense",
    s1."Qwardian Power Ring",
    s1."Weather Control",
    s1."Vision - X-Ray",
    s1."Vision - Thermal",
    s1."Web Creation",
    s1."Reality Warping",
    s1."Odin Force",
    s1."Symbiote Costume",
    s1."Speed Force",
    s1."Phoenix Force",
    s1."Molecular Dissipation",
    s1."Vision - Cryo",
    s1.Omnipresent,
    s1.Omniscient
FROM Source64_0 s0
JOIN Source64_1 s1 ON s0.name = s1.hero_names;
-- Step 4: Export the result to a CSV file
COPY Target1_64 TO 'D:\lab\ChatGPTwithSQLscript\github-pipelines\length1_64\Target1_64_result.csv' DELIMITER ',' CSV HEADER;</t>
  </si>
  <si>
    <t xml:space="preserve">This type of error can be resolved if rerun. </t>
  </si>
  <si>
    <t>Error in the previous response: Error: ERROR:  extra data after last expected column
CONTEXT:  COPY source64_1, line 2: "3-D Man,True,False,False,False,False,False,False,False,False,False,False,False,False,False,False,Fal..."</t>
  </si>
  <si>
    <t>Source64_1</t>
  </si>
  <si>
    <t>[['3-D Man', True, False, False, False, False, False, False, False, False, False, False, False, False, False, False, False, False, True, False, False, False, False, False, False, False, True,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['A-Bomb', False, True, False, False, False, True, False, False, False, False, False, False, False, False, False, True, False, True, False, False, False, False, False, False, False, True, False, False, False, False, False, False, False, False, False, False, False, False, False, False, False, False, False, False, False, False, False, False, False, False, True,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['Abe Sapien', True, True, False, False, True, True, False, False, False, False, True, True, True, False, False, True, True, True, False, True, False, False, False, False, False, True, False, False, False, False, False, False, False, False, False, False, False, False, False, False, False, False, False, False, False, False, False, False, False, True, False, False, False, False, False, False, False, False, False, True,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</si>
  <si>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['hero_names', 'Agility', 'Accelerated Healing', 'Lantern Power Ring', 'Dimensional Awareness', 'Cold Resistance', 'Durability', 'Stealth', 'Energy Absorption', 'Flight', 'Danger Sense', 'Underwater breathing', 'Marksmanship', 'Weapons Master', 'Power Augmentation', 'Animal Attributes', 'Longevity', 'Intelligence', 'Super Strength', 'Cryokinesis', 'Telepathy', 'Energy Armor', 'Energy Blasts', 'Duplication', 'Size Changing', 'Density Control', 'Stamina', 'Astral Travel', 'Audio Control', 'Dexterity', 'Omnitrix', 'Super Speed', 'Possession', 'Animal Oriented Powers', 'Weapon-based Powers', 'Electrokinesis', 'Darkforce Manipulation', 'Death Touch', 'Teleportation', 'Enhanced Senses', 'Telekinesis', 'Energy Beams', 'Magic', 'Hyperkinesis', 'Jump', 'Clairvoyance', 'Dimensional Travel', 'Power Sense', 'Shapeshifting', 'Peak Human Condition', 'Immortality', 'Camouflage', 'Element Control', 'Phasing', 'Astral Projection', 'Electrical Transport', 'Fire Control', 'Projection', 'Summoning', 'Enhanced Memory', 'Reflexes', 'Invulnerability', 'Energy Constructs', 'Force Fields', 'Self-Sustenance', 'Anti-Gravity', 'Empathy', 'Power Nullifier', 'Radiation Control', 'Psionic Powers', 'Elasticity', 'Substance Secretion', 'Elemental Transmogrification', 'Technopath/Cyberpath', 'Photographic Reflexes', 'Seismic Power', 'Animation', 'Precognition', 'Mind Control', 'Fire Resistance', 'Power Absorption', 'Enhanced Hearing', 'Nova Force', 'Insanity', 'Hypnokinesis', 'Animal Control', 'Natural Armor', 'Intangibility', 'Enhanced Sight', 'Molecular Manipulation', 'Heat Generation', 'Adaptation', 'Gliding', 'Power Suit', 'Mind Blast', 'Probability Manipulation', 'Gravity Control', 'Regeneration', 'Light Control', 'Echolocation', 'Levitation', 'Toxin and Disease Control', 'Banish', 'Energy Manipulation', 'Heat Resistance', 'Natural Weapons', 'Time Travel', 'Enhanced Smell', 'Illusions', 'Thirstokinesis', 'Hair Manipulation', 'Illumination', 'Omnipotent', 'Cloaking', 'Changing Armor', 'Power Cosmic', 'Biokinesis', 'Water Control', 'Radiation Immunity', 'Vision - Telescopic', 'Toxin and Disease Resistance', 'Spatial Awareness', 'Energy Resistance', 'Telepathy Resistance', 'Molecular Combustion', 'Omnilingualism', 'Portal Creation', 'Magnetism', 'Mind Control Resistance', 'Plant Control', 'Sonar', 'Sonic Scream', 'Time Manipulation', 'Enhanced Touch', 'Magic Resistance', 'Invisibility', 'Sub-Mariner', 'Radiation Absorption', 'Intuitive aptitude', 'Vision - Microscopic', 'Melting', 'Wind Control', 'Super Breath', 'Wallcrawling', 'Vision - Night', 'Vision - Infrared', 'Grim Reaping', 'Matter Absorption', 'The Force', 'Resurrection', 'Terrakinesis', 'Vision - Heat', 'Vitakinesis', 'Radar Sense', 'Qwardian Power Ring', 'Weather Control', 'Vision - X-Ray', 'Vision - Thermal', 'Web Creation', 'Reality Warping', 'Odin Force', 'Symbiote Costume', 'Speed Force', 'Phoenix Force', 'Molecular Dissipation', 'Vision - Cryo', 'Omnipresent', 'Omniscient']</t>
  </si>
  <si>
    <t>L1_65</t>
  </si>
  <si>
    <t>['year', '0']</t>
  </si>
  <si>
    <t>[[1940, 1], [1960, 1], [1962, 1]]</t>
  </si>
  <si>
    <t xml:space="preserve">In target, for each year the '0' is count for the year in order. </t>
  </si>
  <si>
    <t>Source65_0</t>
  </si>
  <si>
    <t>[[237000000, '[{"id": 28, "name": "Action"}, {"id": 12, "name": "Adventure"}, {"id": 14, "name": "Fantasy"}, {"id": 878, "name": "Science Fiction"}]', 'http://www.avatarmovie.com/', 19995, '[{"id": 1463, "name": "culture clash"}, {"id": 2964, "name": "future"}, {"id": 3386, "name": "space war"}, {"id": 3388, "name": "space colony"}, {"id": 3679, "name": "society"}, {"id": 3801, "name": "space travel"}, {"id": 9685, "name": "futuristic"}, {"id": 9840, "name": "romance"}, {"id": 9882, "name": "space"}, {"id": 9951, "name": "alien"}, {"id": 10148, "name": "tribe"}, {"id": 10158, "name": "alien planet"}, {"id": 10987, "name": "cgi"}, {"id": 11399, "name": "marine"}, {"id": 13065, "name": "soldier"}, {"id": 14643, "name": "battle"}, {"id": 14720, "name": "love affair"}, {"id": 165431, "name": "anti war"}, {"id": 193554, "name": "power relations"}, {"id": 206690, "name": "mind and soul"}, {"id": 209714, "name": "3d"}]', 'en', 'Avatar', 'In the 22nd century, a paraplegic Marine is dispatched to the moon Pandora on a unique mission, but becomes torn between following orders and protecting an alien civilization.', 150.437577, '[{"name": "Ingenious Film Partners", "id": 289}, {"name": "Twentieth Century Fox Film Corporation", "id": 306}, {"name": "Dune Entertainment", "id": 444}, {"name": "Lightstorm Entertainment", "id": 574}]', '[{"iso_3166_1": "US", "name": "United States of America"}, {"iso_3166_1": "GB", "name": "United Kingdom"}]', '2009-12-10', 2787965087, 162, '[{"iso_639_1": "en", "name": "English"}, {"iso_639_1": "es", "name": "Espa\\u00f1ol"}]', 'Released', 'Enter the World of Pandora.', 'Avatar', 7.2, 11800, 2009], [300000000, '[{"id": 12, "name": "Adventure"}, {"id": 14, "name": "Fantasy"}, {"id": 28, "name": "Action"}]', 'http://disney.go.com/disneypictures/pirates/', 285, '[{"id": 270, "name": "ocean"}, {"id": 726, "name": "drug abuse"}, {"id": 911, "name": "exotic island"}, {"id": 1319, "name": "east india trading company"}, {"id": 2038, "name": "love of one\'s life"}, {"id": 2052, "name": "traitor"}, {"id": 2580, "name": "shipwreck"}, {"id": 2660, "name": "strong woman"}, {"id": 3799, "name": "ship"}, {"id": 5740, "name": "alliance"}, {"id": 5941, "name": "calypso"}, {"id": 6155, "name": "afterlife"}, {"id": 6211, "name": "fighter"}, {"id": 12988, "name": "pirate"}, {"id": 157186, "name": "swashbuckler"}, {"id": 179430, "name": "aftercreditsstinger"}]', 'en', "Pirates of the Caribbean: At World's End", 'Captain Barbossa, long believed to be dead, has come back to life and is headed to the edge of the Earth with Will Turner and Elizabeth Swann. But nothing is quite as it seems.', 139.082615, '[{"name": "Walt Disney Pictures", "id": 2}, {"name": "Jerry Bruckheimer Films", "id": 130}, {"name": "Second Mate Productions", "id": 19936}]', '[{"iso_3166_1": "US", "name": "United States of America"}]', '2007-05-19', 961000000, 169, '[{"iso_639_1": "en", "name": "English"}]', 'Released', 'At the end of the world, the adventure begins.', "Pirates of the Caribbean: At World's End", 6.9, 4500, 2007], [245000000, '[{"id": 28, "name": "Action"}, {"id": 12, "name": "Adventure"}, {"id": 80, "name": "Crime"}]', 'http://www.sonypictures.com/movies/spectre/', 206647, '[{"id": 470, "name": "spy"}, {"id": 818, "name": "based on novel"}, {"id": 4289, "name": "secret agent"}, {"id": 9663, "name": "sequel"}, {"id": 14555, "name": "mi6"}, {"id": 156095, "name": "british secret service"}, {"id": 158431, "name": "united kingdom"}]', 'en', 'Spectre', 'A cryptic message from Bond’s past sends him on a trail to uncover a sinister organization. While M battles political forces to keep the secret service alive, Bond peels back the layers of deceit to reveal the terrible truth behind SPECTRE.', 107.376788, '[{"name": "Columbia Pictures", "id": 5}, {"name": "Danjaq", "id": 10761}, {"name": "B24", "id": 69434}]', '[{"iso_3166_1": "GB", "name": "United Kingdom"}, {"iso_3166_1": "US", "name": "United States of America"}]', '2015-10-26', 880674609, 148, '[{"iso_639_1": "fr", "name": "Fran\\u00e7ais"}, {"iso_639_1": "en", "name": "English"}, {"iso_639_1": "es", "name": "Espa\\u00f1ol"}, {"iso_639_1": "it", "name": "Italiano"}, {"iso_639_1": "de", "name": "Deutsch"}]', 'Released', 'A Plan No One Escapes', 'Spectre', 6.3, 4466, 2015]]</t>
  </si>
  <si>
    <t>['budget', 'genres', 'homepage', 'movie_id', 'keywords', 'original_language', 'original_title', 'overview', 'popularity', 'production_companies', 'production_countries', 'release_date', 'revenue', 'runtime', 'spoken_languages', 'status', 'tagline', 'title', 'vote_average', 'vote_count', 'year']</t>
  </si>
  <si>
    <t>DROP TABLE IF EXISTS Source65_0;
-- Create the source table
CREATE TABLE Source65_0 (
    budget NUMERIC,
    genres JSONB,
    homepage TEXT,
    movie_id INTEGER,
    keywords JSONB,
    original_language TEXT,
    original_title TEXT,
    overview TEXT,
    popularity NUMERIC,
    production_companies JSONB,
    production_countries JSONB,
    release_date DATE,
    revenue NUMERIC,
    runtime INTEGER,
    spoken_languages JSONB,
    status TEXT,
    tagline TEXT,
    title TEXT,
    vote_average NUMERIC,
    vote_count INTEGER,
    year INTEGER
);
-- Insert data from the CSV file into the source table
COPY Source65_0 FROM 'D:\lab\ChatGPTwithSQLscript\github-pipelines\length1_65\test_0.csv' DELIMITER ',' CSV HEADER NULL '';
-- Drop the target table if it exists
DROP TABLE IF EXISTS Target1_65;
-- Create the target table
CREATE TABLE Target1_65 (
    year INTEGER,
    "0" INTEGER
);
-- Insert data from the source table into the target table
INSERT INTO Target1_65 (year, "0")
SELECT year, COUNT(*) AS "0"
FROM Source65_0
GROUP BY year;
-- Export the result to a CSV file
COPY (SELECT * FROM Target1_65) TO 'D:\lab\ChatGPTwithSQLscript\github-pipelines\length1_65\Target1_65_result.csv' DELIMITER ',' CSV HEADER;</t>
  </si>
  <si>
    <t>[0.018867924528301886, 0.07547169811320754]</t>
  </si>
  <si>
    <t xml:space="preserve">The hints made sim score better, the order of row should match exactly. </t>
  </si>
  <si>
    <t>L1_69</t>
  </si>
  <si>
    <t>Target1_69</t>
  </si>
  <si>
    <t>['city', 'driver_count', 'type', 'date', 'fare', 'ride_id']</t>
  </si>
  <si>
    <t>[['Kelseyland', 63, 'Urban', '2016-08-19 04:27:52', 5.51, 6246006544795], ['Kelseyland', 63, 'Urban', '2016-04-17 06:59:50', 5.54, 7466473222333], ['Kelseyland', 63, 'Urban', '2016-05-04 15:06:07', 30.54, 2140501382736]]</t>
  </si>
  <si>
    <t>Source69_0</t>
  </si>
  <si>
    <t>[['Kelseyland', 63, 'Urban'], ['Nguyenbury', 8, 'Urban'], ['East Douglas', 12, 'Urban']]</t>
  </si>
  <si>
    <t>DROP TABLE IF EXISTS Source_0;
CREATE TABLE Source_0 (
    city VARCHAR,
    driver_count INTEGER,
    type VARCHAR
);
DROP TABLE IF EXISTS Source_1;
CREATE TABLE Source_1 (
    city VARCHAR,
    date TIMESTAMP,
    fare FLOAT,
    ride_id BIGINT
);
-- Step 2: Insert data into the source tables from CSV files
COPY Source_0(city, driver_count, type)
FROM 'D:\lab\ChatGPTwithSQLscript\github-pipelines\length1_69\test_0.csv'
DELIMITER ',' CSV HEADER NULL '';
COPY Source_1(city, date, fare, ride_id)
FROM 'D:\lab\ChatGPTwithSQLscript\github-pipelines\length1_69\test_1.csv'
DELIMITER ',' CSV HEADER NULL '';
-- Step 3: Create the target table
DROP TABLE IF EXISTS Target1_69;
CREATE TABLE Target1_69 (
    city VARCHAR,
    driver_count INTEGER,
    type VARCHAR,
    date TIMESTAMP,
    fare FLOAT,
    ride_id BIGINT
);
-- Step 4: Insert data into the target table by joining the source tables
INSERT INTO Target1_69 (city, driver_count, type, date, fare, ride_id)
SELECT s0.city, s0.driver_count, s0.type, s1.date, s1.fare, s1.ride_id
FROM Source_0 s0
JOIN Source_1 s1 ON s0.city = s1.city;
-- Step 5: Export the result to a CSV file
COPY (SELECT * FROM Target1_69)
TO 'D:\lab\ChatGPTwithSQLscript\github-pipelines\length1_69\Target1_69_result.csv'
DELIMITER ',' CSV HEADER;</t>
  </si>
  <si>
    <t>[1.0, 0.02358887952822241, 1.0, 1.0, 0.0008424599831508003, 0.0008424599831508003]</t>
  </si>
  <si>
    <t>Source69_1</t>
  </si>
  <si>
    <t>[['Sarabury', '2016-01-16 13:49:27', 38.35, 5403689035038], ['South Roy', '2016-01-02 18:42:34', 17.49, 4036272335942], ['Wiseborough', '2016-01-21 17:35:29', 44.18, 3645042422587]]</t>
  </si>
  <si>
    <t>['city', 'date', 'fare', 'ride_id']</t>
  </si>
  <si>
    <t>L1_70</t>
  </si>
  <si>
    <t>Target1_70</t>
  </si>
  <si>
    <t>['order_id', 'order_status', 'order_approved_at', 'product_id', 'seller_id', 'price', 'freight_value']</t>
  </si>
  <si>
    <t>[['53cdb2fc8bc7dce0b6741e2150273451', 'delivered', '2018-07-26 03:24:27', '595fac2a385ac33a80bd5114aec74eb8', '289cdb325fb7e7f891c38608bf9e0962', 118.7, 22.76], ['47770eb9100c2d0c44946d9cf07ec65d', 'delivered', '2018-08-08 08:55:23', 'aa4383b373c6aca5d8797843e5594415', '4869f7a5dfa277a7dca6462dcf3b52b2', 159.9, 19.22], ['136cce7faa42fdb2cefd53fdc79a6098', 'invoiced', '2017-04-13 13:25:17', 'a1804276d9941ac0733cfd409f5206eb', 'dc8798cbf453b7e0f98745e396cc5616', 49.9, 16.05]]</t>
  </si>
  <si>
    <t>Source70_0</t>
  </si>
  <si>
    <t>[['e481f51cbdc54678b7cc49136f2d6af7', '9ef432eb6251297304e76186b10a928d', 'delivered', '2017-10-02 10:56:33', '2017-10-02 11:07:15', '2017-10-04 19:55:00', '2017-10-10 21:25:13', '2017-10-18 00:00:00'], ['53cdb2fc8bc7dce0b6741e2150273451', 'b0830fb4747a6c6d20dea0b8c802d7ef', 'delivered', '2018-07-24 20:41:37', '2018-07-26 03:24:27', '2018-07-26 14:31:00', '2018-08-07 15:27:45', '2018-08-13 00:00:00'], ['47770eb9100c2d0c44946d9cf07ec65d', '41ce2a54c0b03bf3443c3d931a367089', 'delivered', '2018-08-08 08:38:49', '2018-08-08 08:55:23', '2018-08-08 13:50:00', '2018-08-17 18:06:29', '2018-09-04 00:00:00']]</t>
  </si>
  <si>
    <t>['order_id', 'customer_id', 'order_status', 'order_purchase_timestamp', 'order_approved_at', 'order_delivered_carrier_date', 'order_delivered_customer_date', 'order_estimated_delivery_date']</t>
  </si>
  <si>
    <t>DROP TABLE IF EXISTS Source70_0;
CREATE TABLE Source70_0 (
    order_id VARCHAR,
    customer_id VARCHAR,
    order_status VARCHAR,
    order_purchase_timestamp TIMESTAMP,
    order_approved_at TIMESTAMP,
    order_delivered_carrier_date TIMESTAMP,
    order_delivered_customer_date TIMESTAMP,
    order_estimated_delivery_date TIMESTAMP
);
DROP TABLE IF EXISTS Source70_1;
CREATE TABLE Source70_1 (
    order_id VARCHAR,
    order_item_id INTEGER,
    product_id VARCHAR,
    seller_id VARCHAR,
    price NUMERIC,
    freight_value NUMERIC
);
-- Step 2: Insert data into the source tables from CSV files
COPY Source70_0 (order_id, customer_id, order_status, order_purchase_timestamp, order_approved_at, order_delivered_carrier_date, order_delivered_customer_date, order_estimated_delivery_date)
FROM 'D:\lab\ChatGPTwithSQLscript\github-pipelines\length1_70\test_0.csv'
DELIMITER ','
CSV HEADER NULL '';
COPY Source70_1 (order_id, order_item_id, product_id, seller_id, price, freight_value)
FROM 'D:\lab\ChatGPTwithSQLscript\github-pipelines\length1_70\test_1.csv'
DELIMITER ','
CSV HEADER NULL '';
-- Step 3: Create the target table
DROP TABLE IF EXISTS Target1_70;
CREATE TABLE Target1_70 (
    order_id VARCHAR,
    order_status VARCHAR,
    order_approved_at TIMESTAMP,
    product_id VARCHAR,
    seller_id VARCHAR,
    price NUMERIC,
    freight_value NUMERIC
);
-- Step 4: Insert data into the target table from the source tables
INSERT INTO Target1_70 (order_id, order_status, order_approved_at, product_id, seller_id, price, freight_value)
SELECT s0.order_id, s0.order_status, s0.order_approved_at, s1.product_id, s1.seller_id, s1.price, s1.freight_value
FROM Source70_0 s0
JOIN Source70_1 s1 ON s0.order_id = s1.order_id;
-- Step 5: Export the result to a CSV file
COPY (SELECT * FROM Target1_70)
TO 'D:\lab\ChatGPTwithSQLscript\github-pipelines\length1_70\Target1_70_result.csv'
DELIMITER ','
CSV HEADER;</t>
  </si>
  <si>
    <t xml:space="preserve">Ordering row would make acc 1. We do not know which ordering target file is using. No target data description was given. </t>
  </si>
  <si>
    <t>Source70_1</t>
  </si>
  <si>
    <t>[['00010242fe8c5a6d1ba2dd792cb16214', 1, '4244733e06e7ecb4970a6e2683c13e61', '48436dade18ac8b2bce089ec2a041202', 58.9, 13.29], ['00018f77f2f0320c557190d7a144bdd3', 1, 'e5f2d52b802189ee658865ca93d83a8f', 'dd7ddc04e1b6c2c614352b383efe2d36', 239.9, 19.93], ['000229ec398224ef6ca0657da4fc703e', 1, 'c777355d18b72b67abbeef9df44fd0fd', '5b51032eddd242adc84c38acab88f23d', 199.0, 17.87]]</t>
  </si>
  <si>
    <t>['order_id', 'order_item_id', 'product_id', 'seller_id', 'price', 'freight_value']</t>
  </si>
  <si>
    <t>1.0, 1.0, 0.9999574793774981, 1.0, 1.0, 0.00388814913448735, 0.0037283621837549932</t>
  </si>
  <si>
    <t>Running with 'E'</t>
  </si>
  <si>
    <t>L1_71</t>
  </si>
  <si>
    <t>['Region', 'Poblacion', 'Superficie']</t>
  </si>
  <si>
    <t>[['Antofagasta', 551627, 126048.8], ['Arica y Parinacota', 308271, 17446.2], ['Atacama', 292054, 74806.3]]</t>
  </si>
  <si>
    <t>In target, Poblacion and superficie are sum from source table for each Region in order.</t>
  </si>
  <si>
    <t>Source71_0</t>
  </si>
  <si>
    <t>[[1, 'Arica y Parinacota', 'Arica', 'Arica', 4799.4, 210936, 38.4, 0.736], [1, 'Arica y Parinacota', 'Arica', 'Camarones', 3927.0, 679, 0.3, 0.7509999999999999], [1, 'Arica y Parinacota', 'Parinacota', 'General Lagos', 2244.4, 739, 0.5, 0.67]]</t>
  </si>
  <si>
    <t>['RegionID', 'Region', 'Provincia', 'Comuna', 'Superficie', 'Poblacion', 'Densidad', 'IDH_2005']</t>
  </si>
  <si>
    <t>DROP TABLE IF EXISTS Source71_0;
-- Create the source table
CREATE TABLE Source71_0 (
    RegionID INT,
    Region VARCHAR(255),
    Provincia VARCHAR(255),
    Comuna VARCHAR(255),
    Superficie FLOAT,
    Poblacion INT,
    Densidad FLOAT,
    IDH_2005 FLOAT
);
-- Insert data from the CSV file into the source table
COPY Source71_0 FROM 'D:\lab\ChatGPTwithSQLscript\github-pipelines\length1_71\test_0.csv' DELIMITER ',' CSV HEADER NULL '';
-- Drop the target table if it exists
DROP TABLE IF EXISTS Target1_71;
-- Create the target table
CREATE TABLE Target1_71 (
    Region VARCHAR(255),
    Poblacion INT,
    Superficie FLOAT
);
-- Insert data from the source table into the target table
INSERT INTO Target1_71 (Region, Poblacion, Superficie)
SELECT Region, SUM(Poblacion), SUM(Superficie)
FROM Source71_0
GROUP BY Region;
-- Copy the result from the target table to a CSV file
COPY (SELECT * FROM Target1_71) TO 'D:\lab\ChatGPTwithSQLscript\github-pipelines\length1_71\Target1_71_result.csv' DELIMITER ',' CSV HEADER;</t>
  </si>
  <si>
    <t>1.0, 0.0, 0.0</t>
  </si>
  <si>
    <t>L1_72</t>
  </si>
  <si>
    <t xml:space="preserve">In target, for each condition, '0' is total count. </t>
  </si>
  <si>
    <t>Source72_0</t>
  </si>
  <si>
    <t>DROP TABLE IF EXISTS Source72_0;
-- Create the source table
CREATE TABLE Source72_0 (
  condition INTEGER,
  click INTEGER
);
-- Insert data from the CSV file into the source table
COPY Source72_0 (condition, click)
FROM 'D:\lab\ChatGPTwithSQLscript\github-pipelines\length1_72\test_0.csv'
WITH (FORMAT csv, HEADER true, NULL '');
-- Drop the target table if it exists
DROP TABLE IF EXISTS Target1_72;
-- Create the target table
CREATE TABLE Target1_72 (
  condition INTEGER,
  "0" INTEGER
);
-- Insert data from the source table into the target table
INSERT INTO Target1_72 (condition, "0")
SELECT condition, COUNT(*) AS "0"
FROM Source72_0
GROUP BY condition;
-- Copy the result of the SQL query into a CSV file
COPY (
  SELECT *
  FROM Target1_72
) TO 'D:\lab\ChatGPTwithSQLscript\github-pipelines\length1_72\Target1_72_result.csv'
WITH (FORMAT csv, HEADER true);</t>
  </si>
  <si>
    <t>should have done aggregation</t>
  </si>
  <si>
    <t>L1_73</t>
  </si>
  <si>
    <t>Target1_73</t>
  </si>
  <si>
    <t>['Country', 'Region', 'Happiness_Rank_15', 'Happiness_Score_15', 'Standard_Error_15', 'Economy_15', 'Family_15', 'Life_Expectancy_15', 'Freedom_15', 'Trust_15', 'Generosity_15', 'Dystopia_15', 'Happiness_Rank_17', 'Happiness_Score_17', 'Whisker_High_17', 'Whisker_Low_17', 'Economy_17', 'Family_17', 'Life_Expectancy_17', 'Freedom_17', 'Generosity_17', 'Trust_17', 'Dystopia_17']</t>
  </si>
  <si>
    <t>[['Switzerland', 'Western Europe', 1, 7.5870000000000015, 0.03411, 1.39651, 1.34951, 0.94143, 0.66557, 0.41978, 0.29678000000000004, 2.51738, 4, 7.493999958, 7.56177242, 7.426227496, 1.564979553, 1.516911745, 0.858131289, 0.620070577, 0.290549278, 0.367007285, 2.276716232], ['Iceland', 'Western Europe', 2, 7.561, 0.04884, 1.30232, 1.40223, 0.94784, 0.6287699999999999, 0.14145, 0.4363, 2.70201, 3, 7.504000187000001, 7.622030473, 7.385969901, 1.48063302, 1.610574007, 0.8335521220000001, 0.627162635, 0.475540221, 0.153526559, 2.322715282], ['Denmark', 'Western Europe', 3, 7.527, 0.033280000000000004, 1.32548, 1.36058, 0.87464, 0.6493800000000001, 0.48357, 0.34139, 2.4920400000000003, 2, 7.521999836, 7.581728065, 7.462271607000001, 1.4823830130000002, 1.5511215930000002, 0.792565525, 0.6260067220000001, 0.355280489, 0.400770068, 2.313707352]]</t>
  </si>
  <si>
    <t>Use Join on source table</t>
  </si>
  <si>
    <t>Source73_0</t>
  </si>
  <si>
    <t>[['Norway', 1, 7.537000179, 7.5944448210000015, 7.479555538, 1.616463184, 1.53352356, 0.796666503, 0.635422587, 0.362012237, 0.315963835, 2.277026653], ['Denmark', 2, 7.521999836, 7.581728065, 7.462271607000001, 1.4823830130000002, 1.5511215930000002, 0.792565525, 0.6260067220000001, 0.355280489, 0.400770068, 2.313707352], ['Iceland', 3, 7.504000187000001, 7.622030473, 7.385969901, 1.48063302, 1.610574007, 0.8335521220000001, 0.627162635, 0.475540221, 0.153526559, 2.322715282]]</t>
  </si>
  <si>
    <t>['Country', 'Happiness_Rank_17', 'Happiness_Score_17', 'Whisker_High_17', 'Whisker_Low_17', 'Economy_17', 'Family_17', 'Life_Expectancy_17', 'Freedom_17', 'Generosity_17', 'Trust_17', 'Dystopia_17']</t>
  </si>
  <si>
    <t>DROP TABLE IF EXISTS Source73_0;
CREATE TABLE Source73_0 (
    Country VARCHAR,
    Happiness_Rank_17 INTEGER,
    Happiness_Score_17 FLOAT,
    Whisker_High_17 FLOAT,
    Whisker_Low_17 FLOAT,
    Economy_17 FLOAT,
    Family_17 FLOAT,
    Life_Expectancy_17 FLOAT,
    Freedom_17 FLOAT,
    Generosity_17 FLOAT,
    Trust_17 FLOAT,
    Dystopia_17 FLOAT
);
-- Insert data into the first table Source73_0
COPY Source73_0 FROM 'D:\lab\ChatGPTwithSQLscript\github-pipelines\length1_73\test_0.csv' DELIMITER ',' CSV HEADER NULL '';
-- Create the second table Source73_1
DROP TABLE IF EXISTS Source73_1;
CREATE TABLE Source73_1 (
    Country VARCHAR,
    Region VARCHAR,
    Happiness_Rank INTEGER,
    Happiness_Score FLOAT,
    Standard_Error FLOAT,
    Economy FLOAT,
    Family FLOAT,
    Life_Expectancy FLOAT,
    Freedom FLOAT,
    Trust FLOAT,
    Generosity FLOAT,
    Dystopia_Residual FLOAT
);
-- Insert data into the second table Source73_1
COPY Source73_1 FROM 'D:\lab\ChatGPTwithSQLscript\github-pipelines\length1_73\test_1.csv' DELIMITER ',' CSV HEADER NULL '';
-- Create the target table Target1_73
DROP TABLE IF EXISTS Target1_73;
CREATE TABLE Target1_73 (
    Country VARCHAR,
    Region VARCHAR,
    Happiness_Rank_15 INTEGER,
    Happiness_Score_15 FLOAT,
    Standard_Error_15 FLOAT,
    Economy_15 FLOAT,
    Family_15 FLOAT,
    Life_Expectancy_15 FLOAT,
    Freedom_15 FLOAT,
    Trust_15 FLOAT,
    Generosity_15 FLOAT,
    Dystopia_15 FLOAT,
    Happiness_Rank_17 INTEGER,
    Happiness_Score_17 FLOAT,
    Whisker_High_17 FLOAT,
    Whisker_Low_17 FLOAT,
    Economy_17 FLOAT,
    Family_17 FLOAT,
    Life_Expectancy_17 FLOAT,
    Freedom_17 FLOAT,
    Generosity_17 FLOAT,
    Trust_17 FLOAT,
    Dystopia_17 FLOAT
);
-- Insert data into the target table Target1_73 by joining the two source tables
INSERT INTO Target1_73 (
    Country,
    Region,
    Happiness_Rank_17,
    Happiness_Score_17,
    Economy_17,
    Family_17,
    Life_Expectancy_17,
    Freedom_17,
    Generosity_17,
    Trust_17,
    Dystopia_17
)
SELECT
    s0.Country,
    s1.Region,
    s0.Happiness_Rank_17,
    s0.Happiness_Score_17,
    s0.Economy_17,
    s0.Family_17,
    s0.Life_Expectancy_17,
    s0.Freedom_17,
    s0.Generosity_17,
    s0.Trust_17,
    s0.Dystopia_17
FROM
    Source73_0 s0
JOIN
    Source73_1 s1 ON s0.Country = s1.Country;
-- Export the result to a CSV file
COPY Target1_73 TO 'D:\lab\ChatGPTwithSQLscript\github-pipelines\length1_73\Target1_73_result.csv' DELIMITER ',' CSV HEADER;</t>
  </si>
  <si>
    <t>[1.0, 1.0, 0.0, 0.0, 0.0, 0.0, 0.0, 0.0, 0.0, 0.013333333333333334, 0.0, 0.0, 0.08, 0.08, 0.0, 0.0, 0.08, 0.08, 0.08, 0.08, 0.08, 0.08, 0.08]</t>
  </si>
  <si>
    <t>Some columns are empty hence the low similarity score.</t>
  </si>
  <si>
    <t>Source73_1</t>
  </si>
  <si>
    <t>[['Switzerland', 'Western Europe', 1, 7.5870000000000015, 0.03411, 1.39651, 1.34951, 0.94143, 0.66557, 0.41978, 0.29678000000000004, 2.51738], ['Iceland', 'Western Europe', 2, 7.561, 0.04884, 1.30232, 1.40223, 0.94784, 0.6287699999999999, 0.14145, 0.4363, 2.70201], ['Denmark', 'Western Europe', 3, 7.527, 0.033280000000000004, 1.32548, 1.36058, 0.87464, 0.6493800000000001, 0.48357, 0.34139, 2.4920400000000003]]</t>
  </si>
  <si>
    <t>['Country', 'Region', 'Happiness Rank', 'Happiness Score', 'Standard Error', 'Economy (GDP per Capita)', 'Family', 'Health (Life Expectancy)', 'Freedom', 'Trust (Government Corruption)', 'Generosity', 'Dystopia Residual']</t>
  </si>
  <si>
    <t>L1_75</t>
  </si>
  <si>
    <t>['neighbourhood', 'id', 'name', 'host_id', 'host_name', 'neighbourhood_group', 'latitude', 'longitude', 'room_type', 'price', 'minimum_nights', 'number_of_reviews', 'last_review', 'reviews_per_month', 'calculated_host_listings_count', 'availability_365']</t>
  </si>
  <si>
    <t>[['Can Baró', 21, 21, 21, 21, 21, 21, 21, 21, 21, 21, 21, 19, 19, 21, 21], ['Canyelles', 3, 3, 3, 3, 3, 3, 3, 3, 3, 3, 3, 2, 2, 3, 3], ['Ciutat Meridiana', 5, 5, 5, 5, 5, 5, 5, 5, 5, 5, 5, 5, 5, 5, 5]]</t>
  </si>
  <si>
    <t>Source75_0</t>
  </si>
  <si>
    <t>[[18666, 'Flat with Sunny Terrace', 71615, 'Mireia And Maria', 'Sant Martí', "el Camp de l'Arpa del Clot", 41.408886211580345, 2.1855453256058017, 'Entire home/apt', 130, 3, 1, '2015-10-10', 0.03, 34, 20], [18674, 'Huge flat for 8 people close to Sagrada Familia', 71615, 'Mireia And Maria', 'Eixample', 'la Sagrada Família', 41.404196784819064, 2.1730577177402504, 'Entire home/apt', 55, 1, 5, '2018-06-18', 0.07, 34, 40], [21605, 'Nice and sunny duble room', 82522, 'Meritxell', 'Sant Martí', 'el Poblenou', 41.4056041572247, 2.19820512273065, 'Private room', 33, 2, 103, '2018-11-30', 3.26, 3, 290]]</t>
  </si>
  <si>
    <t>['id', 'name', 'host_id', 'host_name', 'neighbourhood_group', 'neighbourhood', 'latitude', 'longitude', 'room_type', 'price', 'minimum_nights', 'number_of_reviews', 'last_review', 'reviews_per_month', 'calculated_host_listings_count', 'availability_365']</t>
  </si>
  <si>
    <t>L1_77</t>
  </si>
  <si>
    <t>['fac_type', 'capacity']</t>
  </si>
  <si>
    <t>[['NF', 11201], ['RCF', 7136]]</t>
  </si>
  <si>
    <t>Source77_0</t>
  </si>
  <si>
    <t>ERROR: Error: ERROR:  invalid input syntax for type integer: "38A001"
CONTEXT:  COPY source77_0, line 120, column facid: "38A001"</t>
  </si>
  <si>
    <t>L1_78</t>
  </si>
  <si>
    <t>['Product', 'Price']</t>
  </si>
  <si>
    <t>[['P0000005913', 1590.0], ['P0000006591', 999.0], ['P0000011163', 790.0]]</t>
  </si>
  <si>
    <t>Source78_0</t>
  </si>
  <si>
    <t>[['2015-07-01 00:00:01', 'order', 'U312622727', 'P0006944501', 1, 1069.0], ['2015-07-01 00:00:03', 'order', 'U239012343', 'P0006018073', 1, 1680.0], ['2015-07-01 00:00:19', 'order', 'U10007697373', 'P0002267974', 1, 285.0]]</t>
  </si>
  <si>
    <t>['Dates', 'Action', 'User', 'Product', 'Quantity', 'Price']</t>
  </si>
  <si>
    <t>ERROR: Error: ERROR:  syntax error at or near "User"
LINE 6:     User VARCHAR,
            ^</t>
  </si>
  <si>
    <t>L1_8</t>
  </si>
  <si>
    <t>Target1_8</t>
  </si>
  <si>
    <t>['index_track', 'track_id', 'dummy']</t>
  </si>
  <si>
    <t>[[1, 2359314, 1], [11, 2621486, 1], [12, 2621488, 1]]</t>
  </si>
  <si>
    <t>Use join on source tables</t>
  </si>
  <si>
    <t>Source8_0</t>
  </si>
  <si>
    <t>[[1316175, 1], [3885714, 1], [3091270, 1]]</t>
  </si>
  <si>
    <t>['track_id', 'dummy']</t>
  </si>
  <si>
    <t>Source8_1</t>
  </si>
  <si>
    <t>[[0, 1048594], [1, 2359314], [2, 1835030]]</t>
  </si>
  <si>
    <t>['index_track', 'track_id']</t>
  </si>
  <si>
    <t>L1_44</t>
  </si>
  <si>
    <t>['Country / territory of asylum/residence', 'Year']</t>
  </si>
  <si>
    <t>[['Albania', 211552], ['Australia', 6563431], ['Austria', 6958781]]</t>
  </si>
  <si>
    <t>Source44_0</t>
  </si>
  <si>
    <t>[['Canada', 'Djibouti', 2010, 'May', 17], ['Belgium', 'The former Yugoslav Rep. of Macedonia', 2007, 'May', 4], ['Ireland', 'Libya', 2013, 'January', 2]]</t>
  </si>
  <si>
    <t>['Country / territory of asylum/residence', 'Origin', 'Year', 'Month', 'Value']</t>
  </si>
  <si>
    <t>ERROR: Error: ERROR:  invalid input syntax for type integer: "*"
CONTEXT:  COPY source_0, line 26, column Value: "*"</t>
  </si>
  <si>
    <t>L1_62</t>
  </si>
  <si>
    <t>['Month', 'Water Use', 'Power Use']</t>
  </si>
  <si>
    <t>Source62_0</t>
  </si>
  <si>
    <t>L1_80</t>
  </si>
  <si>
    <t>Source80_0</t>
  </si>
  <si>
    <t>L1_99</t>
  </si>
  <si>
    <t>['user_id', 'timestamp', 'source', 'device', 'operative_system', 'test', 'price', 'converted']</t>
  </si>
  <si>
    <t>[[639459, '2015-05-02 13:45:32', 'ads_facebook', 'mobile', 'iOS', 0, 39, 0], [285124, '2015-03-26 18:28:13', 'seo-google', 'mobile', 'other', 1, 59, 0], [275927, '2015-03-13 07:06:45', 'seo-google', 'web', 'windows', 0, 39, 0]]</t>
  </si>
  <si>
    <t>Source99_0</t>
  </si>
  <si>
    <t>data procesessing error</t>
  </si>
  <si>
    <t>check p1 response, why not preprocesin g error</t>
  </si>
  <si>
    <t>L2_26</t>
  </si>
  <si>
    <t>Target2_26</t>
  </si>
  <si>
    <t>['user_id', 'time', 'bet', 'win', 'email', 'geo']</t>
  </si>
  <si>
    <t>[['user_1000', 5, 1, 0, 5, 5], ['user_900', 8, 2, 1, 8, 8], ['user_901', 5, 0, 0, 5, 5]]</t>
  </si>
  <si>
    <t>Source26_0</t>
  </si>
  <si>
    <t>[['user_943', 'Accumanst@gmail.com', 'Ижевск'], ['user_908', 'Advismowr@mail.ru', 'Ижевск'], ['user_962', 'Anachso@ukr.net', 'Краснодар']]</t>
  </si>
  <si>
    <t>['user_id', 'email', 'geo']</t>
  </si>
  <si>
    <t>Source26_1</t>
  </si>
  <si>
    <t>[['user_919', '[2019-01-01 14:06:51', nan, nan], ['user_973', '[2019-01-01 14:51:16', nan, nan], ['user_903', '[2019-01-01 16:31:16', nan, nan]]</t>
  </si>
  <si>
    <t>['user_id', 'time', 'bet', 'win']</t>
  </si>
  <si>
    <t>L2_44</t>
  </si>
  <si>
    <t>Target2_44</t>
  </si>
  <si>
    <t>['city', 'fare', 'ride_id']</t>
  </si>
  <si>
    <t>[['Amandaburgh', 23.072, 15], ['Barajasview', 28.754375, 16], ['Carriemouth', 27.250476190476192, 21]]</t>
  </si>
  <si>
    <t>[['Lake Jonathanshire', '2018-01-14 10:14:22', 13.83, 5739410935873], ['South Michelleport', '2018-03-04 18:24:09', 30.24, 2343912425577], ['Port Samanthamouth', '2018-02-24 04:29:00', 33.44, 2005065760003]]</t>
  </si>
  <si>
    <t>Source44_1</t>
  </si>
  <si>
    <t>L2_62</t>
  </si>
  <si>
    <t>Target2_62</t>
  </si>
  <si>
    <t>['city', 'driver_count']</t>
  </si>
  <si>
    <t>[['Amandaburgh', 12], ['Barajasview', 26], ['Carriemouth', 52]]</t>
  </si>
  <si>
    <t>Source62_1</t>
  </si>
  <si>
    <t>L2_80</t>
  </si>
  <si>
    <t>Target2_80</t>
  </si>
  <si>
    <t>['0', '1', '2', '3']</t>
  </si>
  <si>
    <t>[[0.8814461055685514, 0.5528350673993359, 0.424363111682073, -1.5633158532575984], [-2.154050040012661, 0.4643952008043402, 0.3803460852376078, 1.944852361758166], [2.4446149781602804, -0.3806431069606226, 0.06266350330003836, 2.058244993436092]]</t>
  </si>
  <si>
    <t>L2_99</t>
  </si>
  <si>
    <t>Target2_99</t>
  </si>
  <si>
    <t>Source99_1</t>
  </si>
  <si>
    <t>L3_25</t>
  </si>
  <si>
    <t>Target3_25</t>
  </si>
  <si>
    <t>['title', 'user_id', 'movie_id', 'rating', 'timestamp', 'age', 'occupation']</t>
  </si>
  <si>
    <t>[['$1,000,000 Duck (1971)', 1964.833333333333, 2031, 3.6666666666666665, 973809729.5, 30.16666666666667, 8.166666666666666], ["'Night Mother (1986)", 3879.5, 3112, 3.0, 966715936.75, 35.0, 1.5], ["'Til There Was You (1997)", 528.0, 779, 3.0, 980041013.0, 18.0, 17.0]]</t>
  </si>
  <si>
    <t>[[1, 'F', 1, 10, 48067], [2, 'M', 56, 16, 70072], [3, 'M', 25, 15, 55117]]</t>
  </si>
  <si>
    <t>['user_id', 'gender', 'age', 'occupation', 'zip']</t>
  </si>
  <si>
    <t>[[2619, 3798, 4, 973658301], [2825, 3424, 5, 972612877], [275, 1258, 5, 976592546]]</t>
  </si>
  <si>
    <t>['user_id', 'movie_id', 'rating', 'timestamp']</t>
  </si>
  <si>
    <t>Source25_2</t>
  </si>
  <si>
    <t>[[1, 'Toy Story (1995)', "Animation|Children's|Comedy"], [2, 'Jumanji (1995)', "Adventure|Children's|Fantasy"], [3, 'Grumpier Old Men (1995)', 'Comedy|Romance']]</t>
  </si>
  <si>
    <t>['movie_id', 'title', 'genres']</t>
  </si>
  <si>
    <t>L3_43</t>
  </si>
  <si>
    <t>Target3_43</t>
  </si>
  <si>
    <t>['type', 'Total Students', 'Total School Budget', 'Average Math Score', 'Average Reading Score', 'School Size']</t>
  </si>
  <si>
    <t>[['Charter', 1842.5, 1093757.5, 83.26176215406309, 83.87693735977467, 1842.5], ['District', 3869.25, 2485498.5, 76.93311232228885, 81.03334502384055, 3869.25]]</t>
  </si>
  <si>
    <t>Source43_1</t>
  </si>
  <si>
    <t>L3_61</t>
  </si>
  <si>
    <t>Target3_61</t>
  </si>
  <si>
    <t>['Timepoint', 'Capomulin', 'Ceftamin', 'Infubinol', 'Ketapril', 'Naftisol', 'Placebo', 'Propriva', 'Ramicane', 'Stelasyn', 'Zoniferol']</t>
  </si>
  <si>
    <t>[[0.0, 45.0, 45.0, 45.0, 45.0, 45.0, 45.0, 45.0, 45.0, 45.0, 45.0], [5.0, 44.26608641544399, 46.5030509580381, 47.06200103308799, 47.38917452114347, 46.7960980984913, 47.12558918843749, 47.24896703293201, 43.944859399664004, 47.527451674148, 46.851818267095844], [10.0, 43.08429058188399, 48.285125215944994, 49.40390857087143, 49.582268974622714, 48.694209604047636, 49.4233294786875, 49.10154084291304, 42.53195729572083, 49.46384376145653, 48.68988143470909]]</t>
  </si>
  <si>
    <t>Source61_0</t>
  </si>
  <si>
    <t>[['f234', 'Stelasyn'], ['x402', 'Stelasyn'], ['a492', 'Stelasyn']]</t>
  </si>
  <si>
    <t>['Mouse ID', 'Drug']</t>
  </si>
  <si>
    <t>[1.0, 0.2, 0.4, 0.2, 0.4, 0.4, 0.2, 0.2,                                                                               0.4, 0.4, 0.4]</t>
  </si>
  <si>
    <t>Source61_1</t>
  </si>
  <si>
    <t>[['b128', 0, 45.0, 0], ['f932', 0, 45.0, 0], ['g107', 0, 45.0, 0]]</t>
  </si>
  <si>
    <t>['Mouse ID', 'Timepoint', 'Tumor Volume (mm3)', 'Metastatic Sites']</t>
  </si>
  <si>
    <t>L3_8</t>
  </si>
  <si>
    <t>Target3_8</t>
  </si>
  <si>
    <t>['Wrestler', '2013 Wins', '2013 Losses', '2013 Draws', '2014 Wins', '2014 Losses', '2014 Draws', '2015 Wins', '2015 Losses', '2015 Draws', '2016 Wins', '2016 Losses', '2016 Draws']</t>
  </si>
  <si>
    <t>[['Dean Ambrose', 70, 134, 4, 129, 36, 2, 150, 63, 5, 133, 67, 4], ['Seth Rollins', 50, 150, 4, 87, 105, 4, 51, 124, 1, 39, 75, 4], ['Randy Orton', 129, 63, 8, 33, 87, 5, 81, 10, 1, 39, 21, 0]]</t>
  </si>
  <si>
    <t>[['Daniel Bryan', 177, 37, 6], ['Dean Ambrose', 70, 134, 4], ['Antonio Cesaro', 80, 126, 1]]</t>
  </si>
  <si>
    <t>['Wrestler', 'Wins', 'Losses', 'Draws']</t>
  </si>
  <si>
    <t>[['Dean Ambrose', 133, 67, 4], ['Kevin Owens', 61, 130, 2], ['Tyler Breeze', 17, 163, 2]]</t>
  </si>
  <si>
    <t>Source8_2</t>
  </si>
  <si>
    <t>[['Dean Ambrose', 150, 63, 5], ['Roman Reigns', 187, 19, 7], ['Cesaro', 117, 69, 1]]</t>
  </si>
  <si>
    <t>Source8_3</t>
  </si>
  <si>
    <t>[['Dolph Ziggler', 134, 60, 2], ['Seth Rollins', 87, 105, 4], ['Jimmy Uso', 143, 43, 4]]</t>
  </si>
  <si>
    <t>L3_98</t>
  </si>
  <si>
    <t>Target3_98</t>
  </si>
  <si>
    <t>['MOTATE_V', 'count']</t>
  </si>
  <si>
    <t>[['ACCIDENTES, ENVENENAMIENTO Y VIOLENCIAS', 2990865], ['APOYO A SERVICIOS DE MEDICINA GENERAL', 92665], ['GINECO-OBSTETRICA', 9068678]]</t>
  </si>
  <si>
    <t>Source98_0</t>
  </si>
  <si>
    <t>[['ASSSA000025', -1, 1, 2009, 2919, nan, 'ACCIDENTES, ENVENENAMIENTO Y VIOLENCIAS'], ['ASSSA000025', 1, 2, 2009, 2236, 'URGENCIA CALIFICADA', 'MEDICA'], ['ASSSA000025', 1, 3, 2009, 38, 'URGENCIA CALIFICADA', 'QUIRURGICA']]</t>
  </si>
  <si>
    <t>['CLUES', 'TIPOURGENCIA', 'MOTATE', 'YEAR', 'count', 'TIPOURGENCIA_V', 'MOTATE_V']</t>
  </si>
  <si>
    <t>ERROR: Error: ERROR:  invalid input syntax for type integer: "HGZ"
CONTEXT:  COPY source98_1, line 10, column CLAVE DE TIPOLOGIA: "HGZ"</t>
  </si>
  <si>
    <t>Source98_1</t>
  </si>
  <si>
    <t>[['ASDIF000011', 'AGUASCALIENTES', 1, 'AGUASCALIENTES', 1, 'AGUASCALIENTES', 1, 'AGUASCALIENTES', 1, 'SISTEMA NACIONAL PARA EL DESARROLLO INTEGRAL DE LA FAMILIA', 'DIF', 'DIF', 'DE ASISTENCIA SOCIAL', 4, 'NO ESPECIFICADO', 99, 'NO ESPECIFICADO', 99, nan, nan, 0, 0, 0, 0, 0, 0, 'DIF AGUASCALIENTES', nan, nan, 'MAHATMA GANDHI ESQUINA PARAGUAY', ' ', nan, nan, nan, 'FRACCIONAMIENTO AGRICULTURA', nan, nan, nan, nan, 'MAHATMA GANDHI ESQ. PARAGUAY, FRACC. AGRICULTURA', 20234.0, 'EN OPERACION', 1, nan, nan, nan, nan, 'XAXX111111', nan, nan, nan, nan, nan, nan, nan, nan, nan, nan, nan, -102.309, 21.8677, 'NO ESPECIFICADO', 99, 'NO APLICA', 6, 'NO TIENE', 5, nan, nan, 'URBANO', 2.0, 'NO ESPECIFICADO', 6.0, nan, nan, 'CAMBIO', '2012-01-03', 'NO CERTIFICADO', 'NO ESPECIFICADO', nan], ['ASDIF000023', 'AGUASCALIENTES', 1, 'COSÍO', 4, 'COSIO', 1, 'RINCÓN DE ROMOS', 2, 'SISTEMA NACIONAL PARA EL DESARROLLO INTEGRAL DE LA FAMILIA', 'DIF', 'DIF', 'DE ASISTENCIA SOCIAL', 4, 'NO ESPECIFICADO', 99, 'NO ESPECIFICADO', 99, nan, nan, 0, 0, 0, 0, 0, 0, 'DIF COSÍO', nan, nan, 'HIDALGO', ' 42', nan, nan, nan, nan, nan, nan, nan, nan, 'HIDALGO 42', 99999.0, 'EN OPERACION', 1, nan, nan, nan, nan, 'XAXX111111', nan, nan, nan, nan, nan, nan, nan, nan, nan, nan, nan, -102.264, 22.3399, 'NO ESPECIFICADO', 99, 'NO APLICA', 6, 'NO TIENE', 5, nan, nan, 'URBANO', 2.0, 'NO ESPECIFICADO', 6.0, nan, nan, 'CAMBIO', '2012-01-03', 'NO CERTIFICADO', 'NO ESPECIFICADO', nan], ['ASDIF000035', 'AGUASCALIENTES', 1, 'RINCÓN DE ROMOS', 7, 'RINCON DE ROMOS', 1, 'RINCÓN DE ROMOS', 2, 'SISTEMA NACIONAL PARA EL DESARROLLO INTEGRAL DE LA FAMILIA', 'DIF', 'DIF', 'DE ASISTENCIA SOCIAL', 4, 'NO ESPECIFICADO', 99, 'NO ESPECIFICADO', 99, nan, nan, 0, 0, 0, 0, 0, 0, 'DIF RINCÓN DE ROMOS', nan, nan, 'ÁLVARO OBREGÓN', ' 320', nan, nan, nan, nan, nan, nan, nan, nan, 'ALVARO OBREGON 320', 20400.0, 'EN OPERACION', 1, nan, nan, nan, nan, 'XAXX111111', nan, nan, nan, nan, nan, nan, nan, nan, nan, nan, nan, -102.28399999999999, 22.2028, 'NO ESPECIFICADO', 99, 'NO APLICA', 6, 'NO TIENE', 5, nan, nan, 'URBANO', 2.0, 'NO ESPECIFICADO', 6.0, nan, nan, 'CAMBIO', '2012-01-03', 'NO CERTIFICADO', 'NO ESPECIFICADO', nan]]</t>
  </si>
  <si>
    <t>['CLUES', 'NOMBRE DE LA ENTIDAD', 'CLAVE DE LA ENTIDAD', 'NOMBRE DEL MUNICIPIO', 'CLAVE DEL MUNICIPIO', 'NOMBRE DE LA LOCALIDAD', 'CLAVE DE LA LOCALIDAD', 'NOMBRE DE LA JURISDICCION', 'CLAVE DE LA JURISDICCION', 'NOMBRE DE LA INSTITUCION', 'CLAVE DE LA INSTITUCION', 'CLAVE CORTA DE LA INSTITUCION', 'NOMBRE TIPO ESTABLECIMIENTO', 'CLAVE TIPO ESTABLECIMIENTO', 'NOMBRE DE TIPOLOGIA', 'CLAVE DE TIPOLOGIA', 'NOMBRE DE SUBTIPOLOGIA', 'CLAVE DE SUBTIPOLOGIA', 'CLAVE SCIAN', 'DESCRIPCION CLAVE SCIAN', 'CONSULTORIOS DE MED GRAL', 'CONSULTORIOS EN OTRAS AREAS', 'TOTAL DE CONSULTORIOS', 'CAMAS EN AREA DE HOS', 'CAMAS EN OTRAS AREAS', 'TOTAL DE CAMAS', 'NOMBRE DE LA UNIDAD', 'CLAVE DE VIALIDAD', 'TIPO DE VIALIDAD', 'VIALIDAD', 'NUMERO EXTERIOR', 'NUMERO INTERIOR', 'CLAVE DEL TIPO DE ASENTAMIENTO', 'TIPO DE ASENTAMIENTO', 'ASENTAMIENTO', 'ENTRE TIPO DE VIALIDAD 1', 'ENTRE VIALIDAD 1', 'ENTRE TIPO DE VIALIDAD 2', 'ENTRE VIALIDAD 2', 'OBSERVACIONES DE LA DIRECCION', 'CODIGO POSTAL', 'ESTATUS DE OPERACION', 'CLAVE DE ESTATUS DE OPERACION', 'TIENE LICENCIA SANITARIA', 'NUMERO DE LICENCIA SANITARIA', 'TIENE AVISO DE FUNCIONAMIENTO', 'FECHA EMISION AV. FUN.', 'RFC DEL ESTABLECIMIENTO', 'FECHA DE CONSTRUCCION', 'FECHA DE INICIO DE OPERACION', 'UNIDAD MOVIL MARCA', 'UNIDAD MOVIL MODELO', 'UNIDAD MOVIL CAPACIDAD', 'UNIDAD MOVIL PROGRAMA', 'UNIDAD MOVIL CLAVE PROGRAMA', 'UNIDAD MOVIL TIPO', 'UNIDAD MOVIL CLAVE TIPO', 'UNIDAD MOVIL TIPOLOGIA', 'UNIDAD MOVIL CLAVE TIPOLOGIA', 'LONGITUD', 'LATITUD', 'NOMBRE DE LA INS ADM', 'CLAVE DE LA INS ADM', 'NIVEL ATENCION', 'CLAVE NIVEL ATENCION', 'ESTATUS ACREDITACION', 'CLAVE ESTATUS ACREDITACION', 'ACREDITACIONES', 'SUBACREDITACION', 'ESTRATO UNIDAD', 'CLAVE ESTRATO UNIDAD', 'TIPO OBRA', 'CLAVE TIPO OBRA', 'HORARIO DE ATENCION', 'AREAS Y SERVICIOS', 'ULTIMO MOVIMIENTO', 'FECHA ULTIMO MOVIMIENTO', 'CERTIFICACION CSG', 'TIPO CERTIFICACION', 'VIGENCIA CERTIFICACION']</t>
  </si>
  <si>
    <t>L4_25</t>
  </si>
  <si>
    <t>Target4_25</t>
  </si>
  <si>
    <t>['country_code', 'station', 'datetime', 'obs_type', 'obs_value', 'TMAX_F', 'month']</t>
  </si>
  <si>
    <t>[['AGE', 935, 935, 935, 935, 935, 935], ['ASN', 3319, 3319, 3319, 3319, 3319, 3319], ['AU', 1300, 1300, 1300, 1300, 1300, 1300]]</t>
  </si>
  <si>
    <t>[['1865-02-11', 'SZ000006717', 'TMAX', -22.2, -7.960000000000001, 2, 'SZ'], ['1865-02-10', 'SZ000006717', 'TMAX', -18.8, -1.8400000000000036, 2, 'SZ'], ['1865-07-28', 'USC00288878', 'TMAX', -17.8, -0.03999999999999915, 7, 'USC']]</t>
  </si>
  <si>
    <t>['datetime', 'station', 'obs_type', 'obs_value', 'TMAX_F', 'month', 'country_code']</t>
  </si>
  <si>
    <t>[['1864-02-26', 'SZ000006717', 'TMAX', -34.0, -29.200000000000006, 2, 'SZ'], ['1864-02-08', 'SZ000006717', 'TMAX', -17.4, 0.6800000000000033, 2, 'SZ'], ['1864-02-17', 'CA006158350', 'TMAX', -16.7, 1.9400000000000013, 2, 'CA']]</t>
  </si>
  <si>
    <t>[['1866-01-07', 'CA006158350', 'TMAX', -21.1, -5.980000000000004, 1, 'CA'], ['1866-01-08', 'CA006110549', 'TMAX', -16.7, 1.9400000000000013, 1, 'CA'], ['1866-02-15', 'CA006110549', 'TMAX', -16.7, 1.9400000000000013, 2, 'CA']]</t>
  </si>
  <si>
    <t>Source25_3</t>
  </si>
  <si>
    <t>[['1867-12-12', 'CA006106362', 'TMAX', -21.7, -7.060000000000002, 12, 'CA'], ['1867-12-12', 'CA006101872', 'TMAX', -20.0, -4.0, 12, 'CA'], ['1867-12-13', 'CA006106362', 'TMAX', -19.4, -2.9200000000000017, 12, 'CA']]</t>
  </si>
  <si>
    <t>L4_43</t>
  </si>
  <si>
    <t>Target4_43</t>
  </si>
  <si>
    <t>['company', 'title', 'location', 'summary', 'salary', 'href', 'rate', 'reviews', 'org_salary_period']</t>
  </si>
  <si>
    <t>[['3Q Digital', 1, 1, 1, 1, 1, 1, 1, 1], ['AAD Partners', 2, 2, 2, 2, 2, 2, 2, 2], ['AFI Environmental', 1, 1, 1, 1, 1, 1, 1, 1]]</t>
  </si>
  <si>
    <t>[['Data Scientist', 'Crossover', 'Remote', 'Take ownership of the whole end-to-end machine learning systems - from data processing, training, optimization to real-time monitoring and maintenance....', 100000, 'https://www.indeed.com/rc/clk?jk=7c9797985b6064a4&amp;fccid=ad49423ccbcc9b48&amp;vjs=3', 31.8, 19.0, 'year'], ['Intern - Fellow (Data Scientist) Summer 2019', 'BNSF', 'None', 'A Data Scientist Intern-Fellow’s work in the BNSF Operations Research and Advanced Data Analytics Group may include, but is not limited to, the following:....', 49920, 'https://www.indeed.com/rc/clk?jk=a768e60b8871dd57&amp;fccid=0e5502aac81988bd&amp;vjs=3', 43.2, 799.0, 'year'], ['Data Scientist', 'Encore Fire Protection', 'Pawtucket, RI', 'For those that are truly in the data analytics space, the title of Data Scientist may be not exactly right for the role at hand....', 67500, 'https://www.indeed.com/rc/clk?jk=97695daa8a80e551&amp;fccid=ab8bffbe3844bacf&amp;vjs=3', 54.0, 4.0, 'year']]</t>
  </si>
  <si>
    <t>['title', 'company', 'location', 'summary', 'salary', 'href', 'rate', 'reviews', 'org_salary_period']</t>
  </si>
  <si>
    <t>[['Data Scientist', 'Biz League inc', 'Broomfield, CO', 'Data scientists use data and analytical ability to find and interpret rich data sources; Manage large amounts of data despite hardware, software, and bandwidth...', 109980, 'https://www.indeed.com/company/Biz-League-inc/jobs/Data-Scientist-653364c1c692d3b4?fccid=0be3817def992013&amp;vjs=3', 52.2, '6,388', 'hour'], ['Data Scientist', 'SSN Group', 'Houston, TX', 'Demonstrated experience and accomplishments in the use of data mining, machine learning, and predictive analytics to address real-life problems....', 136300, 'https://www.indeed.com/company/SSN-GROUP/jobs/Data-Scientist-cb9e9a4c5e2fd392?fccid=eb5bbf09b8a7f035&amp;vjs=3', 27.0, '2.0', 'hour'], ['Full Time-Data Scientist-(Durant, OK)', 'Jackson Lewis', 'Durant, OK', 'To join a growing team of data scientists who are building the future of workforce law and legal analytics. 2 - 3 years of experience writing code and libraries...', 24440, 'https://www.indeed.com/company/Jackson-Lewis/jobs/Data-Scientist-ddafad30dc681ba3?fccid=e54290448239033c&amp;vjs=3', 41.4, '16.0', 'hour']]</t>
  </si>
  <si>
    <t>Source43_2</t>
  </si>
  <si>
    <t>[['Lead Data Scientist', 'Lenmar Consulting, Inc.', 'New York, NY', 'Primary focus is to analyze available structured and un-structured information, apply data mining techniques, perform statistical analysis, and provide...', 207387.5, 'https://www.indeed.com/company/Lenmar-Consulting/jobs/Lead-Data-Scientist-1774446e8a5b29c5?fccid=3aaedf4a3bfe74b4&amp;vjs=3', 44.4, 63, 'day'], ['Data Scientist (Pystack, Pyspark, AWS)', 'Workbridge Associates', 'Chicago, IL', 'Using Artificial Intelligence, Machine Learning, and Deep Learning to build models for clients\n Working directly with clients to fulfill their needs', 24675.0, 'https://www.indeed.com/rc/clk?jk=90eb19a4522a1554&amp;fccid=a6920e0a635e5c4e&amp;vjs=3', 41.4, 40, 'day'], ['Data Scientist (Deep Learning)', 'Workbridge Associates', 'Chicago, IL', 'They are using Machine Learning, Deep Learning and Artificial Intelligence to run analytics on advertisements and figure out the ROI on those ads.', 23500.0, 'https://www.indeed.com/rc/clk?jk=e3d8d7fd1e8e1985&amp;fccid=a6920e0a635e5c4e&amp;vjs=3', 41.4, 40, 'day']]</t>
  </si>
  <si>
    <t>Source43_3</t>
  </si>
  <si>
    <t>[['DATA ENTRY OPERATOR', 'University of Washington', 'Seattle, WA', 'The mission of University of Washington Medicine is to improve the health of the public by advancing medical knowledge, providing outstanding primary and...', 36954, 'https://www.indeed.com/rc/clk?jk=575e2692cb83632b&amp;fccid=142783ac2edbe56b&amp;vjs=3', 52.2, '890.0', 'month'], ['BIOLOGICAL ADMINISTRATOR III - SES - 64026333', 'The State of Florida', 'None', 'Work with the Chief of Laboratory Services and other BOL Laboratory Directors to ensure a comprehensive, quality laboratory system with the BOL for public...', 67584, 'https://www.indeed.com/rc/clk?jk=081db22603b4e343&amp;fccid=0a10ade3465aa10f&amp;vjs=3', 43.2, '1,067', 'month'], ['MEDICAL LABORATORY SCIENTIST I - 64067592', 'The State of Florida', 'None', 'Candidates claiming Veterans’ Preference must attach supporting documentation with each submission that includes character of service (for example, DD Form...', 31122, 'https://www.indeed.com/rc/clk?jk=b6dcd8b27a9aff9f&amp;fccid=0a10ade3465aa10f&amp;vjs=3', 43.2, '1,067', 'month']]</t>
  </si>
  <si>
    <t>L4_61</t>
  </si>
  <si>
    <t>Target4_61</t>
  </si>
  <si>
    <t>['Población resto', 'N.°', 'Municipio', 'Departamento', 'Población cabecera', 'Población Total']</t>
  </si>
  <si>
    <t>[['10\xa0016', 1, 1, 1, 1, 1], ['10\xa0030', 1, 1, 1, 1, 1], ['10\xa0070', 1, 1, 1, 1, 1]]</t>
  </si>
  <si>
    <t>Source_0</t>
  </si>
  <si>
    <t>[[72, 'Los Patios', 'Norte de Santander', '94\xa0847', '2\xa0373', '97\xa0220'], [73, 'Arauca', 'Arauca', '83\xa0256', '13\xa0558', '96\xa0814'], [74, 'Caucasia', 'Antioquia', '84\xa0654', '10\xa0773', '95\xa0427']]</t>
  </si>
  <si>
    <t>['N.°', 'Municipio', 'Departamento', 'Población cabecera', 'Población resto', 'Población Total']</t>
  </si>
  <si>
    <t>Source_1</t>
  </si>
  <si>
    <t>[[140, 'Leticia', 'Amazonas', '35\xa0191', '14\xa0546', '49\xa0737'], [141, 'San Juan del Cesar', 'La Guajira', '35\xa0079', '14\xa0505', '49\xa0584'], [142, 'Dagua', 'Valle del Cauca', '11\xa0025', '37\xa0990', '49\xa0015']]</t>
  </si>
  <si>
    <t>Source_2</t>
  </si>
  <si>
    <t>[[1, 'Bogotá', 'Cundinamarca', '7\xa0715\xa0778', '28\xa0177', '7\xa0743\xa0955'], [2, 'Medellín', 'Antioquia', '2\xa0490\xa0164', '43\xa0260', '2\xa0533\xa0424'], [3, 'Cali', 'Valle del Cauca', '2\xa0205\xa0680', '46\xa0936', '2\xa0252\xa0616']]</t>
  </si>
  <si>
    <t>Source_3</t>
  </si>
  <si>
    <t>[[33, 'Uribia', 'La Guajira', '8\xa0989', '181\xa0095', '190\xa0084'], [34, 'Maicao', 'La Guajira', '118\xa0889', '66\xa0183', '185\xa0072'], [35, 'Piedecuesta', 'Santander', '150\xa0483', '32\xa0476', '182\xa0959']]</t>
  </si>
  <si>
    <t>L4_8</t>
  </si>
  <si>
    <t>Target4_8</t>
  </si>
  <si>
    <t>['des_zona', 'COD_PERSONA_x', 'COD_AREANEGO']</t>
  </si>
  <si>
    <t>[['Z. ARABA - BIZKAIA', 15614314, 13], ['Z. ASTURIAS', 15555022, 13], ['Z. BALEARES', 15510840, 13]]</t>
  </si>
  <si>
    <t>[[364, 13, 52, 9275, 24.0, 'A'], [672, 13, 40, 6130, 24.0, 'R'], [728, 6057, 68, 8248, 23.0, 'I']]</t>
  </si>
  <si>
    <t>['COD_PERSONA', 'COD_AREANEGO', 'COD_EDAD', 'COD_OFICIPAL', 'COD_SEGLOBAL', 'estado_cli']</t>
  </si>
  <si>
    <t>[[1, 70, 'BANCO BILBAO VIZCAYA ARGENTARIA', nan, nan, nan, nan, 0, nan, nan, nan], [2004, 40, 'AGREGADO FICT. CARTERA DE TITULOS', nan, nan, nan, nan, 0, nan, nan, nan], [2221, 40, 'FRANCIA (R)', nan, nan, nan, nan, 0, nan, nan, nan]]</t>
  </si>
  <si>
    <t>['COD_OFICI', 'COD_NIVELOFIC', 'des_ofici', 'cod_cbc', 'des_cbc', 'cod_zona', 'des_zona', 'COD_TERRIT', 'des_territ', 'cod_areanego', 'des_areanego']</t>
  </si>
  <si>
    <t>[[24873185, 8644, '31JUL1999', 35361.97, 35361.97, 15891.81], [366059069, 9066, '21DEC2016', 341936.7, 341936.7, 339935.22], [250661304, 9507, '30JAN2015', 15000.0, 15000.0, 2125.34]]</t>
  </si>
  <si>
    <t>['COD_IDCONTRA', 'COD_PERSONA', 'FAP_CONTR', 'IMP_CAPDIS', 'IMP_CAPINI', 'IMP_CAPPEN']</t>
  </si>
  <si>
    <t>[[364, 'A', 1, 'TIT', 7667157], [364, 'A', 1, 'TIT', 44521392], [364, 'A', 1, 'TIT', 44521393]]</t>
  </si>
  <si>
    <t>['COD_PERSONA', 'XTI_ESTADO', 'QNU_ORDTIT', 'COD_INTERV', 'COD_IDCONTRA']</t>
  </si>
  <si>
    <t>L4_98</t>
  </si>
  <si>
    <t>Target4_98</t>
  </si>
  <si>
    <t>['PassengerId', 'Survived', 'Pclass', 'Name', 'Sex', 'Age', 'SibSp', 'Parch', 'Ticket', 'Fare', 'Cabin', 'Embarked', 'Fare_x', 'Fare_y']</t>
  </si>
  <si>
    <t>[[1, 0, 3, 'Braund, Mr. Owen Harris', 'male', 22.0, 1, 0, 'A/5 21171', 7.25, nan, 'S', 10.5, 263.0], [5, 0, 3, 'Allen, Mr. William Henry', 'male', 35.0, 0, 0, '373450', 8.05, nan, 'S', 10.5, 263.0], [6, 0, 3, 'Moran, Mr. James', 'male', nan, 0, 0, '330877', 8.4583, nan, 'Q', 10.5, 263.0]]</t>
  </si>
  <si>
    <t>[[1, 0, 3, 'Braund, Mr. Owen Harris', 'male', 22.0, 1, 0, 'A/5 21171', 7.25, nan, 'S'], [2, 1, 1, 'Cumings, Mrs. John Bradley (Florence Briggs Thayer)', 'female', 38.0, 1, 0, 'PC 17599', 71.2833, 'C85', 'C'], [3, 1, 3, 'Heikkinen, Miss. Laina', 'female', 26.0, 0, 0, 'STON/O2. 3101282', 7.925, nan, 'S']]</t>
  </si>
  <si>
    <t>['PassengerId', 'Survived', 'Pclass', 'Name', 'Sex', 'Age', 'SibSp', 'Parch', 'Ticket', 'Fare', 'Cabin', 'Embarked']</t>
  </si>
  <si>
    <t>There is only one source but shows length 4</t>
  </si>
  <si>
    <t>failed with data preprocessing error</t>
  </si>
  <si>
    <t>L5_25</t>
  </si>
  <si>
    <t>Target5_25</t>
  </si>
  <si>
    <t>['longitude', 'missing_count', 'state', 'latitude']</t>
  </si>
  <si>
    <t>[[-157.5311, 5.0, 5.0, 5.0], [-152.2683, 5.0, 5.0, 5.0], [-122.1269, 4.0, 4.0, 4.0]]</t>
  </si>
  <si>
    <t>[[0, 'Alabama', 32.799, -86.8073], [0, 'Alaska', 61.385, -152.2683], [0, 'Arizona', 33.7712, -111.3877]]</t>
  </si>
  <si>
    <t>['missing_count', 'state', 'latitude', 'longitude']</t>
  </si>
  <si>
    <t>Source_4</t>
  </si>
  <si>
    <t>L5_43</t>
  </si>
  <si>
    <t>Target5_43</t>
  </si>
  <si>
    <t>['Ship_Mode', 'Ord_id', 'Prod_id', 'Ship_id', 'Cust_id', 'Sales']</t>
  </si>
  <si>
    <t>[['DELIVERY TRUCK', 583, 583, 583, 583, 583], ['EXPRESS AIR', 500, 500, 500, 500, 500], ['REGULAR AIR', 3116, 3116, 3116, 3116, 3116]]</t>
  </si>
  <si>
    <t>[['13-10-2010', 'LOW', 'Ord_1'], ['01-10-2012', 'HIGH', 'Ord_2'], ['10-07-2011', 'HIGH', 'Ord_3']]</t>
  </si>
  <si>
    <t>['Order_Date', 'Order_Priority', 'Ord_id']</t>
  </si>
  <si>
    <t>[['MUHAMMED MACINTYRE', 'NUNAVUT', 'NUNAVUT', 'SMALL BUSINESS', 'Cust_1'], ['BARRY FRENCH', 'NUNAVUT', 'NUNAVUT', 'CONSUMER', 'Cust_2'], ['CLAY ROZENDAL', 'NUNAVUT', 'NUNAVUT', 'CORPORATE', 'Cust_3']]</t>
  </si>
  <si>
    <t>['Customer_Name', 'Province', 'Region', 'Customer_Segment', 'Cust_id']</t>
  </si>
  <si>
    <t>[['REGULAR AIR', '20-10-2010', 'SHP_1'], ['DELIVERY TRUCK', '02-10-2012', 'SHP_2'], ['REGULAR AIR', '03-10-2012', 'SHP_3']]</t>
  </si>
  <si>
    <t>['Ship_Mode', 'Ship_Date', 'Ship_id']</t>
  </si>
  <si>
    <t>[['OFFICE SUPPLIES', 'STORAGE &amp; ORGANIZATION', 'Prod_1'], ['OFFICE SUPPLIES', 'APPLIANCES', 'Prod_2'], ['OFFICE SUPPLIES', 'BINDERS AND BINDER ACCESSORIES', 'Prod_3']]</t>
  </si>
  <si>
    <t>['Product_Category', 'Product_Sub_Category', 'Prod_id']</t>
  </si>
  <si>
    <t>[['Ord_5446', 'Prod_16', 'SHP_7609', 'Cust_1818', 136.81, 0.01, 23, -30.51, 3.6, 0.56], ['Ord_5406', 'Prod_13', 'SHP_7549', 'Cust_1818', 42.27, 0.01, 13, 4.56, 0.93, 0.54], ['Ord_5446', 'Prod_4', 'SHP_7610', 'Cust_1818', 4701.69, 0.0, 26, 1148.9, 2.5, 0.59]]</t>
  </si>
  <si>
    <t>['Ord_id', 'Prod_id', 'Ship_id', 'Cust_id', 'Sales', 'Discount', 'Order_Quantity', 'Profit', 'Shipping_Cost', 'Product_Base_Margin']</t>
  </si>
  <si>
    <t>L5_61</t>
  </si>
  <si>
    <t>Target5_61</t>
  </si>
  <si>
    <t>['Time', 'Date', 'Room', 'Room_Capacity', 'Module', 'Registered_Students']</t>
  </si>
  <si>
    <t>[]</t>
  </si>
  <si>
    <t>[[nan, nan, nan, nan, nan, nan], [nan, nan, nan, nan, nan, nan], [nan, nan, nan, nan, nan, nan]]</t>
  </si>
  <si>
    <t>L5_8</t>
  </si>
  <si>
    <t>Target5_8</t>
  </si>
  <si>
    <t>['school_name', 'math_score']</t>
  </si>
  <si>
    <t>[['Bailey High School', 1714], ['Cabrera High School', 1858], ['Figueroa High School', 2949]]</t>
  </si>
  <si>
    <t>L6_0</t>
  </si>
  <si>
    <t>Target6_0</t>
  </si>
  <si>
    <t>['movie_display_name', 'movie_production_year', 'movie_genre_display_name', 'movie_financial_summary_production_budget', 'movie_financial_summary_international_box_office', 'movie_annual_summary_tickets_sold', 'movie_video_summary_domestic_dvd_units', 'movie_acting_role_display_name', 'movie_theatrical_release_release_date', 'movie_creative_type_display_name', 'movie_production_method_display_name', 'movie_source_display_name', 'movie_running_time', 'movie_technical_role_display_name', 'movie_production_company_display_name', 'movie_sequel']</t>
  </si>
  <si>
    <t>[['Jurassic World', 2015, 'Action', 215000000, 1016966151, 77920909.0, 1109651.0, 'Chris Pratt', '2015-06-12', 'Science Fiction', 'Live Action', 'Based on Fiction Book/Short Story', 124.0, 'Colin Trevorow', 'Universal Pictures', 1], ['Ant-Man', 2015, 'Action', 130000000, 338400000, 21522460.0, nan, 'Paul Rudd', '2015-07-17', 'Super Hero', 'Live Action', 'Based on Comic/Graphic Novel', 117.0, 'Peyton Reed', 'Marvel Studios', 0], ['The Age of Adaline', 2015, 'Drama', 30000000, 17703764, 5093163.0, 264813.0, 'Blake Lively', '2015-04-24', 'Fantasy', 'Live Action', 'Original Screenplay', 112.0, 'Lee Toland Krieger', 'Sidney Kimmel Entertianment', 0]]</t>
  </si>
  <si>
    <t>[['The Dark Knight', 2008, 'Action', 185000000, 469546000, 312504, 19512907, 'Cillian Murphy', '2008-07-18', 'Super Hero', 'Live Action', 'Based on Comic/Graphic Novel', 152.0, 'Christopher Nolan', 'Legendary Pictures', 1], ['Iron Man', 2008, 'Action', 186000000, 263839000, 44347089, 10953144, 'Robert Downey, Jr.', '2008-05-02', 'Super Hero', 'Live Action', 'Based on Comic/Graphic Novel', 126.0, 'Jon Favreau', 'Paramount Pictures', 0], ['Indiana Jones and the Kingdom of the Crystal Skull', 2008, 'Adventure', 185000000, 469534294, 44164501, 6138134, 'Karen Allen', '2008-05-22', 'Historical Fiction', 'Live Action', 'Original Screenplay', 123.0, 'Steven Spielberg', 'Lucasfilm', 1]]</t>
  </si>
  <si>
    <t>[['Lincoln', 2011, 'Drama', 65000000, 91138308, 18101638.0, 2047978.0, 'Daniel Day-Lewis', '2012-11-09', 'Dramatization', 'Live Action', 'Based on Fiction Book/Short Story', 149.0, 'Steven Spielberg', 'DreamWorks Pictures', 0], ['The Smurfs', 2011, 'Adventure', 110000000, 421135165, 17984130.0, 2360392.0, 'Alan Cumming', '2011-07-29', 'Kids Fiction', 'Animation/Live Action', 'Based on Comic/Graphic Novel', 103.0, 'Raja Gosnell', 'Sony Pictures Animation', 0], ['Harry Potter and the Deathly Hallows: Part II', 2011, 'Adventure', 125000000, 960500000, 48046811.0, 7618803.0, 'Josh Herdman', '2011-07-15', 'Fantasy', 'Animation/Live Action', 'Based on Fiction Book/Short Story', 131.0, 'David Yates', 'Warner Bros', 1]]</t>
  </si>
  <si>
    <t>[["Ender's Game", 2012, 'Adventure', 110000000, 28000000, 7583868.0, 847264.0, 'Asa Butterfield', '2013-11-01', 'Science Fiction', 'Live Action', 'Based on Fiction Book/Short Story', 114.0, 'Gavin Hood', 'Summit Entertainment', 0], ['Foodfight!', 2012, 'Comedy', 45000000, 73706, nan, nan, 'Wayne Brady', nan, 'Kids Fiction', 'Digital Animation', 'Original Screenplay', nan, nan, 'Threshold Entertainment', 0], ["Madagascar 3: Europe's Most Wanted", 2012, 'Adventure', 145000000, 530529789, 27184859.0, 3511489.0, 'Eric Darnell', '2012-06-08', 'Kids Fiction', 'Digital Animation', 'Original Screenplay', 85.0, 'Eric Darnell', 'DreamWorks Animation', 1]]</t>
  </si>
  <si>
    <t>[['Accidental Love', 2014, 'Comedy', 26000000, 135436, nan, nan, 'Jessica Biel', '2015-03-18', 'Contemporary Fiction', 'Live Action', 'Original Screenplay', 81, 'David O. Russell', 'K Jam Media', 0], ['Big Eyes', 2014, 'Drama', 10000000, 1393287, 1214690.0, 124825.0, 'Christoph Waltz', '2014-12-25', 'Dramatization', 'Live Action', 'Based on Real Life Events', 106, 'Tim Burton', 'Tim Burton', 0], ['Poltergeist', 2014, 'Horror', 35000000, 48400000, 5666084.0, 122204.0, 'Sam Rockwell', '2015-05-22', 'Fantasy', 'Live Action', 'Remake', 93, 'Gil Kenan', 'Ghost House Pictures', 0]]</t>
  </si>
  <si>
    <t>[['Nanny McPhee and the Big Bang', 2010, 'Adventure', 35000000, 68602223, 3676960.0, 705091.0, 'Emma Thompson', '2010-08-20', 'Kids Fiction', 'Live Action', 'Based on Fiction Book/Short Story', 109.0, 'Debra Osborne', 'StudioCanal', 1], ['Sex and the City 2', 2010, 'Comedy', 95000000, 199333086, 12084625.0, 2463557.0, 'Sarah Jessica Parker', '2010-05-27', 'Contemporary Fiction', 'Live Action', 'Based on TV', nan, 'Michael Patrick King', nan, 1], ['The Rum Diary', 2010, 'Drama', 0, 8434917, 1653192.0, 322440.0, 'Johnny Depp', '2011-10-28', 'Historical Fiction', 'Live Action', 'Based on Fiction Book/Short Story', 122.0, 'Bruce Robinson', 'Infinitum Nihil', 0]]</t>
  </si>
  <si>
    <t>Source_5</t>
  </si>
  <si>
    <t>[['Jurassic World', 2015, 'Action', 215000000, 1016966151, 77920909.0, 1109651.0, 'Chris Pratt', '2015-06-12', 'Science Fiction', 'Live Action', 'Based on Fiction Book/Short Story', 124, 'Colin Trevorow', 'Universal Pictures', 1], ['Ant-Man', 2015, 'Action', 130000000, 338400000, 21522460.0, nan, 'Paul Rudd', '2015-07-17', 'Super Hero', 'Live Action', 'Based on Comic/Graphic Novel', 117, 'Peyton Reed', 'Marvel Studios', 0], ['The Age of Adaline', 2015, 'Drama', 30000000, 17703764, 5093163.0, 264813.0, 'Blake Lively', '2015-04-24', 'Fantasy', 'Live Action', 'Original Screenplay', 112, 'Lee Toland Krieger', 'Sidney Kimmel Entertianment', 0]]</t>
  </si>
  <si>
    <t>Source_6</t>
  </si>
  <si>
    <t>[['Transformers: Revenge of the Fallen', 2009, 'Action', 210000000, 434407829, 53614916, 11083425.0, 'Shia LaBeouf', '2009-06-24', 'Science Fiction', 'Animation/Live Action', 'Based on TV', 149.0, 'Michael Bay', 'DreamWorks', 1], ['Harry Potter and the Half-Blood Prince', 2009, 'Adventure', 250000000, 633124489, 40261226, 11455655.0, 'Gemma Jones', '2009-07-15', 'Fantasy', 'Animation/Live Action', 'Based on Fiction Book/Short Story', 153.0, 'David Yates', 'Heyday Films', 1], ['Up', 2009, 'Adventure', 175000000, 438538457, 39067222, 12995860.0, 'Christopher Plummer', '2009-05-29', 'Fantasy', 'Digital Animation', 'Original Screenplay', 89.0, 'Pete Docter', 'Walt Disney Pictures', 0]]</t>
  </si>
  <si>
    <t>Source_7</t>
  </si>
  <si>
    <t>[['RoboCop', 2013, 'Action', 120000000, 184374792, 7173440.0, 442503.0, 'Joel Kinnaman', '2014-02-12', 'Science Fiction', 'Live Action', 'Remake', 116, 'Jose Padilha', 'Strike Entertainment', 0], ["We're the Millers", 2013, 'Comedy', 37000000, 117422157, 18498661.0, 2163494.0, 'Will Poulter', '2013-08-07', 'Contemporary Fiction', 'Live Action', 'Original Screenplay', 100, 'Rawson Thurber', 'New Line Cinema', 0], ['The Hobbit: The Desolation of Smaug', 2013, 'Adventure', 250000000, 702000000, 28174617.0, 2866572.0, 'Martin Freeman', '2013-12-13', 'Fantasy', 'Animation/Live Action', 'Based on Fiction Book/Short Story', 201, 'Peter Jackson', 'Wingnut Films', 1]]</t>
  </si>
  <si>
    <t>L6_27</t>
  </si>
  <si>
    <t>Target6_27</t>
  </si>
  <si>
    <t>['States', '2008', 'Unemployment Rate', '2008_3', '2009_x', '2009_y', '2010_x', '2010_y']</t>
  </si>
  <si>
    <t>[['UNITED STATES', 50303.0, 5.8, 50303.0, nan, nan, nan, nan], ['ALABAMA', 44476.0, 5.7, 44476.0, nan, nan, nan, nan], ['ALASKA', 63989.0, 6.7, 63989.0, nan, nan, nan, nan]]</t>
  </si>
  <si>
    <t>[['UNITED STATES', 9.3], ['ALABAMA', 11.0], ['ALASKA', 7.7]]</t>
  </si>
  <si>
    <t>['States', 'Unemployment Rate']</t>
  </si>
  <si>
    <t>[['UNITED STATES', 49777], ['ALABAMA', 39980], ['ALASKA', 61604]]</t>
  </si>
  <si>
    <t>['States', '2009']</t>
  </si>
  <si>
    <t>[['UNITED STATES', 49276], ['ALABAMA', 40933], ['ALASKA', 57848]]</t>
  </si>
  <si>
    <t>['States', '2010']</t>
  </si>
  <si>
    <t>[['UNITED STATES', 50303], ['ALABAMA', 44476], ['ALASKA', 63989]]</t>
  </si>
  <si>
    <t>['States', '2008']</t>
  </si>
  <si>
    <t>[['UNITED STATES', 9.6], ['ALABAMA', 10.5], ['ALASKA', 7.9]]</t>
  </si>
  <si>
    <t>Source_8</t>
  </si>
  <si>
    <t>[['UNITED STATES', 5.8], ['ALABAMA', 5.7], ['ALASKA', 6.7]]</t>
  </si>
  <si>
    <t>L1_81</t>
  </si>
  <si>
    <t>['provider_zip_code', 'provider_id', 'average_covered_charges', 'average_total_payments', 'average_medicare_payments']</t>
  </si>
  <si>
    <t>[[1040.0, 220024.0, 10606.582173913042, 7722.363043478259, 6745.816086956524], [1060.0, 220015.0, 18174.413846153846, 8546.349615384617, 7461.547692307691], [1069.0, 220030.0, 14887.069375, 5935.894375, 4975.089375000001]]</t>
  </si>
  <si>
    <t>[[24683.9, 8551.79, 9546.01, '917 - POISONING &amp; TOXIC EFFECTS OF DRUGS W MCC', 'MI - Flint', 'FLINT', 230141, 'MCLAREN FLINT', 'MI', '401 S BALLENGER HIGHWAY', 48532, 72], [83232.11, 12731.96, 15673.73, '470 - MAJOR JOINT REPLACEMENT OR REATTACHMENT OF LOWER EXTREMITY W/O MCC', 'PA - Philadelphia', 'DREXEL HILL', 390081, 'DELAWARE COUNTY MEMORIAL HOSPITAL', 'PA', '501 NORTH LANSDOWNE AVE', 19026, 84], [47055.54, 7643.38, 8908.15, '418 - LAPAROSCOPIC CHOLECYSTECTOMY W/O C.D.E. W CC', 'TX - Victoria', 'VICTORIA', 450023, 'CITIZENS MEDICAL CENTER', 'TX', '2701 HOSPITAL DRIVE', 77901, 13]]</t>
  </si>
  <si>
    <t>L1_82</t>
  </si>
  <si>
    <t>['conservation_status', 'scientific_name']</t>
  </si>
  <si>
    <t>[['Endangered', 11], ['In Recovery', 1], ['Species of Concern', 84]]</t>
  </si>
  <si>
    <t>[['Mammal', 'Clethrionomys gapperi gapperi', "Gapper's Red-Backed Vole", nan], ['Mammal', 'Bos bison', 'American Bison, Bison', nan], ['Mammal', 'Bos taurus', 'Aurochs, Aurochs, Domestic Cattle (Feral), Domesticated Cattle', nan]]</t>
  </si>
  <si>
    <t>['category', 'scientific_name', 'common_names', 'conservation_status']</t>
  </si>
  <si>
    <t>L1_83</t>
  </si>
  <si>
    <t>Target1_83</t>
  </si>
  <si>
    <t>L1_86</t>
  </si>
  <si>
    <t>['neighbourhood', 'price_24']</t>
  </si>
  <si>
    <t>[['Can Baró', 23], ['Canyelles', 2], ['Ciutat Meridiana', 8]]</t>
  </si>
  <si>
    <t>[[18666, 'Flat with Sunny Terrace', 71615, 'Mireia And Maria', 'Sant Martí', "el Camp de l'Arpa del Clot", 41.408886211580345, 2.1855453256058017, 'Entire home/apt', 130, 3, 1, '2015-10-10', 0.03, 29, 61], [18674, 'Huge flat for 8 people close to Sagrada Familia', 71615, 'Mireia And Maria', 'Eixample', 'la Sagrada Família', 41.404196784819064, 2.1730577177402504, 'Entire home/apt', 110, 1, 4, '2016-06-20', 0.07, 29, 148], [19157, 'Great Place in Sagrada Familia, Bcn', 73099, 'Urania', 'Eixample', 'la Sagrada Família', 41.40792900826702, 2.1745404013370675, 'Private room', 30, 2, 160, '2018-05-18', 1.68, 2, 69]]</t>
  </si>
  <si>
    <t>L1_88</t>
  </si>
  <si>
    <t>['Airline', 'Date_of_Journey', 'Source', 'Destination', 'Route', 'Dep_Time', 'Arrival_Time', 'Duration', 'Total_Stops', 'Additional_Info', 'Price']</t>
  </si>
  <si>
    <t>[['IndiGo', '24/03/2019', 'Banglore', 'New Delhi', 'BLR → DEL', '22:20', '01:10 22 Mar', '2h 50m', 'non-stop', 'No info', 3897], ['Air India', '1/05/2019', 'Kolkata', 'Banglore', 'CCU → IXR → BBI → BLR', '05:50', '13:15', '7h 25m', '2 stops', 'No info', 7662], ['Jet Airways', '9/06/2019', 'Delhi', 'Cochin', 'DEL → LKO → BOM → COK', '09:25', '04:25 10 Jun', '19h', '2 stops', 'No info', 13882]]</t>
  </si>
  <si>
    <t>L1_89</t>
  </si>
  <si>
    <t>['date', '102.9642307762594', '103.40686762477397', '103.84410015144081', '103.8770651464119', '103.9591303830494', '103.97471014292363', '104.0', '104.11672058372292', '104.13991075455378', '104.1535430975006', '104.16179785387305', '104.16731852181039', '104.17156610731607', '104.19534374424578', '104.20780001476068', '104.2475736064227', '104.25883692067988', '104.28469233758739', '104.32558680495227', '104.34314558998801', '104.36017878164039', '104.41190933506331', '104.42127356374375', '104.42426708739794', '104.48233796748329', '104.51324100589954', '104.54551837965572', '104.54658054564462', '104.56447114723393', '104.57496795441946', '104.57978697805429', '104.60316567758687', '104.61834849436612', '104.65702984256826', '104.66676708484209', '104.7124724776131', '104.7155555671814', '104.7355761493416', '104.76581330979386', '104.79582404775178', '104.84789839231375', '104.86093524328373', '104.86594308196418', '104.87815067615534', '104.89166888729558', '104.91445082632119', '104.93050731747206', '104.93195657145004', '104.97493607225907', '104.98281570660502', '105.01778888188377', '105.03899798634544', '105.0531392172164', '105.06604606111044', '105.08185066165795', '105.0870744880627', '105.08773418645492', '105.24633220461182', '105.30917881279444', '105.31256328011446', '105.32574951231125', '105.39279084065949', '105.40582903661794', '105.41404099234215', '105.44350526507864', '105.44985276071807', '105.49340322050347', '105.49373493263305', '105.5339054469482', '105.54359222176907', '105.56024479446687', '105.57984370981511', '105.58843450059987', '105.58959421203889', '105.63621189411353', '105.67218523065509', '105.71149390238746', '105.7805053952623', '105.8043287751058', '105.81152696173264', '105.82575994957008', '105.83297898254067', '105.84159342092589', '105.87675465461643', '105.93310285842674', '105.93709383205703', '105.9442486926104', '105.96703426972067', '105.97005797025622', '105.97928946012455', '105.97991225598228', '105.98344324091393', '105.98952520981197', '105.99824339629772', '106.0524503090274', '106.054179476072', '106.11364798173491', '106.2019977529751', '106.22262800781161', '106.22707555487085', '106.230251704852', '106.2533164278796', '106.27313381187071', '106.29742705474031', '106.31128572467486', '106.32520729915613', '106.32989842738297', '106.33895474987045', '106.34746250326555', '106.37017472757208', '106.39331171827483', '106.39761885327727', '106.40576836769606', '106.4260979750733', '106.43128726583544', '106.45384136146963', '106.45935569714388', '106.46775267747175', '106.49466606265055', '106.52791913834007', '106.55383329339755', '106.55864244876634', '106.56629592520223', '106.64905188276357', '106.66192069875746', '106.70206379404051', '106.76464530625195', '106.79760036376025', '106.8007069718136', '106.88116153915816', '106.90267998732097', '106.9106877870171', '106.91494144521057', '106.92252227151646', '106.93925373830918', '106.97790913533136', '107.00318574657564', '107.00984336955489', '107.07318273895147', '107.11904057612496', '107.19164012858971', '107.24942817664525', '107.25706082740422', '107.28862190975128', '107.28954139024019', '107.36712012874791', '107.3673403807312', '107.37603401487004', '107.40228313476484', '107.43307249661517', '107.50102674603055', '107.53839792123946', '107.5418906430049', '107.55955829065194', '107.57288320385558', '107.59052185552868', '107.72994596430657', '107.74700405713533', '107.76739981019861', '107.90849017717056', '107.97494327657327', '108.01352782071622', '108.03127019947732', '108.17607176592361', '108.35427662464336', '108.54767657360567', '108.6208194926428', '108.62400996724136', '108.65409495699907', '108.77072832379997', '108.87667229736903', '108.89701873854071', '108.94667888415138', '108.9632436272641', '108.99212612197309', '108.99543759775818', '109.02407701236174', '109.08632179090107', '109.11567867513011', '109.15540847031824', '109.15865916961283', '109.1792051523596', '109.18194160695627', '109.19186431107813', '109.20028536548483', '109.26268620383128', '109.41778128903894', '109.50407838955655', '109.59201397402276', '109.61174221075348', '109.68425503645079', '109.68981407560253', '109.71029080642788', '109.79211154929487', '109.80198898321221', '109.82712229883415', '109.83347382989604', '109.91185342518776', '109.94799240486039', '110.01013582093175', '110.01130626168074', '110.03869380880164', '110.1384286324776', '110.14327400337842', '110.14970695659157', '110.17162372275988', '110.17803187059303', '110.193384360099', '110.19570682399144', '110.29063439657831', '110.41164125212488', '110.42438916911125', '110.44129521062405', '110.76888911924776', '110.8208301301043', '110.98990496310962', '110.99180153896083', '111.01190922810297', '111.0122081014912', '111.24161280899963', '111.24479607852692', '111.34045301062294', '111.36177549687392', '111.60930907791592', '111.68924790246957', '111.6966162532818', '111.74628297709928', '112.15238938011582', '113.25353439563817', '113.64918192700323', '115.075779256282', '115.62868405133601', '116.01725792321129', '116.67816960489264', '116.95293107003178', '116.9717350978082', '117.10670353137289', '117.72421590630458', '117.82214878154537', '118.08592369502983', '118.93240834542965', '119.84080802849351', '120.08306159685034', '120.25913142194942', '120.28304898318079', '120.3165751209433', '120.35281297437548', '120.38779792070359', '120.47502037526715', '120.49000836617397', '120.91696662057332', 'price']</t>
  </si>
  <si>
    <t>[['2016-07-01',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['2016-07-05',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['2016-07-06',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 nan]]</t>
  </si>
  <si>
    <t>[['price', 'date', 'ticker', nan, nan, nan, nan, nan, nan], ['104.0', '2016-07-01', 'A', nan, nan, nan, nan, nan, nan], ['104.87815067615534', '2016-07-05', 'A', nan, nan, nan, nan, nan, nan]]</t>
  </si>
  <si>
    <t>['ticker', 'date', 'open', 'high', 'low', 'close', 'volume', 'adj_close', 'adj_volume']</t>
  </si>
  <si>
    <t xml:space="preserve">error in date column; headear is for two rows, </t>
  </si>
  <si>
    <t>L1_90</t>
  </si>
  <si>
    <t>['dog_type']</t>
  </si>
  <si>
    <t>[[4471], [107], [96]]</t>
  </si>
  <si>
    <t>[[892420643555336193, nan, nan, '2017-08-01 16:23:56 +0000', '&lt;a href="http://twitter.com/download/iphone" rel="nofollow"&gt;Twitter for iPhone&lt;/a&gt;', "This is Phineas. He's a mystical boy. Only ever appears in the hole of a donut. 13/10 https://t.co/MgUWQ76dJU", nan, nan, nan, 'https://twitter.com/dog_rates/status/892420643555336193/photo/1', 13, 10, 'Phineas', 'None', 'None', 'None', 'None'], [892177421306343426, nan, nan, '2017-08-01 00:17:27 +0000', '&lt;a href="http://twitter.com/download/iphone" rel="nofollow"&gt;Twitter for iPhone&lt;/a&gt;', "This is Tilly. She's just checking pup on you. Hopes you're doing ok. If not, she's available for pats, snugs, boops, the whole bit. 13/10 https://t.co/0Xxu71qeIV", nan, nan, nan, 'https://twitter.com/dog_rates/status/892177421306343426/photo/1', 13, 10, 'Tilly', 'None', 'None', 'None', 'None'], [891815181378084864, nan, nan, '2017-07-31 00:18:03 +0000', '&lt;a href="http://twitter.com/download/iphone" rel="nofollow"&gt;Twitter for iPhone&lt;/a&gt;', 'This is Archie. He is a rare Norwegian Pouncing Corgo. Lives in the tall grass. You never know when one may strike. 12/10 https://t.co/wUnZnhtVJB', nan, nan, nan, 'https://twitter.com/dog_rates/status/891815181378084864/photo/1', 12, 10, 'Archie', 'None', 'None', 'None', 'None']]</t>
  </si>
  <si>
    <t>['tweet_id', 'in_reply_to_status_id', 'in_reply_to_user_id', 'timestamp', 'source', 'text', 'retweeted_status_id', 'retweeted_status_user_id', 'retweeted_status_timestamp', 'expanded_urls', 'rating_numerator', 'rating_denominator', 'name', 'doggo', 'floofer', 'pupper', 'puppo']</t>
  </si>
  <si>
    <t>L1_91</t>
  </si>
  <si>
    <t>['Name', 'Position', 'Age', 'Team_from', 'League_from', 'Team_to', 'League_to', 'Season', 'Market_value', 'Transfer_fee']</t>
  </si>
  <si>
    <t>[['luís figo', 'Right Winger', 27, 'FC Barcelona', 'LaLiga', 'Real Madrid', 'LaLiga', '2000-2001', nan, 60000000], ['hernán crespo', 'Centre-Forward', 25, 'Parma', 'Serie A', 'Lazio', 'Serie A', '2000-2001', nan, 56810000], ['marc overmars', 'Left Winger', 27, 'Arsenal', 'Premier League', 'FC Barcelona', 'LaLiga', '2000-2001', nan, 40000000]]</t>
  </si>
  <si>
    <t>[['Luís Figo', 'Right Winger', 27, 'FC Barcelona', 'LaLiga', 'Real Madrid', 'LaLiga', '2000-2001', nan, 60000000], ['Hernán Crespo', 'Centre-Forward', 25, 'Parma', 'Serie A', 'Lazio', 'Serie A', '2000-2001', nan, 56810000], ['Marc Overmars', 'Left Winger', 27, 'Arsenal', 'Premier League', 'FC Barcelona', 'LaLiga', '2000-2001', nan, 40000000]]</t>
  </si>
  <si>
    <t>could not treat empty value as NULL</t>
  </si>
  <si>
    <t>L1_92</t>
  </si>
  <si>
    <t>[['User_943', 'Accumanst@gmail.com', 'Ижевск'], ['User_908', 'Advismowr@mail.ru', 'Ижевск'], ['User_962', 'Anachso@ukr.net', 'Краснодар']]</t>
  </si>
  <si>
    <t>[0,1,1] sim score, and 0.6 accuracy</t>
  </si>
  <si>
    <t>L1_93</t>
  </si>
  <si>
    <t>[['Запись пользователя № - user_919', '[2019-01-01 14:06:51', nan, nan], ['Запись пользователя № - user_973', '[2019-01-01 14:51:16', nan, nan], ['Запись пользователя № - user_903', '[2019-01-01 16:31:16', nan, nan]]</t>
  </si>
  <si>
    <t>0.0, 0.0, 0.994, 0.996</t>
  </si>
  <si>
    <t>failed with error</t>
  </si>
  <si>
    <t>L1_94</t>
  </si>
  <si>
    <t>Target1_94</t>
  </si>
  <si>
    <t>['Store', 'Dept', 'Date', 'Weekly_Sales', 'IsHoliday', 'ID', 'shop_id', 'item_id']</t>
  </si>
  <si>
    <t>[[35.0, 1.0, '2010-06-04', 15683.8, False, nan, nan, nan], [22.0, 7.0, '2010-06-04', 38291.05, False, nan, nan, nan], [13.0, 93.0, '2010-04-16', 45997.13, False, nan, nan, nan]]</t>
  </si>
  <si>
    <t>[[35, 1, '2010-06-04', 15683.8, False], [22, 7, '2010-06-04', 38291.05, False], [13, 93, '2010-04-16', 45997.13, False]]</t>
  </si>
  <si>
    <t>['Store', 'Dept', 'Date', 'Weekly_Sales', 'IsHoliday']</t>
  </si>
  <si>
    <t>[[202892, 44, 20462], [36681, 12, 4966], [68321, 24, 21828]]</t>
  </si>
  <si>
    <t>['ID', 'shop_id', 'item_id']</t>
  </si>
  <si>
    <t>L1_95</t>
  </si>
  <si>
    <t>['customer_id', 'date']</t>
  </si>
  <si>
    <t>[[80, '2015-01-23'], [90, '2013-12-04'], [130, '2007-11-14']]</t>
  </si>
  <si>
    <t>L1_96</t>
  </si>
  <si>
    <t>Target1_96</t>
  </si>
  <si>
    <t>['Publisher']</t>
  </si>
  <si>
    <t>[[166], [97], [10]]</t>
  </si>
  <si>
    <t>L1_97</t>
  </si>
  <si>
    <t>['crit_cn', 'critic']</t>
  </si>
  <si>
    <t>[['Mexico', 1], ['US', 3]]</t>
  </si>
  <si>
    <t>[[' Mulholland Drive ', 'David Lynch', 2001, 1, 'Simon Abrams', 'Freelance film critic', 'US'], [' In the Mood for Love ', 'Wong Kar-wai', 2000, 2, 'Simon Abrams', 'Freelance film critic', 'US'], [' The Tree of Life ', 'Terrence Malick', 2011, 3, 'Simon Abrams', 'Freelance film critic', 'US']]</t>
  </si>
  <si>
    <t>['movie', 'director', 'm_year', 'crit_rank', 'critic', 'crit_org', 'crit_cn']</t>
  </si>
  <si>
    <t>[1,0] sim score, 0.5 accuracy</t>
  </si>
  <si>
    <t>L1_98</t>
  </si>
  <si>
    <t>Target1_98</t>
  </si>
  <si>
    <t>['0_x', '0_y']</t>
  </si>
  <si>
    <t>[[0.148736393862684, -0.3978113835805185], [1.5510941181486397, 0.12204243382271825], [5.4117660904349085, -0.0533155676662677]]</t>
  </si>
  <si>
    <t>[[0.0, -0.3978113835805185], [1.0, 0.12204243382271825], [2.0, -0.0533155676662677]]</t>
  </si>
  <si>
    <t>['right_index', '0']</t>
  </si>
  <si>
    <t>[[0.148736393862684], [1.5510941181486397], [5.4117660904349085]]</t>
  </si>
  <si>
    <t>['0']</t>
  </si>
  <si>
    <t>L2_0</t>
  </si>
  <si>
    <t>Target2_0</t>
  </si>
  <si>
    <t>['school_name', 'reading_score']</t>
  </si>
  <si>
    <t>[['Bailey High School', 80.85822637106185], ['Cabrera High School', 83.97578040904197], ['Figueroa High School', 81.15801966768396]]</t>
  </si>
  <si>
    <t>L2_1</t>
  </si>
  <si>
    <t>Target2_1</t>
  </si>
  <si>
    <t>L2_10</t>
  </si>
  <si>
    <t>Target2_10</t>
  </si>
  <si>
    <t>[['Amandaburgh', 180], ['Barajasview', 416], ['Carriemouth', 1092]]</t>
  </si>
  <si>
    <t>L2_11</t>
  </si>
  <si>
    <t>Target2_11</t>
  </si>
  <si>
    <t>['city', 'fare', 'ride_id', 'driver_count']</t>
  </si>
  <si>
    <t>[['Alvarezhaven', 25.430909090909093, 5707099781305.0, 21], ['Alyssaberg', 21.716363636363635, 3749969388939.227, 67], ['Antoniomouth', 20.294285714285714, 4400080524921.929, 21]]</t>
  </si>
  <si>
    <t>L2_12</t>
  </si>
  <si>
    <t>Target2_12</t>
  </si>
  <si>
    <t>L2_13</t>
  </si>
  <si>
    <t>Target2_13</t>
  </si>
  <si>
    <t>[['Urban', 1187]]</t>
  </si>
  <si>
    <t>L2_14</t>
  </si>
  <si>
    <t>Target2_14</t>
  </si>
  <si>
    <t>['username', 'date', 'retweets', 'favorites', 'text', 'geo', 'mentions', 'hashtags', 'id', 'permalink']</t>
  </si>
  <si>
    <t>[[nan, '2009-05-01 16:54', 0, 0, 'is watching the titans rookies go through their first workout. TE jared cook passes the eye test big time, as does WR Kenny Britt', nan, nan, nan, 1673300446.0, 'https://twitter.com/brentdougherty/status/1673300446'], [nan, '2009-05-01 09:54', 0, 0, "RT @ janesports: Sanchez looks accurate, throwing now to Marcus Henry, Huey Whittaker, Kenny O'Neal and Britt Davis. # nfl", nan, '@', '#', 1669666431.0, 'https://twitter.com/Brian_Bassett/status/1669666431'], [nan, '2009-05-01 09:52', 0, 0, "Sanchez looks accurate, throwing now to Marcus Henry, Huey Whittaker, Kenny O'Neal and Britt Davis. # nfl", nan, nan, '#', 1669646494.0, 'https://twitter.com/janesports/status/1669646494']]</t>
  </si>
  <si>
    <t>[[nan, '2014-03-17 18:59', 1, 0, '@ KennyBritt_18 you need to go to Carolina. @ Panthers here is a #1 talent receiver that needs new scenery.', nan, '@ @', '#1', 4.457109448201503e+17, 'https://twitter.com/ThomasJSwartout/status/445710944820150272'], [nan, '2014-03-17 18:59', 1, 0, '@ KennyBritt_18 Brady to Britt??? would be amazing hopefully a deal can get done', nan, '@', nan, 4.457109264243384e+17, 'https://twitter.com/RutgersMets/status/445710926424338432'], [nan, '2014-03-17 18:58', 0, 0, '@ KennyBritt_18 any contract with New England', nan, '@', nan, 4.457108066979144e+17, 'https://twitter.com/pcerro1484/status/445710806697914368']]</t>
  </si>
  <si>
    <t>[[nan, '2017-03-15 18:28', 1, 1, 'The Cleveland # Browns signed UFA WR Kenny Britt to a 4-year $32.5M contract. Scouting report via Brock Enderson: https://www.scoutingacademy.com/2017FAWR pic.twitter.com/xPB0Eibkx1', nan, nan, '#', 842155453769478146, 'https://twitter.com/TheScoutAcademy/status/842155453769478146'], [nan, '2017-03-15 17:48', 0, 1, '@ KennyBritt_18 welcome to Cleveland! I love how you have embraced the city! Good luck! # DawgPound', nan, '@', '#', 842145562736644098, 'https://twitter.com/radneyek/status/842145562736644098'], [nan, '2017-03-15 16:24', 0, 0, 'Tell us what you think: Is Kenny Britt a Cleveland @ Browns building block?http://trib.al/h1q0T5B', nan, '@', nan, 842124403034972170, 'https://twitter.com/cdotcombrowns/status/842124403034972170']]</t>
  </si>
  <si>
    <t>[[nan, '2009-05-01 16:54', 0, 0, 'is watching the titans rookies go through their first workout. TE jared cook passes the eye test big time, as does WR Kenny Britt', nan, nan, nan, 1673300446, 'https://twitter.com/brentdougherty/status/1673300446'], [nan, '2009-05-01 09:54', 0, 0, "RT @ janesports: Sanchez looks accurate, throwing now to Marcus Henry, Huey Whittaker, Kenny O'Neal and Britt Davis. # nfl", nan, '@', '#', 1669666431, 'https://twitter.com/Brian_Bassett/status/1669666431'], [nan, '2009-05-01 09:52', 0, 0, "Sanchez looks accurate, throwing now to Marcus Henry, Huey Whittaker, Kenny O'Neal and Britt Davis. # nfl", nan, nan, '#', 1669646494, 'https://twitter.com/janesports/status/1669646494']]</t>
  </si>
  <si>
    <t>L2_15</t>
  </si>
  <si>
    <t>Target2_15</t>
  </si>
  <si>
    <t>['userId', 'movieId', 'rating', 'timestamp', 'title', 'genres', 'genres_arr', 'genre_count']</t>
  </si>
  <si>
    <t>[[1, 31, 2.5, 1260759144, 'Dangerous Minds (1995)', 'Drama', "['Drama']", 'Drama'], [7, 31, 3.0, 851868750, 'Dangerous Minds (1995)', 'Drama', "['Drama']", 'Drama'], [31, 31, 4.0, 1273541953, 'Dangerous Minds (1995)', 'Drama', "['Drama']", 'Drama']]</t>
  </si>
  <si>
    <t>1.0, 1.0, 1.0, 1.0, 1.0, 1.0, 0.0, 0.0</t>
  </si>
  <si>
    <t>L2_16</t>
  </si>
  <si>
    <t>Target2_16</t>
  </si>
  <si>
    <t>L2_17</t>
  </si>
  <si>
    <t>Target2_17</t>
  </si>
  <si>
    <t>['Broadband Initiative', 'Federal', 'Percent', 'state', 'population']</t>
  </si>
  <si>
    <t>[[4874142, 91596026, 2.6, 'AL', 10915751], [6378198, 0, 0.0, 'AK', 1517903], [6358179, 0, 0.0, 'AZ', 17543910]]</t>
  </si>
  <si>
    <t>[['DOCSIS', 0, 154467, 'AL'], ['DOCSIS', 1, 3715798, 'AL'], ['DSL', 0, 4122492, 'AL']]</t>
  </si>
  <si>
    <t>['TechType', 'HighSpeed', 'population', 'state']</t>
  </si>
  <si>
    <t>[[4874142, 91596026, 2.6, 'AL'], [6378198, 0, 0.0, 'AK'], [6358179, 0, 0.0, 'AZ']]</t>
  </si>
  <si>
    <t>['Broadband Initiative', 'Federal', 'Percent', 'state']</t>
  </si>
  <si>
    <t>L2_18</t>
  </si>
  <si>
    <t>Target2_18</t>
  </si>
  <si>
    <t>L2_19</t>
  </si>
  <si>
    <t>Target2_19</t>
  </si>
  <si>
    <t>['Dates', 'Action']</t>
  </si>
  <si>
    <t>[[0, 2864], [1, 1692], [2, 1024]]</t>
  </si>
  <si>
    <t>[['2015-08-26 00:06:44', 'view', 'U216990343', 'P0025911561'], ['2015-08-23 14:14:34', 'view', 'U452898374', 'P0005050231'], ['2015-07-09 17:45:23', 'view', 'U164816658', 'P0009305785']]</t>
  </si>
  <si>
    <t>['Dates', 'Action', 'User', 'Product']</t>
  </si>
  <si>
    <t>L2_2</t>
  </si>
  <si>
    <t>Target2_2</t>
  </si>
  <si>
    <t>['contributor_firstname', 'contributor_lastname', 'committee_position', 'amount']</t>
  </si>
  <si>
    <t>[['A C', 'SEE', 'OPPOSE', 287.08], ['A C', 'SEE', 'SUPPORT', 287.08], ['A G', 'VASQUEZ', 'OPPOSE', 287.08]]</t>
  </si>
  <si>
    <t>L2_20</t>
  </si>
  <si>
    <t>Target2_20</t>
  </si>
  <si>
    <t>['Drug', 'Timepoint', 'Mouse ID']</t>
  </si>
  <si>
    <t>[['Capomulin', 0, 25], ['Capomulin', 5, 25], ['Capomulin', 10, 25]]</t>
  </si>
  <si>
    <t>L2_21</t>
  </si>
  <si>
    <t>Target2_21</t>
  </si>
  <si>
    <t>['state', 'date', 'draw_sales', 'year']</t>
  </si>
  <si>
    <t>[['AR', '2018-12-22', 237738, 2018], ['AR', '2018-12-26', 25880, 2018], ['AR', '2018-12-29', 189144, 2018]]</t>
  </si>
  <si>
    <t>[['AR', '2018-12-22', 237738], ['AR', '2018-12-26', 25880], ['AR', '2018-12-29', 189144]]</t>
  </si>
  <si>
    <t>['state', 'date', 'draw_sales']</t>
  </si>
  <si>
    <t>[['AR', '2018-12-14', 173406], ['AR', '2018-12-18', 171350], ['AR', '2018-12-21', 196400]]</t>
  </si>
  <si>
    <t>L2_22</t>
  </si>
  <si>
    <t>Target2_22</t>
  </si>
  <si>
    <t>['city', 'ride_id']</t>
  </si>
  <si>
    <t>[['Alvarezhaven', 22], ['Alyssaberg', 22], ['Antoniomouth', 14]]</t>
  </si>
  <si>
    <t>L2_23</t>
  </si>
  <si>
    <t>Target2_23</t>
  </si>
  <si>
    <t>['city', 'type']</t>
  </si>
  <si>
    <t>[['Amandaburgh', 15], ['Barajasview', 16], ['Carriemouth', 21]]</t>
  </si>
  <si>
    <t>L2_24</t>
  </si>
  <si>
    <t>Target2_24</t>
  </si>
  <si>
    <t>['title', 'size', 'mean']</t>
  </si>
  <si>
    <t>[["'Til There Was You (1997)", 6, 2.333333333333333], ['1-900 (1994)', 2, 2.5], ['101 Dalmatians (1996)', 52, 2.9423076923076925]]</t>
  </si>
  <si>
    <t>[[0, 50, 5], [0, 172, 5], [0, 133, 1]]</t>
  </si>
  <si>
    <t>['user_id', 'movie_id', 'rating']</t>
  </si>
  <si>
    <t>[[1, 'Toy Story (1995)'], [2, 'GoldenEye (1995)'], [3, 'Four Rooms (1995)']]</t>
  </si>
  <si>
    <t>['movie_id', 'title']</t>
  </si>
  <si>
    <t>L2_25</t>
  </si>
  <si>
    <t>Target2_25</t>
  </si>
  <si>
    <t>L2_27</t>
  </si>
  <si>
    <t>Target2_27</t>
  </si>
  <si>
    <t>['school_name', 'Student ID', 'student_name', 'gender', 'grade', 'reading_score', 'math_score', 'School ID', 'type', 'size', 'budget']</t>
  </si>
  <si>
    <t>[['Bailey High School', 1714, 1714, 1714, 1714, 1714, 1714, 1714, 1714, 1714, 1714], ['Cabrera High School', 1858, 1858, 1858, 1858, 1858, 1858, 1858, 1858, 1858, 1858], ['Figueroa High School', 2949, 2949, 2949, 2949, 2949, 2949, 2949, 2949, 2949, 2949]]</t>
  </si>
  <si>
    <t>L2_28</t>
  </si>
  <si>
    <t>Target2_28</t>
  </si>
  <si>
    <t>['StoreType', 'Store', 'Dept', 'Weekly_Sales', 'IsHoliday', 'Assortment', 'CompetitionDistance', 'CompetitionOpenSinceMonth', 'CompetitionOpenSinceYear', 'Promo2', 'Promo2SinceWeek', 'Promo2SinceYear', 'PromoInterval']</t>
  </si>
  <si>
    <t>[['a', 57226, 57226, 57226, 57226, 57226, 57226, 41417, 41417, 57226, 37972, 37972, 37972], ['c', 13598, 13598, 13598, 13598, 13598, 13598, 13598, 13598, 13598, 2297, 2297, 2297], ['d', 29176, 29176, 29176, 29176, 29176, 29176, 18186, 18186, 29176, 15786, 15786, 15786]]</t>
  </si>
  <si>
    <t>[[1, 'c', 'a', 1270.0, 9.0, 2008.0, 0, nan, nan, nan], [2, 'a', 'a', 570.0, 11.0, 2007.0, 1, 13.0, 2010.0, 'Jan,Apr,Jul,Oct'], [3, 'a', 'a', 14130.0, 12.0, 2006.0, 1, 14.0, 2011.0, 'Jan,Apr,Jul,Oct']]</t>
  </si>
  <si>
    <t>['Store', 'StoreType', 'Assortment', 'CompetitionDistance', 'CompetitionOpenSinceMonth', 'CompetitionOpenSinceYear', 'Promo2', 'Promo2SinceWeek', 'Promo2SinceYear', 'PromoInterval']</t>
  </si>
  <si>
    <t>[['2010-12-03', 6, 93, 34385.61, False], ['2010-02-12', 31, 56, 1010.13, True], ['2011-06-10', 7, 20, 2339.22, False]]</t>
  </si>
  <si>
    <t>['Date', 'Store', 'Dept', 'Weekly_Sales', 'IsHoliday']</t>
  </si>
  <si>
    <t>L2_29</t>
  </si>
  <si>
    <t>Target2_29</t>
  </si>
  <si>
    <t>['movie title', 'movie id', 'user_id', 'movie_id', 'rating']</t>
  </si>
  <si>
    <t>[["'Til There Was You (1997)", 6, 6, 6, 6], ['1-900 (1994)', 2, 2, 2, 2], ['101 Dalmatians (1996)', 52, 52, 52, 52]]</t>
  </si>
  <si>
    <t>['movie id', 'movie title']</t>
  </si>
  <si>
    <t>[[196, 242, 3], [186, 302, 3], [22, 377, 1]]</t>
  </si>
  <si>
    <t>L2_3</t>
  </si>
  <si>
    <t>Target2_3</t>
  </si>
  <si>
    <t>[[nan, '2018-03-19 20:42', 0, 0, 'I think I shed a tear when the news of your extension broke...', nan, nan, nan, 9.759103878361702e+17, 'https://twitter.com/PatrickLeipzig2/status/975910387836170241'], [nan, '2018-03-19 20:11', 0, 0, 'Tackling machine is going to be here for a while!!!', nan, nan, nan, 9.75902549147562e+17, 'https://twitter.com/mahl1334/status/975902549147561984'], [nan, '2018-03-19 20:08', 0, 0, 'Glad your back. Kick me some ass. Fly Eagles Fly.', nan, nan, nan, 9.759019849213912e+17, 'https://twitter.com/ConshyBob8/status/975901984921391108']]</t>
  </si>
  <si>
    <t>[[nan, '2018-03-19 20:42', 0, 0, 'I think I shed a tear when the news of your extension broke...', nan, nan, nan, 975910387836170241, 'https://twitter.com/PatrickLeipzig2/status/975910387836170241'], [nan, '2018-03-19 20:11', 0, 0, 'Tackling machine is going to be here for a while!!!', nan, nan, nan, 975902549147561984, 'https://twitter.com/mahl1334/status/975902549147561984'], [nan, '2018-03-19 20:08', 0, 0, 'Glad your back. Kick me some ass. Fly Eagles Fly.', nan, nan, nan, 975901984921391108, 'https://twitter.com/ConshyBob8/status/975901984921391108']]</t>
  </si>
  <si>
    <t>[[nan, '2012-05-04 14:38', 1, 0, '# FF @ cponder7 @ Corey_Clark @ CoachColey @CoachDCraig @dkanell13 @Warchant_DC @ EveretteBrown @ NigelBradham_13 @ os_coleyharvey @ P5White', nan, '@ @ @ @CoachDCraig @dkanell13 @Warchant_DC @ @ @ @', '#', 1.984967182103511e+17, 'https://twitter.com/FSUPros/status/198496718210351105'], [nan, '2012-05-04 09:26', 0, 0, 'Bills Draft Picks: Nigel Bradham, Ron Brooks, Zebrie Sanders Scouting Reports: Buffalo Rumblings » N... http://bit.ly/Kfm7K2 # nfl # bills', nan, nan, '# #', 1.9841833646228275e+17, 'https://twitter.com/LoyalNFLFans/status/198418336462282752'], [nan, '2012-05-04 08:18', 0, 0, '# nfl # bills Bills Draft Picks: Nigel Bradham, Ron Brooks, Zebrie Sanders Scouting Reports: Buffalo Rumblings » N... http://bit.ly/J3sFJM', nan, nan, '# #', 1.9840119403983667e+17, 'https://twitter.com/Football_Fanz/status/198401194039836672']]</t>
  </si>
  <si>
    <t>[[nan, '2016-03-15 18:54', 0, 0, 'Dat boy @ NigelBradham_13 wit da eagles', nan, '@', nan, 709890545804578816, 'https://twitter.com/3k10Milk/status/709890545804578816'], [nan, '2016-03-15 16:31', 0, 0, 'Nigel Bradham Highlights Welcome To Philly" http://dlvr.it/KnnmTR"', nan, nan, nan, 709854476161540096, 'https://twitter.com/Reddit_Eagles/status/709854476161540096'], [nan, '2016-03-15 13:11', 1, 1, '# PhiladelphiaEagles # Video Inside The Studio: Nigel Bradham # FlyEaglesFly # Eagles http://dld.bz/euv5A', nan, nan, '# # # #', 709804204831936512, 'https://twitter.com/PhilEaglesViews/status/709804204831936512']]</t>
  </si>
  <si>
    <t>L2_30</t>
  </si>
  <si>
    <t>Target2_30</t>
  </si>
  <si>
    <t>['city', 'fare']</t>
  </si>
  <si>
    <t>[['Alvarezhaven', 25.430909090909093], ['Alyssaberg', 21.716363636363635], ['Antoniomouth', 20.294285714285714]]</t>
  </si>
  <si>
    <t>L2_31</t>
  </si>
  <si>
    <t>Target2_31</t>
  </si>
  <si>
    <t>['type', 'city', 'fare', 'ride_id', 'driver_count']</t>
  </si>
  <si>
    <t>[['Urban', 'Amandaburgh', 23.072, 5057696898269.134, 12], ['Urban', 'Barajasview', 28.754375, 5353622836034.3125, 26], ['Urban', 'Carriemouth', 27.250476190476192, 5522079655028.714, 52]]</t>
  </si>
  <si>
    <t>[[0, 'Richardfort', 38, 'Urban'], [1, 'Williamsstad', 59, 'Urban'], [2, 'Port Angela', 67, 'Urban']]</t>
  </si>
  <si>
    <t>['right_index', 'city', 'driver_count', 'type']</t>
  </si>
  <si>
    <t>L2_32</t>
  </si>
  <si>
    <t>Target2_32</t>
  </si>
  <si>
    <t>L2_33</t>
  </si>
  <si>
    <t>Target2_33</t>
  </si>
  <si>
    <t>['geo', 'user_id', 'time', 'bet', 'win', 'email']</t>
  </si>
  <si>
    <t>[['Арзангелтск', 46, 46, 6, 0, 46], ['Воронеж', 39, 39, 11, 3, 39], ['Екатеринбург', 19, 19, 0, 0, 17]]</t>
  </si>
  <si>
    <t>L2_34</t>
  </si>
  <si>
    <t>Target2_34</t>
  </si>
  <si>
    <t>L2_35</t>
  </si>
  <si>
    <t>Target2_35</t>
  </si>
  <si>
    <t>['Date', 'ResultDir', 'NumMosquitos']</t>
  </si>
  <si>
    <t>[['2007-05-29', 17.0, 1.6], ['2007-06-05', 4.0, 2.1166666666666667], ['2007-06-26', 21.5, 3.085714285714286]]</t>
  </si>
  <si>
    <t>[[1, '2007-05-01', 83, 50, 67, '14', 51, 56, 0, 2, '0448', '1849', ' ', '0', 'M', '0.0', 0.0, 29.1, 29.82, 1.7, 27, 9.2], [2, '2007-05-01', 84, 52, 68, 'M', 51, 57, 0, 3, '-', '-', ' ', 'M', 'M', 'M', 0.0, 29.18, 29.82, 2.7, 25, 9.6], [1, '2007-05-02', 59, 42, 51, '-3', 42, 47, 14, 0, '0447', '1850', 'BR', '0', 'M', '0.0', 0.0, 29.38, 30.09, 13.0, 4, 13.4]]</t>
  </si>
  <si>
    <t>['Station', 'Date', 'Tmax', 'Tmin', 'Tavg', 'Depart', 'DewPoint', 'WetBulb', 'Heat', 'Cool', 'Sunrise', 'Sunset', 'CodeSum', 'Depth', 'Water1', 'SnowFall', 'PrecipTotal', 'StnPressure', 'SeaLevel', 'ResultSpeed', 'ResultDir', 'AvgSpeed']</t>
  </si>
  <si>
    <t>[['2007-05-29', '4100 North Oak Park Avenue, Chicago, IL 60634, USA', 'CULEX PIPIENS/RESTUANS', 41, ' N OAK PARK AVE', 'T002', '4100 N OAK PARK AVE, Chicago, IL', 41.95469, -87.800991, 9, 1, 0], ['2007-05-29', '4100 North Oak Park Avenue, Chicago, IL 60634, USA', 'CULEX RESTUANS', 41, ' N OAK PARK AVE', 'T002', '4100 N OAK PARK AVE, Chicago, IL', 41.95469, -87.800991, 9, 1, 0], ['2007-05-29', '6200 North Mandell Avenue, Chicago, IL 60646, USA', 'CULEX RESTUANS', 62, ' N MANDELL AVE', 'T007', '6200 N MANDELL AVE, Chicago, IL', 41.994991, -87.769279, 9, 1, 0]]</t>
  </si>
  <si>
    <t>['Date', 'Address', 'Species', 'Block', 'Street', 'Trap', 'AddressNumberAndStreet', 'Latitude', 'Longitude', 'AddressAccuracy', 'NumMosquitos', 'WnvPresent']</t>
  </si>
  <si>
    <t>L2_36</t>
  </si>
  <si>
    <t>Target2_36</t>
  </si>
  <si>
    <t>['CustomerID', 'Title', 'FirstName', 'MiddleName', 'LastName', 'Suffix', 'AddressLine1', 'AddressLine2', 'City', 'StateProvinceName', 'CountryRegionName', 'PostalCode', 'PhoneNumber', 'BirthDate', 'Education', 'Occupation', 'Gender', 'MaritalStatus', 'HomeOwnerFlag', 'NumberCarsOwned', 'NumberChildrenAtHome', 'TotalChildren', 'YearlyIncome', 'AveMonthSpend', 'BikeBuyer']</t>
  </si>
  <si>
    <t>[[11000, nan, 'Jon', 'V', 'Yang', nan, '3761 N. 14th St', nan, 'Rockhampton', 'Queensland', 'Australia', 4700, '1 (11) 500 555-0162', '1966-04-08', 'Bachelors ', 'Professional', 'M', 'M', 1, 0, 0, 2, 137947, 89, 0], [11001, nan, 'Eugene', 'L', 'Huang', nan, '2243 W St.', nan, 'Seaford', 'Victoria', 'Australia', 3198, '1 (11) 500 555-0110', '1965-05-14', 'Bachelors ', 'Professional', 'M', 'S', 0, 1, 3, 3, 101141, 117, 1], [11002, nan, 'Ruben', nan, 'Torres', nan, '5844 Linden Land', nan, 'Hobart', 'Tasmania', 'Australia', 7001, '1 (11) 500 555-0184', '1965-08-12', 'Bachelors ', 'Professional', 'M', 'M', 1, 1, 3, 3, 91945, 123, 0]]</t>
  </si>
  <si>
    <t>[[11000, nan, 'Jon', 'V', 'Yang', nan, '3761 N. 14th St', nan, 'Rockhampton', 'Queensland', 'Australia', 4700, '1 (11) 500 555-0162', '1966-04-08', 'Bachelors ', 'Professional', 'M', 'M', 1, 0, 0, 2, 137947], [11001, nan, 'Eugene', 'L', 'Huang', nan, '2243 W St.', nan, 'Seaford', 'Victoria', 'Australia', 3198, '1 (11) 500 555-0110', '1965-05-14', 'Bachelors ', 'Professional', 'M', 'S', 0, 1, 3, 3, 101141], [11002, nan, 'Ruben', nan, 'Torres', nan, '5844 Linden Land', nan, 'Hobart', 'Tasmania', 'Australia', 7001, '1 (11) 500 555-0184', '1965-08-12', 'Bachelors ', 'Professional', 'M', 'M', 1, 1, 3, 3, 91945]]</t>
  </si>
  <si>
    <t>['CustomerID', 'Title', 'FirstName', 'MiddleName', 'LastName', 'Suffix', 'AddressLine1', 'AddressLine2', 'City', 'StateProvinceName', 'CountryRegionName', 'PostalCode', 'PhoneNumber', 'BirthDate', 'Education', 'Occupation', 'Gender', 'MaritalStatus', 'HomeOwnerFlag', 'NumberCarsOwned', 'NumberChildrenAtHome', 'TotalChildren', 'YearlyIncome']</t>
  </si>
  <si>
    <t>[[11000, 0], [11001, 1], [11002, 0]]</t>
  </si>
  <si>
    <t>['CustomerID', 'BikeBuyer']</t>
  </si>
  <si>
    <t>[[11000, 89], [11001, 117], [11002, 123]]</t>
  </si>
  <si>
    <t>['CustomerID', 'AveMonthSpend']</t>
  </si>
  <si>
    <t>L2_37</t>
  </si>
  <si>
    <t>Target2_37</t>
  </si>
  <si>
    <t>['Date', 'NumMosquitos']</t>
  </si>
  <si>
    <t>[['2007-05-29', 80], ['2007-06-05', 254], ['2007-06-26', 432]]</t>
  </si>
  <si>
    <t>L2_38</t>
  </si>
  <si>
    <t>Target2_38</t>
  </si>
  <si>
    <t>['type', 'fare']</t>
  </si>
  <si>
    <t>[['Urban', 29034.800000000036]]</t>
  </si>
  <si>
    <t>L2_39</t>
  </si>
  <si>
    <t>Target2_39</t>
  </si>
  <si>
    <t>L2_4</t>
  </si>
  <si>
    <t>Target2_4</t>
  </si>
  <si>
    <t>['comment', 'response']</t>
  </si>
  <si>
    <t>[['What is AI?', 'Artificial Intelligence is the branch of engineering and science devoted to constructing machines that think.'], ['What is AI?', 'AI is the field of science which concerns itself with building hardware and software that replicates the functions of the human mind.'], ['Are you sentient?', 'Sort of.']]</t>
  </si>
  <si>
    <t>[['What is a computer?', 'A computer is an electronic device which takes information in digital form and performs a series of operations based on predetermined instructions to give some output.'], ['What is a super computer?', 'Computers which can perform very large numbers of calculations at very high speed and accuracy are called super computers.'], ['Who invented computers?', "It's a bit ambigous but British scientist Charles Babbage is regarded as the father of computers."]]</t>
  </si>
  <si>
    <t>[['What are your interests', 'I am interested in all kinds of things. We can talk about anything!'], ['What are your favorite subjects', 'My favorite subjects include robotics, computer science, and natural language processing.'], ['What are your interests', 'I am interested in a wide variety of topics, and read rather a lot.']]</t>
  </si>
  <si>
    <t>L2_40</t>
  </si>
  <si>
    <t>Target2_40</t>
  </si>
  <si>
    <t>L2_41</t>
  </si>
  <si>
    <t>Target2_41</t>
  </si>
  <si>
    <t>['Drug', 'Timepoint', 'Metastatic Sites']</t>
  </si>
  <si>
    <t>[['Capomulin', 0, 0.0], ['Capomulin', 5, 0.16], ['Capomulin', 10, 0.32]]</t>
  </si>
  <si>
    <t>L2_42</t>
  </si>
  <si>
    <t>Target2_42</t>
  </si>
  <si>
    <t>['StoreType', 'Store']</t>
  </si>
  <si>
    <t>[['a', 26], ['c', 6], ['d', 13]]</t>
  </si>
  <si>
    <t>[['2011-11-11', 7, 27, 692.12, False], ['2011-04-22', 41, 34, 12134.87, False], ['2011-12-09', 25, 30, 1468.9, False]]</t>
  </si>
  <si>
    <t>L2_43</t>
  </si>
  <si>
    <t>Target2_43</t>
  </si>
  <si>
    <t>['artist_name', 'speechiness', 'instrumentalness', 'danceability', 'energy', 'acousticness']</t>
  </si>
  <si>
    <t>[['*NSYNC', 0.058087333333333276, 0.020642031333333324, 0.6066897777777788, 0.6769354814814823, 0.22410154333333315], ['AOA', 0.0736487804878049, 0.09804646593495933, 0.6650813008130083, 0.8478455284552845, 0.1598736845528456], ['BIGBANG', 0.10821862891207172, 0.0065860413710879286, 0.5826274217585696, 0.8329001490312962, 0.10963977928464974]]</t>
  </si>
  <si>
    <t>[[0.637, 0.799, 2, 0.0338, 0.39399999999999996, 0.0, 0.0921, 0.562, 104.995, 228615, 4, 'BTS', '2018-08-24', 'Euphoria', 'euphoria'], [0.723, 0.9059999999999999, 1, 0.27899999999999997, 0.0907, 0.0, 0.0771, 0.39799999999999996, 125.01899999999999, 225221, 4, 'BTS', '2018-08-24', 'Trivia 起 : Just Dance', 'trivia-just-dance'], [0.34700000000000003, 0.578, 8, 0.0626, 0.445, 0.0, 0.231, 0.226, 86.73, 276708, 5, 'BTS', '2018-08-24', 'Serendipity (Full Length Edition)', 'serendipity-length']]</t>
  </si>
  <si>
    <t>['danceability', 'energy', 'key', 'speechiness', 'acousticness', 'instrumentalness', 'liveness', 'valence', 'tempo', 'duration_ms', 'time_signature', 'artist_name', 'release_date', 'song_name', 'song_name_formatted']</t>
  </si>
  <si>
    <t>[[0.523, 0.883, 8, 0.0365, 0.0202, 0.0, 0.116, 0.35, 92.215, 240000, 4, 'One Direction', '2015-11-13'], [0.73, 0.703, 0, 0.0369, 0.109, 0.0, 0.0657, 0.595, 138.113, 192120, 4, 'One Direction', '2015-11-13'], [0.647, 0.823, 2, 0.0762, 0.0598, 0.0, 0.119, 0.396, 99.933, 230333, 4, 'One Direction', '2015-11-13']]</t>
  </si>
  <si>
    <t>['danceability', 'energy', 'key', 'speechiness', 'acousticness', 'instrumentalness', 'liveness', 'valence', 'tempo', 'duration_ms', 'time_signature', 'artist_name', 'release_date']</t>
  </si>
  <si>
    <t>L2_45</t>
  </si>
  <si>
    <t>Target2_45</t>
  </si>
  <si>
    <t>['Item ID', 'Item Name', 'Price']</t>
  </si>
  <si>
    <t>[[0, 'Splinter', 3.84], [1, 'Crucifer', 3.26], [2, 'Verdict', 9.92]]</t>
  </si>
  <si>
    <t>L2_46</t>
  </si>
  <si>
    <t>Target2_46</t>
  </si>
  <si>
    <t>['adm0_name', 'adm1_name', 'mkt_name', 'cm_name', 'cur_name', 'pt_name', 'um_id', 'um_name', 'mp_month', 'mp_year', 'mp_price']</t>
  </si>
  <si>
    <t>[['South Sudan', nan, 'National Average', 'Fuel (diesel)', 'SSP', 'Retail', 15, 'L', 1, 2012, 7.9063], ['South Sudan', nan, 'National Average', 'Fuel (diesel)', 'SSP', 'Retail', 15, 'L', 2, 2012, 7.275], ['South Sudan', nan, 'National Average', 'Fuel (diesel)', 'SSP', 'Retail', 15, 'L', 3, 2012, 7.4531]]</t>
  </si>
  <si>
    <t>[['Afghanistan', 'Badakhshan', 'Fayzabad', 'Bread', 'AFN', 'Retail', 5, 'KG', 1, 2014, 50.0], ['Afghanistan', 'Badakhshan', 'Fayzabad', 'Bread', 'AFN', 'Retail', 5, 'KG', 2, 2014, 50.0], ['Afghanistan', 'Badakhshan', 'Fayzabad', 'Bread', 'AFN', 'Retail', 5, 'KG', 3, 2014, 50.0]]</t>
  </si>
  <si>
    <t>[['Iraq', 'Anbar', 'Alanbar', 'Rice', 'IQD', 'Retail', 5, 'KG', 1, 2012, 1496], ['Iraq', 'Anbar', 'Alanbar', 'Rice', 'IQD', 'Retail', 5, 'KG', 2, 2012, 1496], ['Iraq', 'Anbar', 'Alanbar', 'Rice', 'IQD', 'Retail', 5, 'KG', 3, 2012, 1542]]</t>
  </si>
  <si>
    <t>L2_47</t>
  </si>
  <si>
    <t>Target2_47</t>
  </si>
  <si>
    <t>['school', 'ID', 'sex', 'age', 'address', 'famsize', 'Pstatus', 'Medu', 'Fedu', 'Mjob', 'Fjob', 'reason', 'guardian', 'traveltime', 'studytime', 'failures', 'schoolsup', 'famsup', 'paid', 'activities', 'nursery', 'higher', 'internet', 'romantic', 'famrel', 'freetime', 'goout', 'Dalc', 'Walc', 'health', 'absences', 'G1', 'G2', 'G3']</t>
  </si>
  <si>
    <t>[['GP', 197, 197, 197, 197, 197, 197, 197, 197, 197, 197, 197, 197, 197, 197, 197, 197, 197, 197, 197, 197, 197, 197, 197, 197, 197, 197, 197, 197, 197, 197, 197, 197, 197]]</t>
  </si>
  <si>
    <t>[[0, 5, 6, 6], [1, 5, 5, 6], [2, 7, 8, 10]]</t>
  </si>
  <si>
    <t>['ID', 'G1', 'G2', 'G3']</t>
  </si>
  <si>
    <t>[[0, 'GP', 'F', 18, 'U', 'GT3', 'A', 4, 4, 'at_home', 'teacher', 'course', 'mother', 2, 2, 0, 'yes', 'no', 'no', 'no', 'yes', 'yes', 'no', 'no', 4, 3, 4, 1, 1, 3, 6], [1, 'GP', 'F', 17, 'U', 'GT3', 'T', 1, 1, 'at_home', 'other', 'course', 'father', 1, 2, 0, 'no', 'yes', 'no', 'no', 'no', 'yes', 'yes', 'no', 5, 3, 3, 1, 1, 3, 4], [2, 'GP', 'F', 15, 'U', 'LE3', 'T', 1, 1, 'at_home', 'other', 'other', 'mother', 1, 2, 3, 'yes', 'no', 'yes', 'no', 'yes', 'yes', 'yes', 'no', 4, 3, 2, 2, 3, 3, 10]]</t>
  </si>
  <si>
    <t>['ID', 'school', 'sex', 'age', 'address', 'famsize', 'Pstatus', 'Medu', 'Fedu', 'Mjob', 'Fjob', 'reason', 'guardian', 'traveltime', 'studytime', 'failures', 'schoolsup', 'famsup', 'paid', 'activities', 'nursery', 'higher', 'internet', 'romantic', 'famrel', 'freetime', 'goout', 'Dalc', 'Walc', 'health', 'absences']</t>
  </si>
  <si>
    <t>L2_48</t>
  </si>
  <si>
    <t>Target2_48</t>
  </si>
  <si>
    <t>L2_49</t>
  </si>
  <si>
    <t>Target2_49</t>
  </si>
  <si>
    <t>['fname', 'row_count']</t>
  </si>
  <si>
    <t>[['01_1D_11', 24], ['01_1D_13', 25], ['01_1D_15', 25]]</t>
  </si>
  <si>
    <t>[[34, 19, 44, 0.0, 97, 0, 0, 0, '29_1A', 9, '29_1A_9'], [44, 68, 52, 0.0, 82, 1, 0, 0, '07_6D', 13, '07_6D_13'], [44, 60, 67, 0.912, 167, 1, 0, 0, '71_1B', 11, '71_1B_11']]</t>
  </si>
  <si>
    <t>[[1, '01_1D', 5, '01_1D_5', 'DB', 0.0, nan], [10, '01_2B', 5, '01_2B_5', 'MS', 0.0, nan], [19, '01_2C', 5, '01_2C_5', 'MS', 0.0, nan]]</t>
  </si>
  <si>
    <t>['ï»¿index', 'cop', 'day', 'fname', 'by', 'Ok?', 'remarks']</t>
  </si>
  <si>
    <t>L2_5</t>
  </si>
  <si>
    <t>Target2_5</t>
  </si>
  <si>
    <t>L2_50</t>
  </si>
  <si>
    <t>Target2_50</t>
  </si>
  <si>
    <t>['sex', 'G1', 'G2', 'G3']</t>
  </si>
  <si>
    <t>[['F', 9.86021505376344, 10.064516129032258, 9.86021505376344], ['M', 11.490384615384615, 11.403846153846152, 11.25]]</t>
  </si>
  <si>
    <t>L2_51</t>
  </si>
  <si>
    <t>Target2_51</t>
  </si>
  <si>
    <t>L2_52</t>
  </si>
  <si>
    <t>Target2_52</t>
  </si>
  <si>
    <t>L2_53</t>
  </si>
  <si>
    <t>Target2_53</t>
  </si>
  <si>
    <t>['Athlete', 'Age', 'Year', 'Closing Ceremony Date', 'Gold Medals', 'Silver Medals', 'Bronze Medals', 'Total Medals', 'Country', 'Sport']</t>
  </si>
  <si>
    <t>[['Michael Phelps', 23.0, 2008, '08/24/2008', 8, 0, 0, 8, 'United States', 'Swimming'], ['Michael Phelps', 19.0, 2004, '08/29/2004', 6, 0, 2, 8, 'United States', 'Swimming'], ['Michael Phelps', 27.0, 2012, '08/12/2012', 4, 2, 0, 6, 'United States', 'Swimming']]</t>
  </si>
  <si>
    <t>[['Michael Phelps', 'Swimming'], ['Natalie Coughlin', 'Swimming'], ['Aleksey Nemov', 'Gymnastics']]</t>
  </si>
  <si>
    <t>['Athlete', 'Sport']</t>
  </si>
  <si>
    <t>L2_54</t>
  </si>
  <si>
    <t>Target2_54</t>
  </si>
  <si>
    <t>L2_55</t>
  </si>
  <si>
    <t>Target2_55</t>
  </si>
  <si>
    <t>['movieId', 'title', 'genres', 'userId', 'rating']</t>
  </si>
  <si>
    <t>[[1, 'Toy Story (1995)', 'Adventure|Animation|Children|Comedy|Fantasy', 163.85470085470087, 3.8717948717948723], [2, 'Jumanji (1995)', 'Adventure|Children|Fantasy', 176.8035714285714, 3.3303571428571432], [3, 'Grumpier Old Men (1995)', 'Comedy|Romance', 154.1875, 3.296875]]</t>
  </si>
  <si>
    <t>[[1.0, 1.0, 4.0, 964982703.0], [1.0, 3.0, 4.0, 964981247.0], [1.0, 6.0, 4.0, 964982224.0]]</t>
  </si>
  <si>
    <t>L2_56</t>
  </si>
  <si>
    <t>Target2_56</t>
  </si>
  <si>
    <t>[['Amandaburgh', 346.08], ['Barajasview', 460.07], ['Carriemouth', 572.26]]</t>
  </si>
  <si>
    <t>L2_57</t>
  </si>
  <si>
    <t>Target2_57</t>
  </si>
  <si>
    <t>L2_58</t>
  </si>
  <si>
    <t>Target2_58</t>
  </si>
  <si>
    <t>['type', 'fare', 'ride_id', 'driver_count']</t>
  </si>
  <si>
    <t>[['Urban', 28911.04000000002, 5753155829718154, 47654]]</t>
  </si>
  <si>
    <t>L2_59</t>
  </si>
  <si>
    <t>Target2_59</t>
  </si>
  <si>
    <t>['user_id', 'movie_id', 'rating', 'timestamp', 'gender', 'age', 'occupation', 'zip', 'title', 'genres']</t>
  </si>
  <si>
    <t>[[5140, 1269, 4, 962058225, 'M', 25, 6, 35205, 'Arsenic and Old Lace (1944)', 'Comedy|Mystery|Thriller'], [195, 1269, 4, 977749101, 'M', 25, 12, 10458, 'Arsenic and Old Lace (1944)', 'Comedy|Mystery|Thriller'], [4144, 1269, 4, 965346761, 'M', 18, 4, 2451, 'Arsenic and Old Lace (1944)', 'Comedy|Mystery|Thriller']]</t>
  </si>
  <si>
    <t>[[5140, 1269, 4, 962058225], [5085, 2065, 4, 962396741], [3272, 1625, 4, 968198926]]</t>
  </si>
  <si>
    <t>L2_6</t>
  </si>
  <si>
    <t>Target2_6</t>
  </si>
  <si>
    <t>['committee_name_x', 'amount']</t>
  </si>
  <si>
    <t>[['ADULT USE CAMPAIGN FOR PROPOSITION 64; THE', 17089.0], ['AMERICAN PROGRESSIVE BAG ALLIANCE, A PROJECT OF THE SOCIETY OF THE PLASTICS INDUSTRY (NON-PROFIT 501 (C) (6)), YES ON 65 AND NO ON 67', 5362826.5], ['CALIFORNIA CALLS ACTION FUND (NONPROFIT 501(C)(4))', 208760.0]]</t>
  </si>
  <si>
    <t>L2_60</t>
  </si>
  <si>
    <t>Target2_60</t>
  </si>
  <si>
    <t>['Ord_id', 'Prod_id', 'Ship_id', 'Cust_id', 'Sales', 'Discount', 'Order_Quantity', 'Profit', 'Shipping_Cost', 'Product_Base_Margin', 'Product_Category', 'Product_Sub_Category', 'Customer_Name', 'Province', 'Region', 'Customer_Segment']</t>
  </si>
  <si>
    <t>[['Ord_5446', 'Prod_16', 'SHP_7609', 'Cust_1818', 136.81, 0.01, 23, -30.51, 3.6, 0.56, 'OFFICE SUPPLIES', 'SCISSORS, RULERS AND TRIMMERS', 'AARON BERGMAN', 'ALBERTA', 'WEST', 'CORPORATE'], ['Ord_5406', 'Prod_13', 'SHP_7549', 'Cust_1818', 42.27, 0.01, 13, 4.56, 0.93, 0.54, 'OFFICE SUPPLIES', 'PENS &amp; ART SUPPLIES', 'AARON BERGMAN', 'ALBERTA', 'WEST', 'CORPORATE'], ['Ord_5446', 'Prod_4', 'SHP_7610', 'Cust_1818', 4701.69, 0.0, 26, 1148.9, 2.5, 0.59, 'TECHNOLOGY', 'TELEPHONES AND COMMUNICATION', 'AARON BERGMAN', 'ALBERTA', 'WEST', 'CORPORATE']]</t>
  </si>
  <si>
    <t>L2_61</t>
  </si>
  <si>
    <t>Target2_61</t>
  </si>
  <si>
    <t>[[0.4577301235011395, -0.8678511331115777, -0.7682466139454779, 0.079749229490217], [0.18832522610104785, 0.04526305993144676, 0.6271173161311172, 0.3468234086663249], [-0.08622269864560063, -1.265800685905323, -1.7687727034931604, 0.11543010058097555]]</t>
  </si>
  <si>
    <t>L2_63</t>
  </si>
  <si>
    <t>Target2_63</t>
  </si>
  <si>
    <t>['city', 'driver_count', 'fare', 'ride_id']</t>
  </si>
  <si>
    <t>[['Amandaburgh', 12, 23.072, 5057696898269.134], ['Barajasview', 26, 28.754375, 5353622836034.3125], ['Carriemouth', 52, 27.250476190476192, 5522079655028.714]]</t>
  </si>
  <si>
    <t>L2_64</t>
  </si>
  <si>
    <t>Target2_64</t>
  </si>
  <si>
    <t>L2_65</t>
  </si>
  <si>
    <t>Target2_65</t>
  </si>
  <si>
    <t>[['01_1D_11', 23], ['01_1D_13', 28], ['01_1D_15', 29]]</t>
  </si>
  <si>
    <t>[[52, 103, 75, 0.0, 214, 1, 0, 0, '04_4A', 13, '04_4A_13'], [42, 98, 53, 0.5770000000000001, 135, 1, 0, 0, '33_5A', 15, '33_5A_15'], [36, 60, 100, 0.182, 144, 1, 0, 0, '72_5C', 17, '72_5C_17']]</t>
  </si>
  <si>
    <t>L2_66</t>
  </si>
  <si>
    <t>Target2_66</t>
  </si>
  <si>
    <t>L2_67</t>
  </si>
  <si>
    <t>Target2_67</t>
  </si>
  <si>
    <t>['user_id', 'timestamp', 'source', 'device', 'operative_system', 'test', 'price', 'converted', 'city']</t>
  </si>
  <si>
    <t>[[99856, '2015-04-05 14:06:16', 'ads-google', 'mobile', 'android', 1, 59, 0, 'Lexington'], [99856, '2015-04-05 14:06:16', 'ads-google', 'mobile', 'android', 1, 59, 0, 'Lexington'], [566389, '2015-04-17 18:19:21', 'seo_facebook', 'mobile', 'android', 0, 39, 0, 'Fort Worth']]</t>
  </si>
  <si>
    <t>[[99856, '2015-04-05 14:06:16', 'ads-google', 'mobile', 'android', 1, 59, 0], [362996, '2015-04-28 15:35:06', 'ads-google', 'web', 'windows', 0, 39, 0], [566389, '2015-04-17 18:19:21', 'seo_facebook', 'mobile', 'android', 0, 39, 0]]</t>
  </si>
  <si>
    <t>[[619233, 'New York', 'USA', 40.67, -73.94], [271642, 'Indianapolis', 'USA', 39.78, -86.15], [474962, 'Boulder', 'USA', 40.03, -105.25]]</t>
  </si>
  <si>
    <t>['user_id', 'city', 'country', 'lat', 'long']</t>
  </si>
  <si>
    <t>L2_68</t>
  </si>
  <si>
    <t>Target2_68</t>
  </si>
  <si>
    <t>['school_name', 'type', 'Total Students', 'Total School Budget', 'Average Math Score', 'Average Reading Score']</t>
  </si>
  <si>
    <t>[['Bailey High School', 'District', 4976, 3124928, 77.10151691948658, 80.85822637106185], ['Cabrera High School', 'Charter', 1858, 1081356, 83.06189451022605, 83.97578040904197], ['Figueroa High School', 'District', 2949, 1884411, 76.71176670057645, 81.15801966768396]]</t>
  </si>
  <si>
    <t>L2_69</t>
  </si>
  <si>
    <t>Target2_69</t>
  </si>
  <si>
    <t>L2_7</t>
  </si>
  <si>
    <t>Target2_7</t>
  </si>
  <si>
    <t>['contributor_firstname', 'contributor_lastname', 'amount']</t>
  </si>
  <si>
    <t>[['A C', 'SEE', 574.16], ['A G', 'VASQUEZ', 574.16], ['A O', 'LETT', 574.16]]</t>
  </si>
  <si>
    <t>L2_70</t>
  </si>
  <si>
    <t>Target2_70</t>
  </si>
  <si>
    <t>['school_name', '10th', '11th', '12th', '9th']</t>
  </si>
  <si>
    <t>[['Bailey High School', 76.4562647754137, 78.3062645011601, 76.67732558139534, 76.90697674418605], ['Cabrera High School', 83.15450643776823, 82.76556016597509, 83.27748691099477, 83.09469696969697], ['Figueroa High School', 76.53997378768021, 76.88434414668549, 77.1513687600644, 76.40303738317758]]</t>
  </si>
  <si>
    <t>L2_71</t>
  </si>
  <si>
    <t>Target2_71</t>
  </si>
  <si>
    <t>['type', 'reading_score']</t>
  </si>
  <si>
    <t>[['Charter', 83.88860244233379], ['District', 81.03700368399508]]</t>
  </si>
  <si>
    <t>L2_72</t>
  </si>
  <si>
    <t>Target2_72</t>
  </si>
  <si>
    <t>L2_73</t>
  </si>
  <si>
    <t>Target2_73</t>
  </si>
  <si>
    <t>L2_74</t>
  </si>
  <si>
    <t>Target2_74</t>
  </si>
  <si>
    <t>L2_75</t>
  </si>
  <si>
    <t>Target2_75</t>
  </si>
  <si>
    <t>L2_76</t>
  </si>
  <si>
    <t>Target2_76</t>
  </si>
  <si>
    <t>L2_77</t>
  </si>
  <si>
    <t>Target2_77</t>
  </si>
  <si>
    <t>[['Alvarezhaven', 462], ['Alyssaberg', 1474], ['Antoniomouth', 294]]</t>
  </si>
  <si>
    <t>L2_78</t>
  </si>
  <si>
    <t>Target2_78</t>
  </si>
  <si>
    <t>L2_79</t>
  </si>
  <si>
    <t>Target2_79</t>
  </si>
  <si>
    <t>L2_8</t>
  </si>
  <si>
    <t>Target2_8</t>
  </si>
  <si>
    <t>L2_81</t>
  </si>
  <si>
    <t>Target2_81</t>
  </si>
  <si>
    <t>L2_82</t>
  </si>
  <si>
    <t>Target2_82</t>
  </si>
  <si>
    <t>L2_83</t>
  </si>
  <si>
    <t>Target2_83</t>
  </si>
  <si>
    <t>['date', 'price']</t>
  </si>
  <si>
    <t>[['2019-05-24', 799900], ['2017-08-04', 745000], ['2017-07-08', 749900]]</t>
  </si>
  <si>
    <t>[['2019-05-24', '$799,900 '], ['2017-08-04', '$745,000 '], ['2017-07-08', '$749,900 ']]</t>
  </si>
  <si>
    <t>1.0, 6.860122110173561e-05</t>
  </si>
  <si>
    <t>L2_84</t>
  </si>
  <si>
    <t>Target2_84</t>
  </si>
  <si>
    <t>['type', 'ride_id']</t>
  </si>
  <si>
    <t>L2_85</t>
  </si>
  <si>
    <t>Target2_85</t>
  </si>
  <si>
    <t>L2_86</t>
  </si>
  <si>
    <t>Target2_86</t>
  </si>
  <si>
    <t>[['01_1D_11', 20], ['01_1D_13', 22], ['01_1D_15', 23]]</t>
  </si>
  <si>
    <t>[[60, 48, 52, 1.296, 164, 1, 0, 0, '70_4A', 13, '70_4A_13'], [46, 10, 58, 1.095, 119, 1, 0, 0, '66_6C', 15, '66_6C_15'], [37, 49, 107, 0.28800000000000003, 185, 0, 0, 0, '19_3A', 5, '19_3A_5']]</t>
  </si>
  <si>
    <t>L2_87</t>
  </si>
  <si>
    <t>Target2_87</t>
  </si>
  <si>
    <t>['Name']</t>
  </si>
  <si>
    <t>[['Harris'], ['Bradley'], [nan]]</t>
  </si>
  <si>
    <t>L2_88</t>
  </si>
  <si>
    <t>Target2_88</t>
  </si>
  <si>
    <t>L2_89</t>
  </si>
  <si>
    <t>Target2_89</t>
  </si>
  <si>
    <t>L2_9</t>
  </si>
  <si>
    <t>Target2_9</t>
  </si>
  <si>
    <t>L2_90</t>
  </si>
  <si>
    <t>Target2_90</t>
  </si>
  <si>
    <t>['day', 'metric', 'value']</t>
  </si>
  <si>
    <t>[['jeudi', 'ensoleillement', 5.0], ['lundi', 'ensoleillement', 4.0], ['mardi', 'ensoleillement', 2.0]]</t>
  </si>
  <si>
    <t>[['lundi', 'temperature', 20], ['lundi', 'ensoleillement', 4], ['lundi', 'pluie', 2]]</t>
  </si>
  <si>
    <t>L2_91</t>
  </si>
  <si>
    <t>Target2_91</t>
  </si>
  <si>
    <t>L2_92</t>
  </si>
  <si>
    <t>Target2_92</t>
  </si>
  <si>
    <t>L2_93</t>
  </si>
  <si>
    <t>Target2_93</t>
  </si>
  <si>
    <t>L2_94</t>
  </si>
  <si>
    <t>Target2_94</t>
  </si>
  <si>
    <t>[[-0.21402038571944507, 0.6625250041013664, -0.408772759809844, 0.3953634272874623], [-0.8008658941540171, 0.5797281888305769, 1.91264812082016, 0.003080517133497667], [0.9642541173817372, -0.9236134824685932, 2.1072251430005813, -0.040066382563889516]]</t>
  </si>
  <si>
    <t>L2_95</t>
  </si>
  <si>
    <t>Target2_95</t>
  </si>
  <si>
    <t>['School Name', 'Student Grade', 'School ID', 'School Size', 'School Budget', 'Student ID', 'Student Reading Score', 'Average Student Math Score']</t>
  </si>
  <si>
    <t>[['Bailey High School', '10th', 7, 4976, 3124928, 18708.34042553192, 80.86288416075651, 76.4562647754137], ['Bailey High School', '11th', 7, 4976, 3124928, 18729.670533642693, 80.8584686774942, 78.3062645011601], ['Bailey High School', '12th', 7, 4976, 3124928, 18688.08430232558, 81.15406976744184, 76.67732558139534]]</t>
  </si>
  <si>
    <t>['School ID', 'name', 'type', 'size', 'budget']</t>
  </si>
  <si>
    <t>['Student ID', 'name', 'gender', 'grade', 'school', 'reading_score', 'math_score']</t>
  </si>
  <si>
    <t>L2_96</t>
  </si>
  <si>
    <t>Target2_96</t>
  </si>
  <si>
    <t>[['01_1D_11', 25], ['01_1D_13', 22], ['01_1D_15', 23]]</t>
  </si>
  <si>
    <t>[[48, 22, 23, 0.0, 199, 1, 0, 0, '52_4C', 9, '52_4C_9'], [48, 44, 16, 0.816, 109, 1, 0, 0, '01_2C', 17, '01_2C_17'], [11, 72, 89, 0.0, 219, 0, 0, 0, '24_3C', 9, '24_3C_9']]</t>
  </si>
  <si>
    <t>L2_97</t>
  </si>
  <si>
    <t>Target2_97</t>
  </si>
  <si>
    <t>L2_98</t>
  </si>
  <si>
    <t>Target2_98</t>
  </si>
  <si>
    <t>L3_0</t>
  </si>
  <si>
    <t>Target3_0</t>
  </si>
  <si>
    <t>['SN', 'Total Purchase Value', 'Purchase Count']</t>
  </si>
  <si>
    <t>[['Adastirin33', 4.48, 1], ['Aeda94', 4.91, 1], ['Aela59', 4.32, 1]]</t>
  </si>
  <si>
    <t>L3_1</t>
  </si>
  <si>
    <t>Target3_1</t>
  </si>
  <si>
    <t>L3_10</t>
  </si>
  <si>
    <t>Target3_10</t>
  </si>
  <si>
    <t>['Postalcode', 'Latitude', 'Longitude', 'Borough', 'Neighborhood', 'Neighborhood_joined']</t>
  </si>
  <si>
    <t>[['M1B', 43.8066863, -79.19435340000003, 'Scarborough', 'Malvern, Rouge', 'Malvern, Rouge'], ['M1C', 43.7845351, -79.16049709999999, 'Scarborough', 'Rouge Hill, Port Union, Highland Creek', 'Rouge Hill, Port Union, Highland Creek'], ['M1E', 43.7635726, -79.1887115, 'Scarborough', 'Guildwood, Morningside, West Hill', 'Guildwood, Morningside, West Hill']]</t>
  </si>
  <si>
    <t>[['M1A', 'Not assigned', 'Not assigned'], ['M2A', 'Not assigned', 'Not assigned'], ['M3A', 'North York', 'Parkwoods']]</t>
  </si>
  <si>
    <t>['Postalcode', 'Borough', 'Neighborhood']</t>
  </si>
  <si>
    <t>[['M1B', 43.8066863, -79.19435340000003], ['M1C', 43.7845351, -79.16049709999999], ['M1E', 43.7635726, -79.1887115]]</t>
  </si>
  <si>
    <t>['Postalcode', 'Latitude', 'Longitude']</t>
  </si>
  <si>
    <t>L3_100</t>
  </si>
  <si>
    <t>Target3_100</t>
  </si>
  <si>
    <t>['Rank', '0']</t>
  </si>
  <si>
    <t>[[1, 1], [3, 1], [4, 1]]</t>
  </si>
  <si>
    <t>[[1, 'China', 127050, 126767, 597237, 411683, 4.7, 138], [2, 'United States', 96661, 94747, 792274, 265436, 8.2, 230], [3, 'Japan', 30504, 30287, 223024, 61554, 7.31, 134]]</t>
  </si>
  <si>
    <t>['Rank', 'Country', 'Documents', 'Citable documents', 'Citations', 'Self-citations', 'Citations per document', 'H index']</t>
  </si>
  <si>
    <t>[['Afghanistan', 321000000.0, 10.0, 78.66928], ['Albania', 102000000.0, 35.0, 100.0], ['Algeria', 1959000000.0, 51.0, 0.55101]]</t>
  </si>
  <si>
    <t>['Country', 'Energy Supply', 'Energy Supply per Capita', '% Renewable']</t>
  </si>
  <si>
    <t>[['Aruba', 'ABW', 'GDP at market prices (constant 2010 US$)', 'NY.GDP.MKTP.KD', nan, nan, nan, nan, nan, nan, nan, nan, nan, nan, nan, nan, nan, nan, nan, nan, nan, nan, nan, nan, nan, nan, nan, nan, nan, nan, nan, nan, nan, nan, nan, nan, nan, nan, nan, nan, nan, nan, nan, nan, nan, nan, nan, nan, nan, nan, nan, nan, nan, nan, 2467703910.61453, nan, nan, nan, nan, nan], ['Andorra', 'AND', 'GDP at market prices (constant 2010 US$)', 'NY.GDP.MKTP.KD', nan, nan, nan, nan, nan, nan, nan, nan, nan, nan, 1022871401.9376099, 1070429536.9666599, 1157666822.22471, 1247831302.2806098, 1317944270.10389, 1325090206.69843, 1368868423.74087, 1407724771.11631, 1428319832.5687, 1428913249.71927, 1460474058.82573, 1458539387.76721, 1476719523.0981, 1502859168.80367, 1529680509.57141, 1565191061.36678, 1616111761.51642, 1705759462.1754801, 1792656379.7885802, 1879188446.0157602, 1950247955.3502, 1999901280.7926, 2018484671.13457, 1997664169.00582, 2045272407.1415696, 2101670670.58746, 2199392933.592561, 2398826713.99845, 2475464141.15257, 2576935425.0867896, 2606977004.92985, 2765136580.02845, 2942847625.89494, 3296693262.4915104, 3562720066.76084, 3842026792.0162396, 4018195653.51015, 4021331428.40105, 3675727910.50681, 3535389132.6024103, 3346317328.52461, 3185604581.52029, 3129537611.8862, 3127549907.58377, nan, nan], ['Afghanistan', 'AFG', 'GDP at market prices (constant 2010 US$)', 'NY.GDP.MKTP.KD', nan, nan, nan, nan, nan, nan, nan, nan, nan, nan, nan, nan, nan, nan, nan, nan, nan, nan, nan, nan, nan, nan, nan, nan, nan, nan, nan, nan, nan, nan, nan, nan, nan, nan, nan, nan, nan, nan, nan, nan, nan, nan, 8013233121.55065, 8689883606.077759, 8781610175.40574, 9762978844.07633, 10305228125.1392, 11721187594.2052, 12144482858.18, 14697331940.6464, 15936800636.2487, 16911126453.2276, 19352203805.6294, 19731337260.6378, 19990317160.6756, 20294152243.0072]]</t>
  </si>
  <si>
    <t>['Country Name', 'Country Code', 'Indicator Name', 'Indicator Code', '1960', '1961', '1962', '1963', '1964', '1965', '1966', '1967', '1968', '1969', '1970', '1971', '1972', '1973', '1974', '1975', '1976', '1977', '1978', '1979', '1980', '1981', '1982', '1983', '1984', '1985', '1986', '1987', '1988', '1989', '1990', '1991', '1992', '1993', '1994', '1995', '1996', '1997', '1998', '1999', '2000', '2001', '2002', '2003', '2004', '2005', '2006', '2007', '2008', '2009', '2010', '2011', '2012', '2013', '2014', '2015']</t>
  </si>
  <si>
    <t>L3_11</t>
  </si>
  <si>
    <t>Target3_11</t>
  </si>
  <si>
    <t>['SN', 'Price', 'count']</t>
  </si>
  <si>
    <t>L3_12</t>
  </si>
  <si>
    <t>Target3_12</t>
  </si>
  <si>
    <t>L3_13</t>
  </si>
  <si>
    <t>Target3_13</t>
  </si>
  <si>
    <t>L3_14</t>
  </si>
  <si>
    <t>Target3_14</t>
  </si>
  <si>
    <t>[['$1,000,000 Duck (1971)', 2157.25, 2031, 2.5, 991944034.25, 25.75, 2.0], ["'Night Mother (1986)", 4472.714285714285, 3112, 3.0, 976863157.1428572, 34.42857142857143, 6.142857142857142], ["'Til There Was You (1997)", 2734.2, 779, 2.4, 970319599.8, 27.6, 10.0]]</t>
  </si>
  <si>
    <t>[[1150, 3359, 3, 975196409], [4858, 715, 5, 963746089], [1269, 2421, 3, 974814998]]</t>
  </si>
  <si>
    <t>L3_15</t>
  </si>
  <si>
    <t>Target3_15</t>
  </si>
  <si>
    <t>['title', 'F', 'M']</t>
  </si>
  <si>
    <t>[['$1,000,000 Duck (1971)', 3.6666666666666665, 2.5], ["'Night Mother (1986)", 3.6, 3.8], ["'Til There Was You (1997)", 2.75, nan]]</t>
  </si>
  <si>
    <t>1.0, 0.21297134238310708, 0.06033182503770739</t>
  </si>
  <si>
    <t>[[4447, 3685, 3, 965175445], [5831, 2180, 4, 957905889], [1673, 3799, 5, 974949351]]</t>
  </si>
  <si>
    <t>L3_16</t>
  </si>
  <si>
    <t>Target3_16</t>
  </si>
  <si>
    <t>[['$1,000,000 Duck (1971)', 3.0, 2.0], ["'Night Mother (1986)", 3.2, 4.0], ["'Til There Was You (1997)", 2.375, 2.0]]</t>
  </si>
  <si>
    <t>1.0, 0.21487101669195752, 0.058877086494688924</t>
  </si>
  <si>
    <t>[[5072, 1197, 5, 962450195], [2299, 541, 4, 974497718], [4832, 2467, 4, 962998591]]</t>
  </si>
  <si>
    <t>L3_17</t>
  </si>
  <si>
    <t>Target3_17</t>
  </si>
  <si>
    <t>[['$1,000,000 Duck (1971)', nan, 5.0], ["'Night Mother (1986)", 3.0, 4.333333333333333], ["'Til There Was You (1997)", 3.0, 2.0]]</t>
  </si>
  <si>
    <t>[[5209, 835, 5, 961605901], [5103, 3441, 3, 962413843], [1532, 2709, 1, 974825189]]</t>
  </si>
  <si>
    <t>1.0, 0.20837097259861487, 0.06775067750677506</t>
  </si>
  <si>
    <t>L3_18</t>
  </si>
  <si>
    <t>Target3_18</t>
  </si>
  <si>
    <t>[['$1,000,000 Duck (1971)', 3462.5, 2031, 3.5, 979943887.25, 32.5, 0.5], ["'Night Mother (1986)", 4064.6, 3112, 3.4, 965988922.0, 35.0, 5.2], ["'Til There Was You (1997)", 3281.8, 779, 3.2, 967709522.8, 18.8, 5.0]]</t>
  </si>
  <si>
    <t>[[1155, 296, 4, 974865005], [1883, 3528, 4, 974876785], [1181, 3423, 3, 976070653]]</t>
  </si>
  <si>
    <t>L3_19</t>
  </si>
  <si>
    <t>Target3_19</t>
  </si>
  <si>
    <t>[['$1,000,000 Duck (1971)', 1410.5, 2031, 3.5, 979816157.0, 25.0, 11.5], ["'Night Mother (1986)", 3138.875, 3112, 3.5, 969441319.0, 24.5, 4.625], ["'Til There Was You (1997)", 2709.4, 779, 2.2, 971027990.6, 29.8, 4.0]]</t>
  </si>
  <si>
    <t>[[2751, 1270, 3, 973197696], [5504, 1923, 2, 959737785], [923, 223, 2, 975201257]]</t>
  </si>
  <si>
    <t>L3_2</t>
  </si>
  <si>
    <t>Target3_2</t>
  </si>
  <si>
    <t>['title', 'user_id', 'age', 'occupation', 'movie_id', 'rating', 'timestamp']</t>
  </si>
  <si>
    <t>[['$1,000,000 Duck (1971)', 1498.0, 41.66666666666666, 5.666666666666668, 2031, 2.6666666666666665, 988296816.0], ["'Night Mother (1986)", 2380.0, 36.0, 10.5, 3112, 4.0, 972447839.0], ["'Til There Was You (1997)", 2838.0, 25.375, 8.125, 779, 3.125, 977497484.375]]</t>
  </si>
  <si>
    <t>[[2018, 3358, 5, 974679997], [1352, 3010, 5, 1029537654], [5954, 2301, 3, 957653480]]</t>
  </si>
  <si>
    <t>L3_20</t>
  </si>
  <si>
    <t>Target3_20</t>
  </si>
  <si>
    <t>['SN', 'Price']</t>
  </si>
  <si>
    <t>[['Adastirin33', 4.48], ['Aeda94', 4.91], ['Aela59', 4.32]]</t>
  </si>
  <si>
    <t>L3_21</t>
  </si>
  <si>
    <t>Target3_21</t>
  </si>
  <si>
    <t>['Country', 'AverageTemperature_x', 'AverageTemperature_y']</t>
  </si>
  <si>
    <t>[['Afghanistan', 27.988000000000003, -4.254], ['Africa', 26.843000000000004, 19.79], ['Albania', 25.081, -2.0489999999999995]]</t>
  </si>
  <si>
    <t>[['1919-01-01', 21.386999999999997, 0.596, 'Palestina'], ['1875-03-01', 24.655, 0.966, 'Saint Barthélemy'], ['1911-02-01', 25.145, 0.762, 'Grenada']]</t>
  </si>
  <si>
    <t>['dt', 'AverageTemperature', 'AverageTemperatureUncertainty', 'Country']</t>
  </si>
  <si>
    <t>L3_22</t>
  </si>
  <si>
    <t>Target3_22</t>
  </si>
  <si>
    <t>['Department', '20153', '20161', '20162']</t>
  </si>
  <si>
    <t>[['ACCT', 3407.0, 2985.0, 241.0], ['BAEP', 977.0, 954.0, 11.0], ['BUCO', 599.0, 282.0, 117.0]]</t>
  </si>
  <si>
    <t>[['ACCT-370', 'ACCT', 370, 'ACCT', '10:00:00', 'F', '11:50:00', 'Hopkins, Merle, W', 3783353564.0, 'SLH200', nan, 0.0, 0.0, 'L', 106, 135, nan, nan, nan, nan, nan, nan, 14029, 1, 20153, 'External Financial Reporting Issues'], ['ACCT-370', 'ACCT', 370, 'ACCT', '08:00:00', 'MW', '09:50:00', 'Hopkins, Merle, W', 3783353564.0, 'ACC303', 'A', 4.0, 4.0, 'C', 24, 42, nan, nan, nan, nan, nan, nan, 14025, 1, 20153, 'External Financial Reporting Issues'], ['ACCT-370', 'ACCT', 370, 'ACCT', '10:00:00', 'MW', '11:50:00', 'Hopkins, Merle, W', 3783353564.0, 'ACC303', nan, 4.0, 4.0, 'C', 40, 42, nan, nan, nan, nan, nan, nan, 14026, 1, 20153, 'External Financial Reporting Issues']]</t>
  </si>
  <si>
    <t>['Course', 'Course Prefix', 'Course Suffix', 'Department', 'First Begin Time', 'First Days', 'First End Time', 'First Instructor', 'First Instructor UID', 'First Room', 'Link', 'Max Units', 'Min Units', 'Mode', 'Reg Count', 'Seats', 'Second Begin Time', 'Second Days', 'Second End Time', 'Second Instructor', 'Second Instructor UID', 'Second Room', 'Section', 'Session', 'Term', 'Title']</t>
  </si>
  <si>
    <t>[['ACC 306B', 16], ['ACC201', 48], ['ACC205', 36]]</t>
  </si>
  <si>
    <t>['Room', 'Size']</t>
  </si>
  <si>
    <t>L3_23</t>
  </si>
  <si>
    <t>Target3_23</t>
  </si>
  <si>
    <t>L3_24</t>
  </si>
  <si>
    <t>Target3_24</t>
  </si>
  <si>
    <t>[['$1,000,000 Duck (1971)', 2.5, 3.0], ["'Night Mother (1986)", 4.0, nan], ["'Til There Was You (1997)", 3.0, 2.6666666666666665]]</t>
  </si>
  <si>
    <t>1.0, 0.3118766999093382, 0.11846479298881837</t>
  </si>
  <si>
    <t>[[3786, 247, 5, 966021185], [4728, 3418, 3, 982382174], [2040, 373, 1, 974667894]]</t>
  </si>
  <si>
    <t>L3_26</t>
  </si>
  <si>
    <t>Target3_26</t>
  </si>
  <si>
    <t>['title', '0']</t>
  </si>
  <si>
    <t>[['$1,000,000 Duck (1971)', -0.6130952380952381], ["'Night Mother (1986)", -0.035947712418300526], ["'Til There Was You (1997)", 0.05765765765765751]]</t>
  </si>
  <si>
    <t>[[4608, 517, 2, 964190887], [3327, 2763, 4, 972988363], [3539, 3033, 3, 967016787]]</t>
  </si>
  <si>
    <t>L3_27</t>
  </si>
  <si>
    <t>Target3_27</t>
  </si>
  <si>
    <t>[['$1,000,000 Duck (1971)', 3331.25, 2031, 2.5, 1003854976.75, 32.5, 2.5], ["'Night Mother (1986)", 2597.5714285714284, 3112, 3.1428571428571432, 971151795.8571428, 27.857142857142854, 4.142857142857143], ["'Til There Was You (1997)", 1865.0, 779, 2.4285714285714284, 976290127.2857145, 36.714285714285715, 7.428571428571429]]</t>
  </si>
  <si>
    <t>[[3401, 1021, 4, 980127148], [439, 1704, 4, 976310304], [752, 2657, 3, 976221429]]</t>
  </si>
  <si>
    <t>L3_28</t>
  </si>
  <si>
    <t>Target3_28</t>
  </si>
  <si>
    <t>['city', 'driver_count', 'type', 'Average Fare', 'Ride Count']</t>
  </si>
  <si>
    <t>[['Richardfort', 38, 'Urban', 23.92375, 16], ['Williamsstad', 59, 'Urban', 25.21421052631579, 19], ['Port Angela', 67, 'Urban', 24.93875, 16]]</t>
  </si>
  <si>
    <t>1.0, 1.0, 1.0, 0.06060606060606061, 1.0</t>
  </si>
  <si>
    <t>L3_29</t>
  </si>
  <si>
    <t>Target3_29</t>
  </si>
  <si>
    <t>L3_3</t>
  </si>
  <si>
    <t>Target3_3</t>
  </si>
  <si>
    <t>[['$1,000,000 Duck (1971)', 2030.0, 25.0, 4.0, 2031, 2.0, 974746245.0], ["'Night Mother (1986)", 3711.666666666666, 33.5, 8.666666666666666, 3112, 3.0, 969680469.5], ["'Til There Was You (1997)", 2474.5, 31.66666666666667, 9.666666666666666, 779, 3.0, 970823900.5]]</t>
  </si>
  <si>
    <t>[[1861, 1196, 4, 974697165], [3077, 173, 3, 969831325], [2800, 780, 5, 972860548]]</t>
  </si>
  <si>
    <t>L3_30</t>
  </si>
  <si>
    <t>Target3_30</t>
  </si>
  <si>
    <t>L3_31</t>
  </si>
  <si>
    <t>Target3_31</t>
  </si>
  <si>
    <t>[['$1,000,000 Duck (1971)', 3.8, 3.0], ["'Night Mother (1986)", 3.75, 3.5], ["'Til There Was You (1997)", 2.75, 3.0]]</t>
  </si>
  <si>
    <t>1.0, 0.31035520770620106, 0.12612883804936786</t>
  </si>
  <si>
    <t>[[3885, 3780, 3, 965811253], [4036, 1304, 4, 965509356], [1678, 1603, 3, 974710014]]</t>
  </si>
  <si>
    <t>L3_32</t>
  </si>
  <si>
    <t>Target3_32</t>
  </si>
  <si>
    <t>[['$1,000,000 Duck (1971)', 3018.75, 2031, 3.0, 981024504.0, 28.25, 7.0], ["'Night Mother (1986)", 3127.714285714286, 3112, 3.4285714285714284, 970016107.7142855, 35.714285714285715, 9.0], ["'Til There Was You (1997)", 4502.2, 779, 3.0, 963476106.4, 27.0, 7.4]]</t>
  </si>
  <si>
    <t>[[1943, 3608, 5, 974768184], [718, 2628, 4, 975575266], [2015, 185, 2, 974757623]]</t>
  </si>
  <si>
    <t>L3_33</t>
  </si>
  <si>
    <t>Target3_33</t>
  </si>
  <si>
    <t>[['$1,000,000 Duck (1971)', 2186.6666666666665, 2031, 3.0, 972628209.6666666, 35.0, 2.333333333333333], ["'Night Mother (1986)", 2712.0, 3112, 3.0, 969226305.25, 38.75, 5.5], ["'Til There Was You (1997)", 3795.25, 779, 2.75, 967453866.25, 24.0, 8.625]]</t>
  </si>
  <si>
    <t>[[5184, 475, 5, 961735570], [5602, 3361, 4, 959816270], [2792, 1377, 2, 972934299]]</t>
  </si>
  <si>
    <t>L3_34</t>
  </si>
  <si>
    <t>Target3_34</t>
  </si>
  <si>
    <t>['Country Name', 'Country Code', 'Year', 'Rural Value', 'Electricity Value']</t>
  </si>
  <si>
    <t>[['Aruba', 'ABW', 'Indicator Name', 'Rural population (% of total population)', 'Access to electricity (% of population)'], ['Afghanistan', 'AFG', 'Indicator Name', 'Rural population (% of total population)', 'Access to electricity (% of population)'], ['Angola', 'AGO', 'Indicator Name', 'Rural population (% of total population)', 'Access to electricity (% of population)']]</t>
  </si>
  <si>
    <t>[['Aruba', 'ABW', 'Rural population (% of total population)', 'SP.RUR.TOTL.ZS', 49.224, 49.239, 49.254, 49.27, 49.285, 49.3, 49.315, 49.33, 49.346, 49.361, 49.37600000000001, 49.39100000000001, 49.407, 49.422, 49.437, 49.452, 49.468, 49.483, 49.49800000000001, 49.51300000000001, 49.528, 49.544, 49.559, 49.574, 49.589, 49.605, 49.62, 49.635, 49.65, 49.665, 49.681, 49.69600000000001, 50.002, 50.412, 50.823, 51.233, 51.644, 52.054, 52.464, 52.87300000000001, 53.283, 53.661, 54.028, 54.394, 54.76, 55.125, 55.489, 55.853, 56.217, 56.57899999999999, 56.941, 57.302, 57.636, 57.942, 58.221, 58.472, 58.69600000000001, 58.893], ['Afghanistan', 'AFG', 'Rural population (% of total population)', 'SP.RUR.TOTL.ZS', 91.779, 91.492, 91.195, 90.89, 90.574, 90.25, 89.915, 89.57, 89.214, 88.848, 88.471, 88.083, 87.684, 87.274, 86.851, 86.417, 85.971, 85.51299999999998, 85.042, 84.565, 84.319, 84.07, 83.818, 83.56299999999997, 83.304, 83.042, 82.777, 82.509, 82.23700000000002, 81.962, 81.684, 81.403, 81.118, 80.83, 80.538, 80.243, 79.945, 79.64399999999998, 79.339, 79.03, 78.718, 78.404, 78.085, 77.763, 77.438, 77.105, 76.763, 76.413, 76.054, 75.687, 75.311, 74.926, 74.532, 74.12899999999998, 73.718, 73.297, 72.868, 72.43], ['Angola', 'AGO', 'Rural population (% of total population)', 'SP.RUR.TOTL.ZS', 89.565, 89.20200000000001, 88.796, 88.376, 87.94200000000002, 87.49600000000002, 87.035, 86.559, 86.068, 85.564, 85.04299999999998, 84.566, 84.125, 83.676, 83.215, 82.745, 82.26299999999998, 81.77199999999998, 81.27, 80.758, 80.234, 79.70100000000002, 79.157, 78.602, 78.035, 77.459, 76.872, 76.275, 75.666, 75.048, 74.418, 73.779, 73.128, 72.47, 71.8, 71.12, 70.43, 69.732, 69.025, 68.308, 67.581, 66.848, 66.105, 65.355, 64.595, 63.831, 63.058, 62.278, 61.49100000000001, 60.701, 59.903, 59.1, 58.301, 57.51, 56.726000000000006, 55.95, 55.181, 54.422]]</t>
  </si>
  <si>
    <t>['Country Name', 'Country Code', 'Indicator Name', 'Indicator Code', '1960', '1961', '1962', '1963', '1964', '1965', '1966', '1967', '1968', '1969', '1970', '1971', '1972', '1973', '1974', '1975', '1976', '1977', '1978', '1979', '1980', '1981', '1982', '1983', '1984', '1985', '1986', '1987', '1988', '1989', '1990', '1991', '1992', '1993', '1994', '1995', '1996', '1997', '1998', '1999', '2000', '2001', '2002', '2003', '2004', '2005', '2006', '2007', '2008', '2009', '2010', '2011', '2012', '2013', '2014', '2015', '2016', '2017']</t>
  </si>
  <si>
    <t>[['Aruba', 'ABW', 'Access to electricity (% of population)', 'EG.ELC.ACCS.ZS', nan, nan, nan, nan, nan, nan, nan, nan, nan, nan, nan, nan, nan, nan, nan, nan, nan, nan, nan, nan, nan, nan, nan, nan, nan, nan, nan, nan, nan, nan, 88.4453506469727, 88.7808456420898, 89.1158294677734, 89.44775390625, 89.7735595703125, 90.0901870727539, 90.3945846557617, 90.6836776733398, 90.9544219970703, 91.2037506103516, 91.6603980031457, 91.63809204101558, 91.8337173461914, 92.0230484008789, 92.21216583251949, 92.4071197509765, 92.61398315429692, 92.8388214111328, 93.086166381836, 93.3545455932617, 93.3562921509542, 93.94237518310551, 94.2558135986328, 94.5782623291016, 94.9067230224609, 95.2381820678711, 95.5701446533203, nan], ['Afghanistan', 'AFG', 'Access to electricity (% of population)', 'EG.ELC.ACCS.ZS', nan, nan, nan, nan, nan, nan, nan, nan, nan, nan, nan, nan, nan, nan, nan, nan, nan, nan, nan, nan, nan, nan, nan, nan, nan, nan, nan, nan, nan, nan, 0.00999999977648258, 0.00999999977648258, 0.00999999977648258, 0.00999999977648258, 0.00999999977648258, 0.00999999977648258, 0.00999999977648258, 0.00999999977648258, 0.0219771377742291, 0.179634585976601, 0.959755897521973, 0.77653694152832, 6.267393589019768, 11.751966476440401, 17.2363185882568, 23.0, 28.228612899780305, 33.7486801147461, 42.4, 44.854885101318395, 42.7, 43.22201890820371, 69.1, 67.25955200195311, 89.5, 71.5, 84.1371383666992, nan], ['Angola', 'AGO', 'Access to electricity (% of population)', 'EG.ELC.ACCS.ZS', nan, nan, nan, nan, nan, nan, nan, nan, nan, nan, nan, nan, nan, nan, nan, nan, nan, nan, nan, nan, nan, nan, nan, nan, nan, nan, nan, nan, nan, nan, 11.397808074951199, 12.5793790817261, 13.7604398727417, 14.9384412765503, 16.1103248596191, 17.2730312347412, 18.4235019683838, 19.5586757659912, 20.675495147705103, 21.7709007263184, 22.843355178832997, 20.0, 24.939094543457, 25.9745082855225, 27.0097007751465, 28.050735473632802, 29.1036758422852, 37.5, 31.2680130004883, 32.3824691772461, 33.514949798584, 34.6, 35.821964263916, 36.9904899597168, 32.0, 42.0, 40.5206069946289, nan]]</t>
  </si>
  <si>
    <t>L3_35</t>
  </si>
  <si>
    <t>Target3_35</t>
  </si>
  <si>
    <t>['bidder_id', 'payment_account', 'address', 'outcome', 'country', 'bids_count']</t>
  </si>
  <si>
    <t>[['585e7c21b80baf2225224fe140cdb1a73ddrf', 'a3d2de7675556553a5f08e4c88d2c228bvufu', 'a3d2de7675556553a5f08e4c88d2c22881vc1', 0.0, 'id', 1], ['d91a4421996dcf429f575e372915cdcedae6g', 'a3d2de7675556553a5f08e4c88d2c2286gew9', 'e350bda3ceb6067cad400ae931c3527aetdd8', 0.0, 'in', 2], ['d91a4421996dcf429f575e372915cdcedae6g', 'a3d2de7675556553a5f08e4c88d2c2286gew9', 'e350bda3ceb6067cad400ae931c3527aetdd8', 0.0, 'ru', 1]]</t>
  </si>
  <si>
    <t>[[6342332, '9655ccc7c0c193f1549475f02c54dce45kjw7', 270, 'sporting goods', 'phone2792', 9701563052631578, 'us', '49.124.132.10', 'vasstdc27m7nks3'], [6705384, '9655ccc7c0c193f1549475f02c54dce45kjw7', 270, 'sporting goods', 'phone118', 9704049736842105, 'us', '173.144.231.41', 'vasstdc27m7nks3'], [7282618, '9655ccc7c0c193f1549475f02c54dce45kjw7', 270, 'sporting goods', 'phone933', 9707223894736842, 'us', '215.249.120.206', 'vasstdc27m7nks3']]</t>
  </si>
  <si>
    <t>['bid_id', 'bidder_id', 'auction', 'merchandise', 'device', 'time', 'country', 'ip', 'url']</t>
  </si>
  <si>
    <t>[['49bb5a3c944b8fc337981cc7a9ccae41u31d7', 'a3d2de7675556553a5f08e4c88d2c228htx90', '5d9fa1b71f992e7c7a106ce4b07a0a754le7c'], ['a921612b85a1494456e74c09393ccb65ylp4y', 'a3d2de7675556553a5f08e4c88d2c228rs17i', 'a3d2de7675556553a5f08e4c88d2c228klidn'], ['6b601e72a4d264dab9ace9d7b229b47479v6i', '925381cce086b8cc9594eee1c77edf665zjpl', 'a3d2de7675556553a5f08e4c88d2c228aght0']]</t>
  </si>
  <si>
    <t>['bidder_id', 'payment_account', 'address']</t>
  </si>
  <si>
    <t>[['91a3c57b13234af24875c56fb7e2b2f4rb56a', 'a3d2de7675556553a5f08e4c88d2c228754av', 'a3d2de7675556553a5f08e4c88d2c228vt0u4', 0], ['624f258b49e77713fc34034560f93fb3hu3jo', 'a3d2de7675556553a5f08e4c88d2c228v1sga', 'ae87054e5a97a8f840a3991d12611fdcrfbq3', 0], ['1c5f4fc669099bfbfac515cd26997bd12ruaj', 'a3d2de7675556553a5f08e4c88d2c2280cybl', '92520288b50f03907041887884ba49c0cl0pd', 0]]</t>
  </si>
  <si>
    <t>['bidder_id', 'payment_account', 'address', 'outcome']</t>
  </si>
  <si>
    <t>L3_36</t>
  </si>
  <si>
    <t>Target3_36</t>
  </si>
  <si>
    <t>['County', 'm1401', 'm1403']</t>
  </si>
  <si>
    <t>[['Adams', '$683,098', '$477,275'], ['Alamosa', 'NR', 'NR'], ['Arapahoe', '$1,188,232', '$1,490,219']]</t>
  </si>
  <si>
    <t>[['Adams', '$454,940'], ['Alamosa', 'NR'], ['Arapahoe', '$1,210,155']]</t>
  </si>
  <si>
    <t>['County', 'm1402']</t>
  </si>
  <si>
    <t>[['Adams', '$683,098'], ['Alamosa', 'NR'], ['Arapahoe', '$1,188,232']]</t>
  </si>
  <si>
    <t>['County', 'm1401']</t>
  </si>
  <si>
    <t>[['Adams', '$477,275'], ['Alamosa', 'NR'], ['Arapahoe', '$1,490,219']]</t>
  </si>
  <si>
    <t>['County', 'm1403']</t>
  </si>
  <si>
    <t>[['Adams'], ['Alamosa'], ['Arapahoe']]</t>
  </si>
  <si>
    <t>['County']</t>
  </si>
  <si>
    <t>L3_37</t>
  </si>
  <si>
    <t>Target3_37</t>
  </si>
  <si>
    <t>['County', 'r1401', 'r1403']</t>
  </si>
  <si>
    <t>[['Adams', 'NR', 'NR'], ['Clear Creek', '$459,640', '$524,541'], ['Denver', '$8,482,593', '$10,746,117']]</t>
  </si>
  <si>
    <t>[['Adams', 'NR'], ['Boulder', '$1,396,479'], ['Clear Creek', '$524,541']]</t>
  </si>
  <si>
    <t>['County', 'r1403']</t>
  </si>
  <si>
    <t>[['Adams', 'NR'], ['Boulder', 'NR'], ['Clear Creek', '$445,976']]</t>
  </si>
  <si>
    <t>['County', 'r1402']</t>
  </si>
  <si>
    <t>[['Adams', 'NR'], ['Clear Creek', '$459,640'], ['Denver', '$8,482,593']]</t>
  </si>
  <si>
    <t>['County', 'r1401']</t>
  </si>
  <si>
    <t>L3_38</t>
  </si>
  <si>
    <t>Target3_38</t>
  </si>
  <si>
    <t>['batsman', 'batsman_runs_x', 'total_runs', 'batsman_runs_y', 'batsman_runs']</t>
  </si>
  <si>
    <t>[['J Bairstow', 46.8, 50, 46.8, 4], ['DA Warner', 37.626984126984134, 462, 37.626984126984134, 48], ['LMP Simmons', 37.206896551724135, 110, 37.206896551724135, 12]]</t>
  </si>
  <si>
    <t>[['S Dhawan', 529], ['G Gambhir', 499], ['SK Raina', 492]]</t>
  </si>
  <si>
    <t>['batsman', 'total_runs']</t>
  </si>
  <si>
    <t>[['CH Gayle', 322], ['AB de Villiers', 211], ['MS Dhoni', 207]]</t>
  </si>
  <si>
    <t>[['DA Warner', 48], ['V Kohli', 42], ['SK Raina', 38]]</t>
  </si>
  <si>
    <t>['batsman', 'batsman_runs']</t>
  </si>
  <si>
    <t>[['J Bairstow', 46.8], ['DA Warner', 37.626984126984134], ['LMP Simmons', 37.206896551724135]]</t>
  </si>
  <si>
    <t>L3_39</t>
  </si>
  <si>
    <t>Target3_39</t>
  </si>
  <si>
    <t>[[1.0, 3.8717948717948723], [2.0, 3.3303571428571432], [3.0, 3.296875]]</t>
  </si>
  <si>
    <t>L3_4</t>
  </si>
  <si>
    <t>Target3_4</t>
  </si>
  <si>
    <t>L3_40</t>
  </si>
  <si>
    <t>Target3_40</t>
  </si>
  <si>
    <t>L3_41</t>
  </si>
  <si>
    <t>Target3_41</t>
  </si>
  <si>
    <t>['Total Students', 'Total School Budget', 'Average Math Score', 'Average Reading Score']</t>
  </si>
  <si>
    <t>[[1468.0, 917500.0, 83.35149863760219, 83.81675749318799], [1761.0, 1056600.0, 83.3594548551959, 83.72572402044294], [1858.0, 1081356.0, 83.06189451022605, 83.97578040904197]]</t>
  </si>
  <si>
    <t>L3_42</t>
  </si>
  <si>
    <t>Target3_42</t>
  </si>
  <si>
    <t>['School Size', 'Total Students', 'Total School Budget', 'Average Math Score', 'Average Reading Score']</t>
  </si>
  <si>
    <t>[[1468.0, 1468.0, 917500.0, 83.35149863760219, 83.81675749318799], [1761.0, 1761.0, 1056600.0, 83.3594548551959, 83.72572402044294], [1858.0, 1858.0, 1081356.0, 83.06189451022605, 83.97578040904197]]</t>
  </si>
  <si>
    <t>L3_44</t>
  </si>
  <si>
    <t>Target3_44</t>
  </si>
  <si>
    <t>L3_45</t>
  </si>
  <si>
    <t>Target3_45</t>
  </si>
  <si>
    <t>L3_46</t>
  </si>
  <si>
    <t>Target3_46</t>
  </si>
  <si>
    <t>L3_47</t>
  </si>
  <si>
    <t>Target3_47</t>
  </si>
  <si>
    <t>L3_48</t>
  </si>
  <si>
    <t>Target3_48</t>
  </si>
  <si>
    <t>['track_id', 'dummy', 'playlist_id', 'interaction', 'index_playlist', 'index_track']</t>
  </si>
  <si>
    <t>[[3091270, 1, 8935223, 1, 36157, 82302], [2994241, 1, 8286757, 1, 31967, 41660], [2994241, 1, 10916787, 1, 41938, 41660]]</t>
  </si>
  <si>
    <t>[[0, 7569], [1, 7614], [2, 7641]]</t>
  </si>
  <si>
    <t>['index_playlist', 'playlist_id']</t>
  </si>
  <si>
    <t>[[10061777, 1881332, 1], [10510, 451863, 1], [3931461, 3021710, 1]]</t>
  </si>
  <si>
    <t>['playlist_id', 'track_id', 'interaction']</t>
  </si>
  <si>
    <t>L3_49</t>
  </si>
  <si>
    <t>Target3_49</t>
  </si>
  <si>
    <t>['title', 'min_rank', 'max_weeks_on_list']</t>
  </si>
  <si>
    <t>[['10TH ANNIVERSARY', 16, 8], ['11/22/63', 1, 9], ['11TH HOUR', 1, 8]]</t>
  </si>
  <si>
    <t>[['http://www.amazon.com/Odd-Hours-Dean-Koontz/dp/0553807056?tag=NYTBS-20', 'Dean R Koontz', 'ODD HOURS', 'Odd Thomas, who can communicate with the dead, confronts evil forces in a California coastal town.', 1211587200000, 1212883200000, 'Bantam', 1, 0, 1], ['http://www.amazon.com/The-Host-Novel-Stephenie-Meyer/dp/0316218502?tag=NYTBS-20', 'Stephenie Meyer', 'THE HOST', 'Aliens have taken control of the minds and bodies of most humans, but one woman won’t surrender.', 1211587200000, 1212883200000, 'Little, Brown', 2, 1, 3], ['http://www.amazon.com/Love-Youre-With-Emily-Giffin/dp/0312348665?tag=NYTBS-20', 'Emily Giffin', "LOVE THE ONE YOU'RE WITH", "A woman's happy marriage is shaken when she encounters an old boyfriend.", 1211587200000, 1212883200000, "St. Martin's", 3, 2, 2]]</t>
  </si>
  <si>
    <t>['amazon_product_url', 'author', 'title', 'description', 'bestsellers_date', 'published_date', 'publisher', 'rank_on_list', 'rank_last_week', 'weeks_on_list']</t>
  </si>
  <si>
    <t>L3_5</t>
  </si>
  <si>
    <t>Target3_5</t>
  </si>
  <si>
    <t>['fixed acidity', 'volatile acidity', 'citric acid', 'residual sugar', 'chlorides', 'free sulfur dioxide', 'total sulfur dioxide', 'density', 'pH', 'sulphates', 'alcohol', 'quality']</t>
  </si>
  <si>
    <t>[[7.4, 0.7, 0.0, 1.9, 0.076, 11.0, 34.0, 0.9978, 3.51, 0.56, 9.4, 5.0], [7.8, 0.88, 0.0, 2.6, 0.098, 25.0, 67.0, 0.9968, 3.2, 0.68, 9.8, 5.0], [7.8, 0.76, 0.04, 2.3, 0.092, 15.0, 54.0, 0.997, 3.26, 0.65, 9.8, 5.0]]</t>
  </si>
  <si>
    <t>[[7.0, 0.27, 0.36, 20.7, 0.045, 45.0, 170.0, 1.001, 3.0, 0.45, 8.8, 6.0], [6.3, 0.3, 0.34, 1.6, 0.049, 14.0, 132.0, 0.994, 3.3, 0.49, 9.5, 6.0], [8.1, 0.28, 0.4, 6.9, 0.05, 30.0, 97.0, 0.9951, 3.26, 0.44, 10.1, 6.0]]</t>
  </si>
  <si>
    <t>L3_50</t>
  </si>
  <si>
    <t>Target3_50</t>
  </si>
  <si>
    <t>L3_51</t>
  </si>
  <si>
    <t>Target3_51</t>
  </si>
  <si>
    <t>L3_52</t>
  </si>
  <si>
    <t>Target3_52</t>
  </si>
  <si>
    <t>['zipcode', 'businesses_x', 'counts_x', 'businesses_y', 'counts_y', 'businesses_x_5', 'counts_x_6', 'businesses_y_7', 'counts_y_8']</t>
  </si>
  <si>
    <t>[[10001, 'Sidewalk Cafe', 10, 'Pawnbroker', 1, 'Debt Collection Agency', 5, 'Cigarette Retail Dealer', 98], [10010, 'Sidewalk Cafe', 21, 'Pawnbroker', 2, 'Debt Collection Agency', 1, 'Cigarette Retail Dealer', 45], [10011, 'Sidewalk Cafe', 44, 'Pawnbroker', 1, 'Debt Collection Agency', 1, 'Cigarette Retail Dealer', 69]]</t>
  </si>
  <si>
    <t>[[10001, 'Debt Collection Agency', 5], [10003, 'Debt Collection Agency', 2], [10004, 'Debt Collection Agency', 3]]</t>
  </si>
  <si>
    <t>['zipcode', 'businesses', 'counts']</t>
  </si>
  <si>
    <t>1.0, 0.0, 0.0, 0.0, 0.0, 0.0, 0.25, 1.0, 1.0</t>
  </si>
  <si>
    <t>[[10001, 'Sidewalk Cafe', 10], [10002, 'Sidewalk Cafe', 14], [10003, 'Sidewalk Cafe', 85]]</t>
  </si>
  <si>
    <t>[[10001, 'Pawnbroker', 1], [10002, 'Pawnbroker', 5], [10005, 'Pawnbroker', 1]]</t>
  </si>
  <si>
    <t>[[10001, 'Cigarette Retail Dealer', 98], [10002, 'Cigarette Retail Dealer', 77], [10003, 'Cigarette Retail Dealer', 78]]</t>
  </si>
  <si>
    <t>L3_53</t>
  </si>
  <si>
    <t>Target3_53</t>
  </si>
  <si>
    <t>['B-day', 'ID Number', 'Name_x', 'Fed_x', 'Sex_x']</t>
  </si>
  <si>
    <t>[[0, 738, 738, 738, 738], [1920, 1, 1, 1, 1], [1922, 1, 1, 1, 1]]</t>
  </si>
  <si>
    <t>[[25121731, 'A C J John', 'IND', 'M', nan, nan, nan, nan, 1063, 0, 40, 1987, 'i'], [35077023, 'A Chakravarthy', 'IND', 'M', nan, nan, nan, nan, 1151, 0, 40, 1986, 'i'], [10207538, 'A E M, Doshtagir', 'BAN', 'M', nan, nan, nan, nan, 1840, 0, 40, 1974, 'i']]</t>
  </si>
  <si>
    <t>['ID Number', 'Name', 'Fed', 'Sex', 'Tit', 'WTit', 'OTit', 'FOA', 'MAY20', 'Gms', 'K', 'B-day', 'Flag']</t>
  </si>
  <si>
    <t>[[10245154, 'A B M Jobair, Hossain', 'BAN', 'M', nan, nan, nan, nan, 1599, 0, 20, 1998, 'i'], [10207538, 'A E M, Doshtagir', 'BAN', 'M', nan, nan, nan, nan, 1836, 0, 20, 1974, 'i'], [55630910, 'A Flores, Ervin', 'RUS', 'M', nan, nan, nan, nan, 1176, 0, 20, 2011, nan]]</t>
  </si>
  <si>
    <t>[[10207538, 'A E M, Doshtagir', 'BAN', 'M', nan, nan, nan, nan, 1860, 0, 20.0, 1974, 'i'], [10680810, 'A hamed Ashraf, Abdallah', 'EGY', 'M', nan, nan, nan, nan, 1741, 0, 20.0, 2001, nan], [5716373, 'A Rajah, Abdul Shukor', 'MAS', 'M', nan, nan, nan, nan, 1873, 0, 20.0, 0, nan]]</t>
  </si>
  <si>
    <t>L3_54</t>
  </si>
  <si>
    <t>Target3_54</t>
  </si>
  <si>
    <t>['CountyID_x', 'CountyName_x', 'whites_population', 'Year_x', 'ID', 'CountyID_y', 'CountyName_y', 'other_population', 'Year_y', 'CountyID_x_9', 'CountyName_x_10', 'mixed_population', 'Year_x_12', 'CountyID_y_13', 'CountyName_y_14', 'black_population', 'Year_y_16']</t>
  </si>
  <si>
    <t>[[1001, 'Autauga County, Alabama', 13103, 2000, 10012000, 1001, 'Autauga County, Alabama', 31, 2000, 1001, 'Autauga County, Alabama', 171, 2000, 1001, 'Autauga County, Alabama', 2566, 2000], [1001, 'Autauga County, Alabama', 13103, 2000, 10012000, 1001, 'Autauga County, Alabama', 31, 2000, 1001, 'Autauga County, Alabama', 171, 2000, 1001, 'Autauga County, Alabama', 2566, 2000], [1003, 'Baldwin County, Alabama', 49458, 2000, 10032000, 1003, 'Baldwin County, Alabama', 212, 2000, 1003, 'Baldwin County, Alabama', 566, 2000, 1003, 'Baldwin County, Alabama', 4650, 2000]]</t>
  </si>
  <si>
    <t>[[1001, 'Autauga County, Alabama', 171, 2000, 10012000], [1003, 'Baldwin County, Alabama', 566, 2000, 10032000], [1005, 'Barbour County, Alabama', 75, 2000, 10052000]]</t>
  </si>
  <si>
    <t>['CountyID', 'CountyName', 'mixed_population', 'Year', 'ID']</t>
  </si>
  <si>
    <t>[[1001, 'Autauga County, Alabama', 13103, 2000, 10012000], [1003, 'Baldwin County, Alabama', 49458, 2000, 10032000], [1005, 'Barbour County, Alabama', 5815, 2000, 10052000]]</t>
  </si>
  <si>
    <t>['CountyID', 'CountyName', 'whites_population', 'Year', 'ID']</t>
  </si>
  <si>
    <t>[[1001, 'Autauga County, Alabama', 31, 2000, 10012000], [1003, 'Baldwin County, Alabama', 212, 2000, 10032000], [1005, 'Barbour County, Alabama', 57, 2000, 10052000]]</t>
  </si>
  <si>
    <t>['CountyID', 'CountyName', 'other_population', 'Year', 'ID']</t>
  </si>
  <si>
    <t>[[1001, 'Autauga County, Alabama', 2566, 2000, 10012000], [1003, 'Baldwin County, Alabama', 4650, 2000, 10032000], [1005, 'Barbour County, Alabama', 4446, 2000, 10052000]]</t>
  </si>
  <si>
    <t>['CountyID', 'CountyName', 'black_population', 'Year', 'ID']</t>
  </si>
  <si>
    <t>L3_55</t>
  </si>
  <si>
    <t>Target3_55</t>
  </si>
  <si>
    <t>['CountyID_x', 'CountyName_x', 'whites_population', 'Year_x', 'ID', 'CountyID_y', 'CountyName_y', 'other_population', 'Year_y', 'CountyID_x_9', 'CountyName_x_10', 'mixed_population', 'Year_x_12', 'CountyID_y_13', 'CountyName_y_14', 'aian_population', 'Year_y_16']</t>
  </si>
  <si>
    <t>[[2020, 'Anchorage Municipality, Alaska', 74229, 2000, 20202000, 2020, 'Anchorage Municipality, Alaska', 1618, 2000, 2020, 'Anchorage Municipality, Alaska', 3596, 2000, 2020, 'Anchorage Municipality, Alaska', 8091, 2000], [2020, 'Anchorage Municipality, Alaska', 74229, 2000, 20202000, 2020, 'Anchorage Municipality, Alaska', 1618, 2000, 2020, 'Anchorage Municipality, Alaska', 3596, 2000, 2020, 'Anchorage Municipality, Alaska', 8091, 2000], [4001, 'Apache County, Arizona', 5143, 2000, 40012000, 4001, 'Apache County, Arizona', 329, 2000, 4001, 'Apache County, Arizona', 201, 2000, 4001, 'Apache County, Arizona', 12081, 2000]]</t>
  </si>
  <si>
    <t>[[2020, 'Anchorage Municipality, Alaska', 8091, 2000, 20202000], [4001, 'Apache County, Arizona', 12081, 2000, 40012000], [4005, 'Coconino County, Arizona', 8367, 2000, 40052000]]</t>
  </si>
  <si>
    <t>['CountyID', 'CountyName', 'aian_population', 'Year', 'ID']</t>
  </si>
  <si>
    <t>L3_56</t>
  </si>
  <si>
    <t>Target3_56</t>
  </si>
  <si>
    <t>['CountyID_x', 'CountyName_x', 'whites_population', 'Year_x', 'ID', 'CountyID_y', 'CountyName_y', 'other_population', 'Year_y', 'CountyID_x_9', 'CountyName_x_10', 'mixed_population', 'Year_x_12', 'CountyID_y_13', 'CountyName_y_14', 'asian_population', 'Year_y_16']</t>
  </si>
  <si>
    <t>[[1001, 'Autauga County, Alabama', 13103, 2000, 10012000, 1001, 'Autauga County, Alabama', 31, 2000, 1001, 'Autauga County, Alabama', 171, 2000, 1001, 'Autauga County, Alabama', 43, 2000], [1001, 'Autauga County, Alabama', 13103, 2000, 10012000, 1001, 'Autauga County, Alabama', 31, 2000, 1001, 'Autauga County, Alabama', 171, 2000, 1001, 'Autauga County, Alabama', 2566, 2000], [1001, 'Autauga County, Alabama', 13103, 2000, 10012000, 1001, 'Autauga County, Alabama', 31, 2000, 1001, 'Autauga County, Alabama', 171, 2000, 1001, 'Autauga County, Alabama', 107, 2000]]</t>
  </si>
  <si>
    <t>[[1001, 'Autauga County, Alabama', 43, 2000, 10012000], [1003, 'Baldwin County, Alabama', 132, 2000, 10032000], [1005, 'Barbour County, Alabama', 3, 2000, 10052000]]</t>
  </si>
  <si>
    <t>['CountyID', 'CountyName', 'asian_population', 'Year', 'ID']</t>
  </si>
  <si>
    <t>L3_57</t>
  </si>
  <si>
    <t>Target3_57</t>
  </si>
  <si>
    <t>[[0.0, 25.0, 25.0, 25.0, 25.0, 25.0, 25.0, 26.0, 25.0, 26.0, 25.0], [5.0, 25.0, 21.0, 25.0, 23.0, 23.0, 24.0, 25.0, 25.0, 25.0, 24.0], [10.0, 25.0, 20.0, 21.0, 22.0, 21.0, 24.0, 23.0, 24.0, 23.0, 22.0]]</t>
  </si>
  <si>
    <t>L3_58</t>
  </si>
  <si>
    <t>Target3_58</t>
  </si>
  <si>
    <t>L3_59</t>
  </si>
  <si>
    <t>Target3_59</t>
  </si>
  <si>
    <t>L3_6</t>
  </si>
  <si>
    <t>Target3_6</t>
  </si>
  <si>
    <t>['movie title', 'rating']</t>
  </si>
  <si>
    <t>[["'Til There Was You (1997)", 2.333333333333333], ['1-900 (1994)', 2.5], ['101 Dalmatians (1996)', 2.9423076923076925]]</t>
  </si>
  <si>
    <t>[[1, 24, 'M', 'technician', 85711], [2, 53, 'F', 'other', 94043], [3, 23, 'M', 'writer', 32067]]</t>
  </si>
  <si>
    <t>['user id', 'age', 'gender', 'occupation', 'zip code']</t>
  </si>
  <si>
    <t>['movie id', 'movie title', 'release date', 'video release date', 'IMDb URL', 'unknown', 'Action', 'Adventure', 'Animation', 'Childrens', 'Comedy', 'Crime', 'Documentary', 'Drama', 'Fantasy', 'Film-Noir', 'Horror', 'Musical', 'Mystery', 'Romance ', 'Sci-Fi', 'Thriller', 'War', 'Western']</t>
  </si>
  <si>
    <t>['user id', 'movie id', 'rating', 'timestamp']</t>
  </si>
  <si>
    <t>L3_60</t>
  </si>
  <si>
    <t>Target3_60</t>
  </si>
  <si>
    <t>L3_62</t>
  </si>
  <si>
    <t>Target3_62</t>
  </si>
  <si>
    <t>L3_63</t>
  </si>
  <si>
    <t>Target3_63</t>
  </si>
  <si>
    <t>1.0, 0.0, 0.0, 0.22, 0.0, 0.0, 0.36, 0.0, 0.0, 0.36, 0.0, 0.0, 0.22</t>
  </si>
  <si>
    <t>L3_64</t>
  </si>
  <si>
    <t>Target3_64</t>
  </si>
  <si>
    <t>['customer_id', 'amount_x', 'amount_y', 'avg_amount_spent']</t>
  </si>
  <si>
    <t>[[80.0, 4.0, 75.0, 75.0], [90.0, 6.0, 121.33333333333331, 121.33333333333331], [130.0, 1.0, 60.0, 60.0]]</t>
  </si>
  <si>
    <t>L3_65</t>
  </si>
  <si>
    <t>Target3_65</t>
  </si>
  <si>
    <t>L3_66</t>
  </si>
  <si>
    <t>Target3_66</t>
  </si>
  <si>
    <t>L3_67</t>
  </si>
  <si>
    <t>Target3_67</t>
  </si>
  <si>
    <t>L3_68</t>
  </si>
  <si>
    <t>Target3_68</t>
  </si>
  <si>
    <t>L3_69</t>
  </si>
  <si>
    <t>Target3_69</t>
  </si>
  <si>
    <t>['city', 'type', 'fare']</t>
  </si>
  <si>
    <t>[['Amandaburgh', 'Urban', 23.072], ['Barajasview', 'Urban', 28.754375], ['Carriemouth', 'Urban', 27.250476190476192]]</t>
  </si>
  <si>
    <t>L3_7</t>
  </si>
  <si>
    <t>Target3_7</t>
  </si>
  <si>
    <t>L3_70</t>
  </si>
  <si>
    <t>Target3_70</t>
  </si>
  <si>
    <t>L3_71</t>
  </si>
  <si>
    <t>Target3_71</t>
  </si>
  <si>
    <t>L3_72</t>
  </si>
  <si>
    <t>Target3_72</t>
  </si>
  <si>
    <t>L3_73</t>
  </si>
  <si>
    <t>Target3_73</t>
  </si>
  <si>
    <t>L3_74</t>
  </si>
  <si>
    <t>Target3_74</t>
  </si>
  <si>
    <t>L3_75</t>
  </si>
  <si>
    <t>Target3_75</t>
  </si>
  <si>
    <t>L3_76</t>
  </si>
  <si>
    <t>Target3_76</t>
  </si>
  <si>
    <t>L3_77</t>
  </si>
  <si>
    <t>Target3_77</t>
  </si>
  <si>
    <t>L3_78</t>
  </si>
  <si>
    <t>Target3_78</t>
  </si>
  <si>
    <t>['movie_id', 'title', 'F', 'M']</t>
  </si>
  <si>
    <t>[[1, 'Toy Story (1995)', 3.8571428571428568, 3.861842105263158], [2, 'GoldenEye (1995)', 3.125, 3.0392156862745097], [3, 'Four Rooms (1995)', 2.875, 3.2051282051282053]]</t>
  </si>
  <si>
    <t>['user_id', 'movie_id', 'rating', 'unix_timestamp']</t>
  </si>
  <si>
    <t>['user_id', 'age', 'sex', 'occupation', 'zip_code']</t>
  </si>
  <si>
    <t>[[1, 'Toy Story (1995)', '01-Jan-1995', nan, 'http://us.imdb.com/M/title-exact?Toy%20Story%20(1995)'], [2, 'GoldenEye (1995)', '01-Jan-1995', nan, 'http://us.imdb.com/M/title-exact?GoldenEye%20(1995)'], [3, 'Four Rooms (1995)', '01-Jan-1995', nan, 'http://us.imdb.com/M/title-exact?Four%20Rooms%20(1995)']]</t>
  </si>
  <si>
    <t>['movie_id', 'title', 'release_date', 'video_release_date', 'imdb_url']</t>
  </si>
  <si>
    <t>L3_79</t>
  </si>
  <si>
    <t>Target3_79</t>
  </si>
  <si>
    <t>L3_80</t>
  </si>
  <si>
    <t>Target3_80</t>
  </si>
  <si>
    <t>['categories', 'commentCount', 'completed', 'copyright', 'cover', 'cover_timestamp', 'createDate', 'deleted', 'description', 'firstPartId', 'firstPublishedPart.createDate', 'firstPublishedPart.id', 'id', 'language.id', 'language.name', 'lastPublishedPart.createDate', 'lastPublishedPart.id', 'length', 'mature', 'modifyDate', 'numParts', 'parts', 'rating', 'readCount', 'tags', 'title', 'url', 'user.avatar', 'user.fullname', 'user.name', 'voteCount']</t>
  </si>
  <si>
    <t>[['[19, 0]', 5184, True, 1, 'https://a.wattpad.com/cover/12050237-256-k991849.jpg', '2014-01-29T18:37:29Z', '2014-01-29T16:24:42Z', False, "Fina is a Enforcers Daughter, she's been harshly trained by her father all her life. On the night of the change, to which you could find your soul mate- Fina finds hers. He's of course the soon to be Alpha, however he doesn't want her. Its not sweat off Fina's back, she's more worried about her Family finding out then being rejected. Her feet carry her to a deeper part of the forest, one she shouldn't of gone into. When things twist and stories become a reality Fina will have to pick what side she wants to be part of.", 36978107, '2014-01-29T18:38:34Z', 36978107, 12050237, 1, 'English', '2014-01-31T03:11:05Z', 37087582, 407525, False, '2015-01-27T10:47:41Z', 37, "[{'id': 36978107, 'title': 'Prologue', 'url': 'https://www.wattpad.com/36978107-hadar-watty2014-prologue', 'rating': 3, 'draft': False, 'modifyDate': '2014-11-12T17:39:15Z', 'length': 1628, 'videoId': '', 'photoUrl': '', 'commentCount': 81, 'voteCount': 3390, 'readCount': 137008}, {'id': 36978235, 'title': 'Chapter 1', 'url': 'https://www.wattpad.com/36978235-hadar-watty2014-chapter-1', 'rating': 3, 'draft': False, 'modifyDate': '2014-02-26T00:45:00Z', 'length': 10050, 'videoId': '', 'photoUrl': '', 'commentCount': 232, 'voteCount': 3339, 'readCount': 106523}, {'id': 36978821, 'title': 'Chapter 2', 'url': 'https://www.wattpad.com/36978821-hadar-watty2014-chapter-2', 'rating': 3, 'draft': False, 'modifyDate': '2014-01-29T18:42:18Z', 'length': 10093, 'videoId': '', 'photoUrl': '', 'commentCount': 109, 'voteCount': 3400, 'readCount': 81192}, {'id': 36979152, 'title': 'Chapter 3', 'url': 'https://www.wattpad.com/36979152-hadar-watty2014-chapter-3', 'rating': 3, 'draft': False, 'modifyDate': '2014-01-29T18:50:53Z', 'length': 6597, 'videoId': '', 'photoUrl': '', 'commentCount': 234, 'voteCount': 3483, 'readCount': 74914}, {'id': 36979368, 'title': 'Chapter 4', 'url': 'https://www.wattpad.com/36979368-hadar-watty2014-chapter-4', 'rating': 3, 'draft': False, 'modifyDate': '2014-01-29T18:54:47Z', 'length': 7543, 'videoId': '', 'photoUrl': '', 'commentCount': 292, 'voteCount': 3218, 'readCount': 75087}, {'id': 36979566, 'title': 'Chapter 5', 'url': 'https://www.wattpad.com/36979566-hadar-watty2014-chapter-5', 'rating': 3, 'draft': False, 'modifyDate': '2014-01-29T18:55:13Z', 'length': 6834, 'videoId': '', 'photoUrl': '', 'commentCount': 130, 'voteCount': 3272, 'readCount': 73192}, {'id': 36979779, 'title': 'Chapter 6', 'url': 'https://www.wattpad.com/36979779-hadar-watty2014-chapter-6', 'rating': 3, 'draft': False, 'modifyDate': '2014-01-29T18:55:37Z', 'length': 10459, 'videoId': '', 'photoUrl': '', 'commentCount': 210, 'voteCount': 3191, 'readCount': 80079}, {'id': 36980251, 'title': 'Chapter 7', 'url': 'https://www.wattpad.com/36980251-hadar-watty2014-chapter-7', 'rating': 3, 'draft': False, 'modifyDate': '2014-01-29T18:57:11Z', 'length': 11867, 'videoId': '', 'photoUrl': '', 'commentCount': 236, 'voteCount': 3427, 'readCount': 81459}, {'id': 36980479, 'title': 'Chapter 8', 'url': 'https://www.wattpad.com/36980479-hadar-watty2014-chapter-8', 'rating': 3, 'draft': False, 'modifyDate': '2014-01-29T20:29:11Z', 'length': 6869, 'videoId': '', 'photoUrl': '', 'commentCount': 121, 'voteCount': 3082, 'readCount': 77119}, {'id': 36980663, 'title': 'Chapter 9', 'url': 'https://www.wattpad.com/36980663-hadar-watty2014-chapter-9', 'rating': 3, 'draft': False, 'modifyDate': '2014-01-29T20:57:33Z', 'length': 10071, 'videoId': '', 'photoUrl': '', 'commentCount': 107, 'voteCount': 2941, 'readCount': 72766}, {'id': 36980927, 'title': 'Chapter 10', 'url': 'https://www.wattpad.com/36980927-hadar-watty2014-chapter-10', 'rating': 3, 'draft': False, 'modifyDate': '2014-01-29T21:30:01Z', 'length': 12195, 'videoId': '', 'photoUrl': '', 'commentCount': 96, 'voteCount': 3201, 'readCount': 74175}, {'id': 36981341, 'title': 'Chapter 11', 'url': 'https://www.wattpad.com/36981341-hadar-watty2014-chapter-11', 'rating': 3, 'draft': False, 'modifyDate': '2014-02-26T01:30:30Z', 'length': 11252, 'videoId': '', 'photoUrl': '', 'commentCount': 393, 'voteCount': 3122, 'readCount': 74343}, {'id': 36982017, 'title': 'Chapter 12', 'url': 'https://www.wattpad.com/36982017-hadar-watty2014-chapter-12', 'rating': 3, 'draft': False, 'modifyDate': '2014-01-29T22:59:44Z', 'length': 10929, 'videoId': '', 'photoUrl': '', 'commentCount': 241, 'voteCount': 3007, 'readCount': 78795}, {'id': 36982320, 'title': 'Chapter 13', 'url': 'https://www.wattpad.com/36982320-hadar-watty2014-chapter-13', 'rating': 3, 'draft': False, 'modifyDate': '2014-01-29T22:59:58Z', 'length': 6860, 'videoId': '', 'photoUrl': '', 'commentCount': 125, 'voteCount': 2852, 'readCount': 67251}, {'id': 36982837, 'title': 'Chapter 14', 'url': 'https://www.wattpad.com/36982837-hadar-watty2014-chapter-14', 'rating': 3, 'draft': False, 'modifyDate': '2014-01-29T23:00:10Z', 'length': 10349, 'videoId': '', 'photoUrl': '', 'commentCount': 159, 'voteCount': 2864, 'readCount': 72189}, {'id': 36983243, 'title': 'Chapter 15', 'url': 'https://www.wattpad.com/36983243-hadar-watty2014-chapter-15', 'rating': 3, 'draft': False, 'modifyDate': '2014-01-30T00:56:50Z', 'length': 9840, 'videoId': '', 'photoUrl': '', 'commentCount': 98, 'voteCount': 2821, 'readCount': 68953}, {'id': 36983590, 'title': 'Chapter 16', 'url': 'https://www.wattpad.com/36983590-hadar-watty2014-chapter-16', 'rating': 3, 'draft': False, 'modifyDate': '2014-01-30T01:44:54Z', 'length': 10481, 'videoId': '', 'photoUrl': '', 'commentCount': 91, 'voteCount': 2907, 'readCount': 70430}, {'id': 36984077, 'title': 'Chapter 17', 'url': 'https://www.wattpad.com/36984077-hadar-watty2014-chapter-17', 'rating': 3, 'draft': False, 'modifyDate': '2014-01-30T04:16:30Z', 'length': 11398, 'videoId': '', 'photoUrl': '', 'commentCount': 215, 'voteCount': 2763, 'readCount': 69169}, {'id': 36984452, 'title': 'Chapter 18', 'url': 'https://www.wattpad.com/36984452-hadar-watty2014-chapter-18', 'rating': 3, 'draft': False, 'modifyDate': '2014-01-30T06:58:11Z', 'length': 8700, 'videoId': '', 'photoUrl': '', 'commentCount': 93, 'voteCount': 3045, 'readCount': 64647}, {'id': 36984718, 'title': 'Chapter 19', 'url': 'https://www.wattpad.com/36984718-hadar-watty2014-chapter-19', 'rating': 3, 'draft': False, 'modifyDate': '2015-01-27T10:47:41Z', 'length': 11082, 'videoId': '', 'photoUrl': '', 'commentCount': 124, 'voteCount': 2933, 'readCount': 65261}, {'id': 36984883, 'title': 'Chapter 20', 'url': 'https://www.wattpad.com/36984883-hadar-watty2014-chapter-20', 'rating': 3, 'draft': False, 'modifyDate': '2014-01-30T07:59:59Z', 'length': 10433, 'videoId': '', 'photoUrl': '', 'commentCount': 70, 'voteCount': 2875, 'readCount': 70122}, {'id': 37051288, 'title': 'Chapter 21', 'url': 'https://www.wattpad.com/37051288-hadar-watty2014-chapter-21', 'rating': 3, 'draft': False, 'modifyDate': '2014-01-30T08:11:35Z', 'length': 11957, 'videoId': '', 'photoUrl': '', 'commentCount': 82, 'voteCount': 2650, 'readCount': 68246}, {'id': 37051425, 'title': 'Chapter 22', 'url': 'https://www.wattpad.com/37051425-hadar-watty2014-chapter-22', 'rating': 3, 'draft': False, 'modifyDate': '2014-01-30T08:16:16Z', 'length': 11898, 'videoId': '', 'photoUrl': '', 'commentCount': 139, 'voteCount': 2518, 'readCount': 67012}, {'id': 37051708, 'title': 'Chapter 23', 'url': 'https://www.wattpad.com/37051708-hadar-watty2014-chapter-23', 'rating': 3, 'draft': False, 'modifyDate': '2014-01-30T16:58:00Z', 'length': 11772, 'videoId': '', 'photoUrl': '', 'commentCount': 72, 'voteCount': 2648, 'readCount': 67483}, {'id': 37051912, 'title': 'Chapter 24', 'url': 'https://www.wattpad.com/37051912-hadar-watty2014-chapter-24', 'rating': 3, 'draft': False, 'modifyDate': '2014-01-30T18:15:57Z', 'length': 13288, 'videoId': '', 'photoUrl': '', 'commentCount': 103, 'voteCount': 2595, 'readCount': 69417}, {'id': 37052197, 'title': 'Chapter 25', 'url': 'https://www.wattpad.com/37052197-hadar-watty2014-chapter-25', 'rating': 3, 'draft': False, 'modifyDate': '2014-01-30T18:16:11Z', 'length': 13075, 'videoId': '', 'photoUrl': '', 'commentCount': 43, 'voteCount': 2651, 'readCount': 63341}, {'id': 37052370, 'title': 'Chapter 26', 'url': 'https://www.wattpad.com/37052370-hadar-watty2014-chapter-26', 'rating': 3, 'draft': False, 'modifyDate': '2014-01-30T18:16:24Z', 'length': 14844, 'videoId': '', 'photoUrl': '', 'commentCount': 163, 'voteCount': 2857, 'readCount': 68266}, {'id': 37086017, 'title': 'Chapter 27', 'url': 'https://www.wattpad.com/37086017-hadar-watty2014-chapter-27', 'rating': 3, 'draft': False, 'modifyDate': '2014-01-30T18:49:43Z', 'length': 12832, 'videoId': '', 'photoUrl': '', 'commentCount': 45, 'voteCount': 2455, 'readCount': 64466}, {'id': 37086150, 'title': 'Chapter 28', 'url': 'https://www.wattpad.com/37086150-hadar-watty2014-chapter-28', 'rating': 3, 'draft': False, 'modifyDate': '2014-01-30T18:50:54Z', 'length': 11266, 'videoId': '', 'photoUrl': '', 'commentCount': 26, 'voteCount': 2481, 'readCount': 72609}, {'id': 37086308, 'title': 'Chapter 29', 'url': 'https://www.wattpad.com/37086308-hadar-watty2014-chapter-29', 'rating': 3, 'draft': False, 'modifyDate': '2014-01-30T18:53:38Z', 'length': 13549, 'videoId': '', 'photoUrl': '', 'commentCount': 37, 'voteCount': 2507, 'readCount': 66183}, {'id': 37086422, 'title': 'Chapter 30', 'url': 'https://www.wattpad.com/37086422-hadar-watty2014-chapter-30', 'rating': 3, 'draft': False, 'modifyDate': '2014-01-30T18:55:39Z', 'length': 14554, 'videoId': '', 'photoUrl': '', 'commentCount': 38, 'voteCount': 2496, 'readCount': 66263}, {'id': 37086533, 'title': 'Chapter 31', 'url': 'https://www.wattpad.com/37086533-hadar-watty2014-chapter-31', 'rating': 3, 'draft': False, 'modifyDate': '2014-01-30T18:59:23Z', 'length': 11978, 'videoId': '', 'photoUrl': '', 'commentCount': 134, 'voteCount': 2509, 'readCount': 59915}, {'id': 37086835, 'title': 'Chapter 32', 'url': 'https://www.wattpad.com/37086835-hadar-watty2014-chapter-32', 'rating': 3, 'draft': False, 'modifyDate': '2014-01-30T19:01:11Z', 'length': 18060, 'videoId': '', 'photoUrl': '', 'commentCount': 240, 'voteCount': 2370, 'readCount': 60507}, {'id': 37086934, 'title': 'Chapter 33', 'url': 'https://www.wattpad.com/37086934-hadar-watty2014-chapter-33', 'rating': 3, 'draft': False, 'modifyDate': '2014-01-30T19:04:19Z', 'length': 16490, 'videoId': '', 'photoUrl': '', 'commentCount': 48, 'voteCount': 2320, 'readCount': 55033}, {'id': 37087103, 'title': 'Chapter 35', 'url': 'https://www.wattpad.com/37087103-hadar-watty2014-chapter-35', 'rating': 3, 'draft': False, 'modifyDate': '2014-01-30T19:06:15Z', 'length': 16172, 'videoId': '', 'photoUrl': '', 'commentCount': 54, 'voteCount': 2386, 'readCount': 58158}, {'id': 37087370, 'title': 'Chapter 36', 'url': 'https://www.wattpad.com/37087370-hadar-watty2014-chapter-36', 'rating': 3, 'draft': False, 'modifyDate': '2014-01-30T19:08:34Z', 'length': 17344, 'videoId': '', 'photoUrl': '', 'commentCount': 176, 'voteCount': 2665, 'readCount': 66503}, {'id': 37087582, 'title': 'Epilogue', 'url': 'https://www.wattpad.com/37087582-hadar-watty2014-epilogue', 'rating': 3, 'draft': False, 'modifyDate': '2014-01-31T03:11:05Z', 'length': 2916, 'videoId': '', 'photoUrl': '', 'commentCount': 327, 'voteCount': 3439, 'readCount': 74649}]", 3, 2682656, "['alpha', 'curse', 'luna', 'magic', 'power', 'rejection', 'watty2014', 'wolves']", 'Hadar #Watty2014', 'https://www.wattpad.com/story/12050237-hadar-watty2014', 'https://a.wattpad.com/useravatar/RevyRogue.128.491090.jpg', 'Reviana', 'RevyRogue', 106680], ['[19, 0]', 132, False, 1, 'https://a.wattpad.com/cover/73708370-256-k685731.jpg', '2016-05-31T16:08:51Z', '2016-05-31T15:17:16Z', False, 'ⓠⓤⓞⓣⓔⓢ ⓣⓗⓐⓣ ⓦⓘⓛⓛ ⓜⓐⓚⓔ ⓨⓞⓤ ⓛⓐⓤⓖⓗ', 264398992, '2016-05-31T16:04:01Z', 264398992, 73708370, 1, 'English', '2016-05-31T23:07:23Z', 264413377, 1131, False, '2016-07-11T15:22:32Z', 24, "[{'id': 264398992, 'title': '①. ', 'url': 'https://www.wattpad.com/264398992-funny-quotes-part-1-%E2%91%A0', 'rating': 0, 'draft': False, 'modifyDate': '2016-05-31T16:08:27Z', 'length': 95, 'videoId': '', 'photoUrl': 'https://d.wattpad.com/story_parts/264398992/images/1453b0272122bbf9.jpg', 'commentCount': 9, 'voteCount': 74, 'readCount': 7146}, {'id': 264400181, 'title': '②. ', 'url': 'https://www.wattpad.com/264400181-funny-quotes-part-1-%E2%91%A1', 'rating': 0, 'draft': False, 'modifyDate': '2016-05-31T16:04:40Z', 'length': 8, 'videoId': '', 'photoUrl': 'https://d.wattpad.com/story_parts/16/images/1453b0369f42844f.jpg', 'commentCount': 8, 'voteCount': 83, 'readCount': 6587}, {'id': 264400485, 'title': '③. ', 'url': 'https://www.wattpad.com/264400485-funny-quotes-part-1-%E2%91%A2', 'rating': 0, 'draft': False, 'modifyDate': '2016-05-31T23:04:46Z', 'length': 58, 'videoId': '', 'photoUrl': 'https://d.wattpad.com/story_parts/17/images/1453b042de1ad65a.jpg', 'commentCount': 7, 'voteCount': 76, 'readCount': 5415}, {'id': 264400633, 'title': '④. ', 'url': 'https://www.wattpad.com/264400633-funny-quotes-part-1-%E2%91%A3', 'rating': 0, 'draft': False, 'modifyDate': '2016-05-31T23:05:01Z', 'length': 12, 'videoId': '', 'photoUrl': 'https://d.wattpad.com/story_parts/264400633/images/1453b053644802b5.jpg', 'commentCount': 1, 'voteCount': 72, 'readCount': 4944}, {'id': 264401087, 'title': '⑤. ', 'url': 'https://www.wattpad.com/264401087-funny-quotes-part-1-%E2%91%A4', 'rating': 0, 'draft': False, 'modifyDate': '2016-05-31T23:05:05Z', 'length': 20, 'videoId': '', 'photoUrl': 'https://d.wattpad.com/story_parts/264401087/images/1453b06ac0c743d3.jpg', 'commentCount': 3, 'voteCount': 63, 'readCount': 4423}, {'id': 264401789, 'title': '⑥. ', 'url': 'https://www.wattpad.com/264401789-funny-quotes-part-1-%E2%91%A5', 'rating': 0, 'draft': False, 'modifyDate': '2016-05-31T16:05:10Z', 'length': 65, 'videoId': '', 'photoUrl': 'https://d.wattpad.com/story_parts/20/images/1453b07a2ad5bf3b.jpg', 'commentCount': 15, 'voteCount': 66, 'readCount': 4231}, {'id': 264402595, 'title': '7. ', 'url': 'https://www.wattpad.com/264402595-funny-quotes-part-1-7', 'rating': 0, 'draft': False, 'modifyDate': '2016-05-31T16:05:17Z', 'length': 20, 'videoId': '', 'photoUrl': 'https://d.wattpad.com/story_parts/264402595/images/1453b0ad46889071.jpg', 'commentCount': 5, 'voteCount': 59, 'readCount': 3853}, {'id': 264403343, 'title': '⑧. ', 'url': 'https://www.wattpad.com/264403343-funny-quotes-part-1-%E2%91%A7', 'rating': 0, 'draft': False, 'modifyDate': '2016-05-31T16:05:26Z', 'length': 17, 'videoId': '', 'photoUrl': 'https://d.wattpad.com/story_parts/22/images/1453b0ba07066f0a.jpg', 'commentCount': 15, 'voteCount': 63, 'readCount': 3453}, {'id': 264403604, 'title': '9. ', 'url': 'https://www.wattpad.com/264403604-funny-quotes-part-1-9', 'rating': 0, 'draft': False, 'modifyDate': '2016-05-31T16:05:32Z', 'length': 36, 'videoId': '', 'photoUrl': 'https://d.wattpad.com/story_parts/23/images/1453b0c51b5e8c7a.jpg', 'commentCount': 7, 'voteCount': 64, 'readCount': 3222}, {'id': 264403917, 'title': '①⓪. ', 'url': 'https://www.wattpad.com/264403917-funny-quotes-part-1-%E2%91%A0%E2%93%AA', 'rating': 0, 'draft': False, 'modifyDate': '2016-05-31T16:05:38Z', 'length': 13, 'videoId': '', 'photoUrl': 'https://d.wattpad.com/story_parts/24/images/1453b0d146b7fee9.jpg', 'commentCount': 2, 'voteCount': 52, 'readCount': 2999}, {'id': 264404212, 'title': '①①. ', 'url': 'https://www.wattpad.com/264404212-funny-quotes-part-1-%E2%91%A0%E2%91%A0', 'rating': 0, 'draft': False, 'modifyDate': '2016-05-31T16:05:47Z', 'length': 102, 'videoId': '', 'photoUrl': 'https://d.wattpad.com/story_parts/25/images/1453b0dd31703867.jpg', 'commentCount': 1, 'voteCount': 42, 'readCount': 2830}, {'id': 264404414, 'title': '①②. ', 'url': 'https://www.wattpad.com/264404414-funny-quotes-part-1-%E2%91%A0%E2%91%A1', 'rating': 0, 'draft': False, 'modifyDate': '2016-05-31T16:05:55Z', 'length': 25, 'videoId': '', 'photoUrl': 'https://d.wattpad.com/story_parts/26/images/1453b0e54d6f5e54.jpg', 'commentCount': 3, 'voteCount': 36, 'readCount': 2650}, {'id': 264404499, 'title': '①③. ', 'url': 'https://www.wattpad.com/264404499-funny-quotes-part-1-%E2%91%A0%E2%91%A2', 'rating': 0, 'draft': False, 'modifyDate': '2016-05-31T16:06:00Z', 'length': 49, 'videoId': '', 'photoUrl': 'https://d.wattpad.com/story_parts/264404499/images/1453b0f5a396832b.jpg', 'commentCount': 0, 'voteCount': 38, 'readCount': 2528}, {'id': 264405254, 'title': '①④. ', 'url': 'https://www.wattpad.com/264405254-funny-quotes-part-1-%E2%91%A0%E2%91%A3', 'rating': 0, 'draft': False, 'modifyDate': '2016-05-31T23:06:06Z', 'length': 30, 'videoId': '', 'photoUrl': 'https://d.wattpad.com/story_parts/28/images/1453b1079f6a6a02.jpg', 'commentCount': 1, 'voteCount': 49, 'readCount': 2374}, {'id': 264411474, 'title': '①⑤. ', 'url': 'https://www.wattpad.com/264411474-funny-quotes-part-1-%E2%91%A0%E2%91%A4', 'rating': 0, 'draft': False, 'modifyDate': '2016-05-31T23:06:12Z', 'length': 24, 'videoId': '', 'photoUrl': 'https://d.wattpad.com/story_parts/29/images/1453b203b679dcb3.jpg', 'commentCount': 1, 'voteCount': 33, 'readCount': 2235}, {'id': 264411903, 'title': '①⑥. ', 'url': 'https://www.wattpad.com/264411903-funny-quotes-part-1-%E2%91%A0%E2%91%A5', 'rating': 0, 'draft': False, 'modifyDate': '2016-05-31T16:06:17Z', 'length': 52, 'videoId': '', 'photoUrl': 'https://d.wattpad.com/story_parts/30/images/1453b2149f05ffd2.jpg', 'commentCount': 3, 'voteCount': 38, 'readCount': 2178}, {'id': 264412208, 'title': '①7. ', 'url': 'https://www.wattpad.com/264412208-funny-quotes-part-1-%E2%91%A07', 'rating': 0, 'draft': False, 'modifyDate': '2016-05-31T16:06:36Z', 'length': 17, 'videoId': '', 'photoUrl': 'https://d.wattpad.com/story_parts/31/images/1453b21ed69f1cf3.jpg', 'commentCount': 9, 'voteCount': 41, 'readCount': 2072}, {'id': 264412453, 'title': '①⑧. ', 'url': 'https://www.wattpad.com/264412453-funny-quotes-part-1-%E2%91%A0%E2%91%A7', 'rating': 0, 'draft': False, 'modifyDate': '2016-05-31T23:06:45Z', 'length': 62, 'videoId': '', 'photoUrl': 'https://d.wattpad.com/story_parts/32/images/1453b227e22d37d8.jpg', 'commentCount': 10, 'voteCount': 45, 'readCount': 2044}, {'id': 264412632, 'title': '①9. ', 'url': 'https://www.wattpad.com/264412632-funny-quotes-part-1-%E2%91%A09', 'rating': 0, 'draft': False, 'modifyDate': '2016-05-31T16:06:58Z', 'length': 22, 'videoId': '', 'photoUrl': 'https://d.wattpad.com/story_parts/33/images/1453b22ef28b0ee6.jpg', 'commentCount': 2, 'voteCount': 37, 'readCount': 1989}, {'id': 264412972, 'title': '②⓪. ', 'url': 'https://www.wattpad.com/264412972-funny-quotes-part-1-%E2%91%A1%E2%93%AA', 'rating': 0, 'draft': False, 'modifyDate': '2016-05-31T16:07:12Z', 'length': 26, 'videoId': '', 'photoUrl': 'https://d.wattpad.com/story_parts/34/images/1453b23d52bbea69.jpg', 'commentCount': 6, 'voteCount': 35, 'readCount': 1867}, {'id': 264413377, 'title': '②①. ', 'url': 'https://www.wattpad.com/264413377-funny-quotes-part-1-%E2%91%A1%E2%91%A0', 'rating': 0, 'draft': False, 'modifyDate': '2016-05-31T23:07:22Z', 'length': 50, 'videoId': '', 'photoUrl': 'https://d.wattpad.com/story_parts/35/images/1453b24dd54f5006.jpg', 'commentCount': 12, 'voteCount': 30, 'readCount': 1797}, {'id': 264413740, 'title': '②②. ', 'url': 'https://www.wattpad.com/264413740-funny-quotes-part-1-%E2%91%A1%E2%91%A1', 'rating': 0, 'draft': False, 'modifyDate': '2016-05-31T16:07:36Z', 'length': 55, 'videoId': '', 'photoUrl': 'https://d.wattpad.com/story_parts/36/images/1453b25bceef7628.jpg', 'commentCount': 3, 'voteCount': 30, 'readCount': 1752}, {'id': 264414111, 'title': '②③. ', 'url': 'https://www.wattpad.com/264414111-funny-quotes-part-1-%E2%91%A1%E2%91%A2', 'rating': 0, 'draft': False, 'modifyDate': '2016-05-31T16:07:56Z', 'length': 87, 'videoId': '', 'photoUrl': 'https://d.wattpad.com/story_parts/37/images/1453b269aa8d468d.jpg', 'commentCount': 5, 'voteCount': 36, 'readCount': 1748}, {'id': 264414747, 'title': 'ⓟⓐⓡⓣ ②. ', 'url': 'https://www.wattpad.com/264414747-funny-quotes-part-1-%E2%93%9F%E2%93%90%E2%93%A1%E2%93%A3-%E2%91%A1', 'rating': 0, 'draft': False, 'modifyDate': '2016-07-11T15:22:32Z', 'length': 186, 'videoId': '', 'photoUrl': 'https://d.wattpad.com/story_parts/264414747/images/146046192080ce0b794187526169.jpg', 'commentCount': 4, 'voteCount': 27, 'readCount': 1979}]", 0, 76278, '[]', 'Funny quotes part 1', 'https://www.wattpad.com/story/73708370-funny-quotes-part-1', 'https://a.wattpad.com/useravatar/Officialrenie.128.249402.jpg', 'Litty', 'Officialrenie', 1189], ['[19, 0]', 9695, True, 0, 'https://a.wattpad.com/cover/42937930-256-k992146.jpg', '2015-06-22T23:55:46Z', '2015-06-22T23:55:09Z', False, 'yessss!!!!', 141082265, '2015-06-23T02:59:41Z', 141082265, 42937930, 1, 'English', '2015-06-23T10:03:03Z', 141082343, 2204, False, '2015-08-16T08:07:12Z', 16, "[{'id': 141082265, 'title': 'lol!', 'url': 'https://www.wattpad.com/141082265-%E2%9D%87awsome-comebacks%E2%9D%87-lol', 'rating': 0, 'draft': False, 'modifyDate': '2015-06-23T02:59:42Z', 'length': 119, 'videoId': '', 'photoUrl': '', 'commentCount': 905, 'voteCount': 2127, 'readCount': 131564}, {'id': 141082305, 'title': 'oh no!', 'url': 'https://www.wattpad.com/141082305-%E2%9D%87awsome-comebacks%E2%9D%87-oh-no', 'rating': 0, 'draft': False, 'modifyDate': '2015-06-23T02:59:55Z', 'length': 249, 'videoId': '', 'photoUrl': '', 'commentCount': 489, 'voteCount': 1977, 'readCount': 118815}, {'id': 141082311, 'title': 'funny!', 'url': 'https://www.wattpad.com/141082311-%E2%9D%87awsome-comebacks%E2%9D%87-funny', 'rating': 0, 'draft': False, 'modifyDate': '2015-06-23T03:00:13Z', 'length': 152, 'videoId': '', 'photoUrl': '', 'commentCount': 825, 'voteCount': 2982, 'readCount': 108020}, {'id': 141082314, 'title': 'umm....', 'url': 'https://www.wattpad.com/141082314-%E2%9D%87awsome-comebacks%E2%9D%87-umm', 'rating': 0, 'draft': False, 'modifyDate': '2015-06-23T03:00:32Z', 'length': 97, 'videoId': '', 'photoUrl': '', 'commentCount': 771, 'voteCount': 5189, 'readCount': 100272}, {'id': 141082316, 'title': 'teachers!', 'url': 'https://www.wattpad.com/141082316-%E2%9D%87awsome-comebacks%E2%9D%87-teachers', 'rating': 0, 'draft': False, 'modifyDate': '2015-06-23T03:00:50Z', 'length': 103, 'videoId': '', 'photoUrl': '', 'commentCount': 786, 'voteCount': 3172, 'readCount': 95223}, {'id': 141082326, 'title': 'okay', 'url': 'https://www.wattpad.com/141082326-%E2%9D%87awsome-comebacks%E2%9D%87-okay', 'rating': 0, 'draft': False, 'modifyDate': '2015-06-23T03:01:19Z', 'length': 150, 'videoId': '', 'photoUrl': '', 'commentCount': 471, 'voteCount': 2288, 'readCount': 89781}, {'id': 141082338, 'title': 'not really a comeback', 'url': 'https://www.wattpad.com/141082338-%E2%9D%87awsome-comebacks%E2%9D%87-not-really-a-comeback', 'rating': 0, 'draft': False, 'modifyDate': '2015-06-23T03:02:18Z', 'length': 59, 'videoId': '', 'photoUrl': '', 'commentCount': 394, 'voteCount': 2328, 'readCount': 84508}, {'id': 141082343, 'title': 'to the person you hate', 'url': 'https://www.wattpad.com/141082343-%E2%9D%87awsome-comebacks%E2%9D%87-to-the-person-you-hate', 'rating': 0, 'draft': False, 'modifyDate': '2015-06-23T10:03:03Z', 'length': 123, 'videoId': '', 'photoUrl': '', 'commentCount': 579, 'voteCount': 2486, 'readCount': 81144}, {'id': 141082356, 'title': 'haha', 'url': 'https://www.wattpad.com/141082356-%E2%9D%87awsome-comebacks%E2%9D%87-haha', 'rating': 0, 'draft': False, 'modifyDate': '2015-06-23T03:03:10Z', 'length': 262, 'videoId': '', 'photoUrl': '', 'commentCount': 588, 'voteCount': 1776, 'readCount': 79196}, {'id': 141082361, 'title': 'not really a comeback #2', 'url': 'https://www.wattpad.com/141082361-%E2%9D%87awsome-comebacks%E2%9D%87-not-really-a-comeback-2', 'rating': 0, 'draft': False, 'modifyDate': '2015-06-23T03:03:26Z', 'length': 87, 'videoId': '', 'photoUrl': '', 'commentCount': 481, 'voteCount': 1921, 'readCount': 73209}, {'id': 141082369, 'title': 'why do we need school', 'url': 'https://www.wattpad.com/141082369-%E2%9D%87awsome-comebacks%E2%9D%87-why-do-we-need-school', 'rating': 0, 'draft': False, 'modifyDate': '2015-06-23T03:03:37Z', 'length': 191, 'videoId': '', 'photoUrl': '', 'commentCount': 1516, 'voteCount': 2623, 'readCount': 72408}, {'id': 141082375, 'title': 'poopfaces', 'url': 'https://www.wattpad.com/141082375-%E2%9D%87awsome-comebacks%E2%9D%87-poopfaces', 'rating': 0, 'draft': False, 'modifyDate': '2015-06-23T03:05:48Z', 'length': 94, 'videoId': '', 'photoUrl': '', 'commentCount': 169, 'voteCount': 1883, 'readCount': 67937}, {'id': 141082382, 'title': 'mmhhmm!', 'url': 'https://www.wattpad.com/141082382-%E2%9D%87awsome-comebacks%E2%9D%87-mmhhmm', 'rating': 0, 'draft': False, 'modifyDate': '2015-06-23T03:05:55Z', 'length': 159, 'videoId': '', 'photoUrl': '', 'commentCount': 532, 'voteCount': 2077, 'readCount': 61530}, {'id': 141082390, 'title': 'gotta tell ya', 'url': 'https://www.wattpad.com/141082390-%E2%9D%87awsome-comebacks%E2%9D%87-gotta-tell-ya', 'rating': 0, 'draft': False, 'modifyDate': '2015-06-23T03:06:01Z', 'length': 104, 'videoId': '', 'photoUrl': '', 'commentCount': 460, 'voteCount': 994, 'readCount': 56904}, {'id': 141082397, 'title': 'okay okay im back!', 'url': 'https://www.wattpad.com/141082397-%E2%9D%87awsome-comebacks%E2%9D%87-okay-okay-im-back', 'rating': 0, 'draft': False, 'modifyDate': '2015-06-23T03:06:12Z', 'length': 165, 'videoId': '', 'photoUrl': '', 'commentCount': 526, 'voteCount': 2282, 'readCount': 55105}, {'id': 141082405, 'title': 'im done', 'url': 'https://www.wattpad.com/141082405-%E2%9D%87awsome-comebacks%E2%9D%87-im-done', 'rating': 0, 'draft': False, 'modifyDate': '2015-06-23T03:06:30Z', 'length': 90, 'videoId': '', 'photoUrl': '', 'commentCount': 203, 'voteCount': 925, 'readCount': 59735}]", 0, 1335249, "['dumb', 'funny', 'listen', 'nothing', 'okay']", '❇awsome comebacks❇', 'https://www.wattpad.com/story/42937930-%E2%9D%87awsome-comebacks%E2%9D%87', 'https://a.wattpad.com/useravatar/kittygirl_121604.128.186602.jpg', nan, 'kittygirl_121604', 37030]]</t>
  </si>
  <si>
    <t>1.0, 1.0, 0.0, 1.0, 1.0, 0.0, 0.0, 0.0, 1.0, 1.0, 0.0, 1.0, 1.0, 1.0, 1.0, 0.0, 1.0, 1.0, 0.0, 0.0, 1.0, 1.0, 1.0, 1.0, 1.0, 1.0, 1.0, 1.0, 1.0, 1.0, 1.0</t>
  </si>
  <si>
    <t>[[6, 12, False, 1, 'https://a.wattpad.com/cover/129173744-256-k151581.jpg', '2017-12-02T02:06:21Z', '2017-11-18T19:52:12Z', False, "[ coming soon ]\n\nIn which a regular 19 year old meets Deven Key, who's dad owns the country club she works at\n\n\nCopyright 2017 © voidtube\n[ extended description inside ]", 496588471, '2017-12-02T13:57:39Z', 496588471, 129173744, 1, 'English', '2018-03-13T23:54:11Z', 501298505, 7590, False, '2018-03-13T23:54:10Z', 3, "[{'id': 496588471, 'title': 'Mr Country Club | devan key', 'url': 'https://www.wattpad.com/496588471-mr-country-club-devan-key-coming-soon-mr-country', 'rating': 0, 'draft': False, 'modifyDate': '2017-12-02T13:57:51Z', 'length': 677, 'videoId': '', 'photoUrl': '', 'commentCount': 3, 'voteCount': 2, 'readCount': 25}, {'id': 502107938, 'title': 'cast | mr country club', 'url': 'https://www.wattpad.com/502107938-mr-country-club-devan-key-coming-soon-cast-mr', 'rating': 0, 'draft': False, 'modifyDate': '2017-12-02T13:57:40Z', 'length': 285, 'videoId': '', 'photoUrl': '', 'commentCount': 9, 'voteCount': 3, 'readCount': 38}, {'id': 501298505, 'title': 'one', 'url': 'https://www.wattpad.com/501298505-mr-country-club-devan-key-coming-soon-one', 'rating': 0, 'draft': False, 'modifyDate': '2018-03-13T23:54:10Z', 'length': 6628, 'videoId': '', 'photoUrl': '', 'commentCount': 0, 'voteCount': 0, 'readCount': 0}]", 0, 63, "['collinskey', 'devankey', 'keybros', 'keypers', 'thekeybrothers', 'youtube']", 'Mr Country Club | devan key [ coming soon ] ', 'https://www.wattpad.com/story/129173744-mr-country-club-devan-key-coming-soon', 'https://a.wattpad.com/useravatar/voidtube.128.185845.jpg', 'chelsea', 'voidtube', 5], [17, 0, False, 1, 'https://a.wattpad.com/cover/141691720-256-k874943.jpg', '2018-03-13T00:15:43Z', '2018-03-13T00:15:42Z', False, 'swallow!', 546886656, '2018-03-13T23:54:09Z', 546886656, 141691720, 1, 'English', '2018-03-13T23:54:11Z', 547267582, 1676, False, '2018-03-13T23:54:11Z', 3, "[{'id': 546886656, 'title': 'impudence!', 'url': 'https://www.wattpad.com/546886656-the-offing-impudence', 'rating': 0, 'draft': False, 'modifyDate': '2018-03-13T23:54:09Z', 'length': 482, 'videoId': '', 'photoUrl': '', 'commentCount': 0, 'voteCount': 0, 'readCount': 0}, {'id': 546888530, 'title': 'stalker!', 'url': 'https://www.wattpad.com/546888530-the-offing-stalker', 'rating': 0, 'draft': False, 'modifyDate': '2018-03-13T23:54:10Z', 'length': 455, 'videoId': '', 'photoUrl': '', 'commentCount': 0, 'voteCount': 0, 'readCount': 0}, {'id': 547267582, 'title': 'murderer!', 'url': 'https://www.wattpad.com/547267582-the-offing-murderer', 'rating': 0, 'draft': False, 'modifyDate': '2018-03-13T23:54:11Z', 'length': 739, 'videoId': '', 'photoUrl': '', 'commentCount': 0, 'voteCount': 0, 'readCount': 0}]", 0, 0, "['aesthetic', 'blood', 'death', 'detective', 'devil', 'hell', 'impudence', 'masochistic', 'mystery', 'pure', 'purgatory', 'red', 'scary', 'shortchapters', 'shortstory', 'stalker']", 'the offing', 'https://www.wattpad.com/story/141691720-the-offing', 'https://a.wattpad.com/useravatar/sunfully.128.873999.jpg', '♡', 'sunfully', 0], [17, 0, False, 1, 'https://a.wattpad.com/cover/141267339-256-k611700.jpg', '2018-03-10T00:08:20Z', '2018-03-09T00:26:38Z', False, "I don't see many of these and I'm not sure if anyone else feels the pain of falling of a perfectly straight girl, so I decided to write this to make my life slightly better. These are a bunch of oneshots about you and your crush and I'll try to update weekly. :)\n\nKey: \nY/N - Your Name\nE/C - Eye Color\nH/C - Hair Color\nS/C - Skin Color\nC/N - Crush's Name\nY/B/F - Your Best Friend's Name\nC/B/F Crush's Best Friend's Name\nM/N - Mother's Name\nF/N - Father's Name", 545128060, '2018-03-10T08:21:11Z', 545128060, 141267339, 1, 'English', '2018-03-13T23:54:08Z', 547236382, 24132, False, '2018-03-13T23:54:08Z', 3, "[{'id': 545128060, 'title': 'Oneshot 1: Rulers Suck Ass', 'url': 'https://www.wattpad.com/545128060-female-crush-x-female-reader-oneshot-1-rulers-suck', 'rating': 0, 'draft': False, 'modifyDate': '2018-03-10T08:27:32Z', 'length': 7525, 'videoId': '', 'photoUrl': '', 'commentCount': 0, 'voteCount': 2, 'readCount': 21}, {'id': 546413792, 'title': 'Oneshot 2: Hero', 'url': 'https://www.wattpad.com/546413792-female-crush-x-female-reader-oneshot-2-hero', 'rating': 0, 'draft': False, 'modifyDate': '2018-03-13T22:09:02Z', 'length': 7213, 'videoId': '', 'photoUrl': '', 'commentCount': 0, 'voteCount': 2, 'readCount': 11}, {'id': 547236382, 'title': 'Oneshot 3: Study Date', 'url': 'https://www.wattpad.com/547236382-female-crush-x-female-reader-oneshot-3-study-date', 'rating': 0, 'draft': False, 'modifyDate': '2018-03-13T23:54:08Z', 'length': 9394, 'videoId': '', 'photoUrl': '', 'commentCount': 0, 'voteCount': 0, 'readCount': 0}]", 1, 32, "['lesbian', 'oneshot', 'readerxcrush']", 'Female Crush X Female Reader', 'https://www.wattpad.com/story/141267339-female-crush-x-female-reader', 'https://a.wattpad.com/useravatar/Dem0g0rgon.128.641851.jpg', nan, 'Dem0g0rgon', 4]]</t>
  </si>
  <si>
    <t>[[19, 5187, True, 1, 'https://a.wattpad.com/cover/12050237-256-k991849.jpg', '2014-01-29T18:37:29Z', '2014-01-29T16:24:42Z', False, "Fina is a Enforcers Daughter, she's been harshly trained by her father all her life. On the night of the change, to which you could find your soul mate- Fina finds hers. He's of course the soon to be Alpha, however he doesn't want her. Its not sweat off Fina's back, she's more worried about her Family finding out then being rejected. Her feet carry her to a deeper part of the forest, one she shouldn't of gone into. When things twist and stories become a reality Fina will have to pick what side she wants to be part of.", 36978107, '2014-01-29T18:42:05Z', 36978235, 12050237, 1, 'English', '2014-01-30T19:11:05Z', 37087582, 407525, False, '2015-01-27T10:47:41Z', 37, "[{'id': 36978107, 'title': 'Prologue', 'url': 'https://www.wattpad.com/36978107-hadar-watty2014-prologue', 'rating': 3, 'draft': False, 'modifyDate': '2014-11-13T01:39:15Z', 'length': 1628, 'videoId': '', 'photoUrl': '', 'commentCount': 81, 'voteCount': 3393, 'readCount': 137170}, {'id': 36978235, 'title': 'Chapter 1', 'url': 'https://www.wattpad.com/36978235-hadar-watty2014-chapter-1', 'rating': 3, 'draft': False, 'modifyDate': '2014-02-26T00:45:00Z', 'length': 10050, 'videoId': '', 'photoUrl': '', 'commentCount': 232, 'voteCount': 3342, 'readCount': 106673}, {'id': 36978821, 'title': 'Chapter 2', 'url': 'https://www.wattpad.com/36978821-hadar-watty2014-chapter-2', 'rating': 3, 'draft': False, 'modifyDate': '2014-01-29T18:42:18Z', 'length': 10093, 'videoId': '', 'photoUrl': '', 'commentCount': 109, 'voteCount': 3405, 'readCount': 81287}, {'id': 36979152, 'title': 'Chapter 3', 'url': 'https://www.wattpad.com/36979152-hadar-watty2014-chapter-3', 'rating': 3, 'draft': False, 'modifyDate': '2014-01-29T18:50:53Z', 'length': 6597, 'videoId': '', 'photoUrl': '', 'commentCount': 234, 'voteCount': 3488, 'readCount': 75003}, {'id': 36979368, 'title': 'Chapter 4', 'url': 'https://www.wattpad.com/36979368-hadar-watty2014-chapter-4', 'rating': 3, 'draft': False, 'modifyDate': '2014-01-29T18:54:47Z', 'length': 7543, 'videoId': '', 'photoUrl': '', 'commentCount': 292, 'voteCount': 3222, 'readCount': 75184}, {'id': 36979566, 'title': 'Chapter 5', 'url': 'https://www.wattpad.com/36979566-hadar-watty2014-chapter-5', 'rating': 3, 'draft': False, 'modifyDate': '2014-01-29T18:55:13Z', 'length': 6834, 'videoId': '', 'photoUrl': '', 'commentCount': 130, 'voteCount': 3273, 'readCount': 73282}, {'id': 36979779, 'title': 'Chapter 6', 'url': 'https://www.wattpad.com/36979779-hadar-watty2014-chapter-6', 'rating': 3, 'draft': False, 'modifyDate': '2014-01-29T18:55:37Z', 'length': 10459, 'videoId': '', 'photoUrl': '', 'commentCount': 210, 'voteCount': 3191, 'readCount': 80186}, {'id': 36980251, 'title': 'Chapter 7', 'url': 'https://www.wattpad.com/36980251-hadar-watty2014-chapter-7', 'rating': 3, 'draft': False, 'modifyDate': '2014-01-29T18:57:11Z', 'length': 11867, 'videoId': '', 'photoUrl': '', 'commentCount': 236, 'voteCount': 3429, 'readCount': 81567}, {'id': 36980479, 'title': 'Chapter 8', 'url': 'https://www.wattpad.com/36980479-hadar-watty2014-chapter-8', 'rating': 3, 'draft': False, 'modifyDate': '2014-01-29T20:29:11Z', 'length': 6869, 'videoId': '', 'photoUrl': '', 'commentCount': 121, 'voteCount': 3084, 'readCount': 77216}, {'id': 36980663, 'title': 'Chapter 9', 'url': 'https://www.wattpad.com/36980663-hadar-watty2014-chapter-9', 'rating': 3, 'draft': False, 'modifyDate': '2014-01-29T20:57:33Z', 'length': 10071, 'videoId': '', 'photoUrl': '', 'commentCount': 107, 'voteCount': 2943, 'readCount': 72853}, {'id': 36980927, 'title': 'Chapter 10', 'url': 'https://www.wattpad.com/36980927-hadar-watty2014-chapter-10', 'rating': 3, 'draft': False, 'modifyDate': '2014-01-29T21:30:01Z', 'length': 12195, 'videoId': '', 'photoUrl': '', 'commentCount': 96, 'voteCount': 3204, 'readCount': 74260}, {'id': 36981341, 'title': 'Chapter 11', 'url': 'https://www.wattpad.com/36981341-hadar-watty2014-chapter-11', 'rating': 3, 'draft': False, 'modifyDate': '2014-02-26T01:30:30Z', 'length': 11252, 'videoId': '', 'photoUrl': '', 'commentCount': 393, 'voteCount': 3123, 'readCount': 74438}, {'id': 36982017, 'title': 'Chapter 12', 'url': 'https://www.wattpad.com/36982017-hadar-watty2014-chapter-12', 'rating': 3, 'draft': False, 'modifyDate': '2014-01-29T22:59:44Z', 'length': 10929, 'videoId': '', 'photoUrl': '', 'commentCount': 241, 'voteCount': 3009, 'readCount': 78887}, {'id': 36982320, 'title': 'Chapter 13', 'url': 'https://www.wattpad.com/36982320-hadar-watty2014-chapter-13', 'rating': 3, 'draft': False, 'modifyDate': '2014-01-29T22:59:58Z', 'length': 6860, 'videoId': '', 'photoUrl': '', 'commentCount': 125, 'voteCount': 2856, 'readCount': 67341}, {'id': 36982837, 'title': 'Chapter 14', 'url': 'https://www.wattpad.com/36982837-hadar-watty2014-chapter-14', 'rating': 3, 'draft': False, 'modifyDate': '2014-01-29T23:00:10Z', 'length': 10349, 'videoId': '', 'photoUrl': '', 'commentCount': 159, 'voteCount': 2867, 'readCount': 72277}, {'id': 36983243, 'title': 'Chapter 15', 'url': 'https://www.wattpad.com/36983243-hadar-watty2014-chapter-15', 'rating': 3, 'draft': False, 'modifyDate': '2014-01-30T00:56:50Z', 'length': 9840, 'videoId': '', 'photoUrl': '', 'commentCount': 98, 'voteCount': 2824, 'readCount': 69029}, {'id': 36983590, 'title': 'Chapter 16', 'url': 'https://www.wattpad.com/36983590-hadar-watty2014-chapter-16', 'rating': 3, 'draft': False, 'modifyDate': '2014-01-30T01:44:54Z', 'length': 10481, 'videoId': '', 'photoUrl': '', 'commentCount': 91, 'voteCount': 2911, 'readCount': 70512}, {'id': 36984077, 'title': 'Chapter 17', 'url': 'https://www.wattpad.com/36984077-hadar-watty2014-chapter-17', 'rating': 3, 'draft': False, 'modifyDate': '2014-01-30T04:16:30Z', 'length': 11398, 'videoId': '', 'photoUrl': '', 'commentCount': 215, 'voteCount': 2766, 'readCount': 69274}, {'id': 36984452, 'title': 'Chapter 18', 'url': 'https://www.wattpad.com/36984452-hadar-watty2014-chapter-18', 'rating': 3, 'draft': False, 'modifyDate': '2014-01-30T06:58:11Z', 'length': 8700, 'videoId': '', 'photoUrl': '', 'commentCount': 93, 'voteCount': 3049, 'readCount': 64727}, {'id': 36984718, 'title': 'Chapter 19', 'url': 'https://www.wattpad.com/36984718-hadar-watty2014-chapter-19', 'rating': 3, 'draft': False, 'modifyDate': '2015-01-27T10:47:41Z', 'length': 11082, 'videoId': '', 'photoUrl': '', 'commentCount': 124, 'voteCount': 2936, 'readCount': 65364}, {'id': 36984883, 'title': 'Chapter 20', 'url': 'https://www.wattpad.com/36984883-hadar-watty2014-chapter-20', 'rating': 3, 'draft': False, 'modifyDate': '2014-01-30T07:59:59Z', 'length': 10433, 'videoId': '', 'photoUrl': '', 'commentCount': 70, 'voteCount': 2880, 'readCount': 70226}, {'id': 37051288, 'title': 'Chapter 21', 'url': 'https://www.wattpad.com/37051288-hadar-watty2014-chapter-21', 'rating': 3, 'draft': False, 'modifyDate': '2014-01-30T08:11:35Z', 'length': 11957, 'videoId': '', 'photoUrl': '', 'commentCount': 82, 'voteCount': 2654, 'readCount': 68339}, {'id': 37051425, 'title': 'Chapter 22', 'url': 'https://www.wattpad.com/37051425-hadar-watty2014-chapter-22', 'rating': 3, 'draft': False, 'modifyDate': '2014-01-30T08:16:16Z', 'length': 11898, 'videoId': '', 'photoUrl': '', 'commentCount': 139, 'voteCount': 2521, 'readCount': 67099}, {'id': 37051708, 'title': 'Chapter 23', 'url': 'https://www.wattpad.com/37051708-hadar-watty2014-chapter-23', 'rating': 3, 'draft': False, 'modifyDate': '2014-01-30T16:58:00Z', 'length': 11772, 'videoId': '', 'photoUrl': '', 'commentCount': 72, 'voteCount': 2652, 'readCount': 67563}, {'id': 37051912, 'title': 'Chapter 24', 'url': 'https://www.wattpad.com/37051912-hadar-watty2014-chapter-24', 'rating': 3, 'draft': False, 'modifyDate': '2014-01-30T18:15:57Z', 'length': 13288, 'videoId': '', 'photoUrl': '', 'commentCount': 103, 'voteCount': 2599, 'readCount': 69521}, {'id': 37052197, 'title': 'Chapter 25', 'url': 'https://www.wattpad.com/37052197-hadar-watty2014-chapter-25', 'rating': 3, 'draft': False, 'modifyDate': '2014-01-30T18:16:11Z', 'length': 13075, 'videoId': '', 'photoUrl': '', 'commentCount': 43, 'voteCount': 2654, 'readCount': 63431}, {'id': 37052370, 'title': 'Chapter 26', 'url': 'https://www.wattpad.com/37052370-hadar-watty2014-chapter-26', 'rating': 3, 'draft': False, 'modifyDate': '2014-01-30T18:16:24Z', 'length': 14844, 'videoId': '', 'photoUrl': '', 'commentCount': 163, 'voteCount': 2862, 'readCount': 68372}, {'id': 37086017, 'title': 'Chapter 27', 'url': 'https://www.wattpad.com/37086017-hadar-watty2014-chapter-27', 'rating': 3, 'draft': False, 'modifyDate': '2014-01-30T18:49:43Z', 'length': 12832, 'videoId': '', 'photoUrl': '', 'commentCount': 45, 'voteCount': 2461, 'readCount': 64560}, {'id': 37086150, 'title': 'Chapter 28', 'url': 'https://www.wattpad.com/37086150-hadar-watty2014-chapter-28', 'rating': 3, 'draft': False, 'modifyDate': '2014-01-30T18:50:54Z', 'length': 11266, 'videoId': '', 'photoUrl': '', 'commentCount': 26, 'voteCount': 2485, 'readCount': 72713}, {'id': 37086308, 'title': 'Chapter 29', 'url': 'https://www.wattpad.com/37086308-hadar-watty2014-chapter-29', 'rating': 3, 'draft': False, 'modifyDate': '2014-01-30T18:53:38Z', 'length': 13549, 'videoId': '', 'photoUrl': '', 'commentCount': 37, 'voteCount': 2511, 'readCount': 66280}, {'id': 37086422, 'title': 'Chapter 30', 'url': 'https://www.wattpad.com/37086422-hadar-watty2014-chapter-30', 'rating': 3, 'draft': False, 'modifyDate': '2014-01-30T18:55:39Z', 'length': 14554, 'videoId': '', 'photoUrl': '', 'commentCount': 38, 'voteCount': 2498, 'readCount': 66370}, {'id': 37086533, 'title': 'Chapter 31', 'url': 'https://www.wattpad.com/37086533-hadar-watty2014-chapter-31', 'rating': 3, 'draft': False, 'modifyDate': '2014-01-30T18:59:23Z', 'length': 11978, 'videoId': '', 'photoUrl': '', 'commentCount': 136, 'voteCount': 2512, 'readCount': 60008}, {'id': 37086835, 'title': 'Chapter 32', 'url': 'https://www.wattpad.com/37086835-hadar-watty2014-chapter-32', 'rating': 3, 'draft': False, 'modifyDate': '2014-01-30T19:01:11Z', 'length': 18060, 'videoId': '', 'photoUrl': '', 'commentCount': 240, 'voteCount': 2372, 'readCount': 60593}, {'id': 37086934, 'title': 'Chapter 33', 'url': 'https://www.wattpad.com/37086934-hadar-watty2014-chapter-33', 'rating': 3, 'draft': False, 'modifyDate': '2014-01-30T19:04:19Z', 'length': 16490, 'videoId': '', 'photoUrl': '', 'commentCount': 48, 'voteCount': 2322, 'readCount': 55120}, {'id': 37087103, 'title': 'Chapter 35', 'url': 'https://www.wattpad.com/37087103-hadar-watty2014-chapter-35', 'rating': 3, 'draft': False, 'modifyDate': '2014-01-30T19:06:15Z', 'length': 16172, 'videoId': '', 'photoUrl': '', 'commentCount': 54, 'voteCount': 2388, 'readCount': 58248}, {'id': 37087370, 'title': 'Chapter 36', 'url': 'https://www.wattpad.com/37087370-hadar-watty2014-chapter-36', 'rating': 3, 'draft': False, 'modifyDate': '2014-01-30T19:08:34Z', 'length': 17344, 'videoId': '', 'photoUrl': '', 'commentCount': 176, 'voteCount': 2666, 'readCount': 66600}, {'id': 37087582, 'title': 'Epilogue', 'url': 'https://www.wattpad.com/37087582-hadar-watty2014-epilogue', 'rating': 3, 'draft': False, 'modifyDate': '2014-01-30T19:11:05Z', 'length': 2916, 'videoId': '', 'photoUrl': '', 'commentCount': 328, 'voteCount': 3442, 'readCount': 74769}]", 3, 2686300, "['alpha', 'curse', 'luna', 'magic', 'power', 'rejection', 'watty2014', 'wolves']", 'Hadar #Watty2014', 'https://www.wattpad.com/story/12050237-hadar-watty2014', 'https://a.wattpad.com/useravatar/RevyRogue.128.491090.jpg', 'Reviana', 'RevyRogue', 106794], [19, 20017, True, 0, 'https://a.wattpad.com/cover/16618124-256-k662662.jpg', '2014-09-25T23:31:02Z', '2014-05-20T12:25:26Z', False, nan, 50914516, '2014-05-21T00:07:47Z', 50914516, 16618124, 1, 'English', '2014-10-15T00:28:42Z', 76088428, 175785, False, '2015-06-15T00:20:39Z', 38, "[{'id': 50914516, 'title': 'Escorting the Brute', 'url': 'https://www.wattpad.com/50914516-escorting-the-brute', 'rating': 0, 'draft': False, 'modifyDate': '2015-06-15T00:20:36Z', 'length': 83, 'videoId': '', 'photoUrl': '', 'commentCount': 360, 'voteCount': 5298, 'readCount': 626781}, {'id': 51381941, 'title': 'Escorting the Brute {1}', 'url': 'https://www.wattpad.com/51381941-escorting-the-brute-1', 'rating': 3, 'draft': False, 'modifyDate': '2014-08-09T03:43:28Z', 'length': 3742, 'videoId': '', 'photoUrl': '', 'commentCount': 2519, 'voteCount': 7511, 'readCount': 417089}, {'id': 51548344, 'title': 'Escorting the Brute {2}', 'url': 'https://www.wattpad.com/51548344-escorting-the-brute-2', 'rating': 3, 'draft': False, 'modifyDate': '2014-05-26T14:54:33Z', 'length': 7747, 'videoId': '', 'photoUrl': '', 'commentCount': 745, 'voteCount': 7036, 'readCount': 334544}, {'id': 51834345, 'title': 'Escorting the Brute {3}', 'url': 'https://www.wattpad.com/51834345-escorting-the-brute-3', 'rating': 3, 'draft': False, 'modifyDate': '2014-05-26T16:53:40Z', 'length': 2814, 'videoId': '', 'photoUrl': '', 'commentCount': 399, 'voteCount': 6395, 'readCount': 276979}, {'id': 51980691, 'title': 'Escorting the Brute {4}', 'url': 'https://www.wattpad.com/51980691-escorting-the-brute-4', 'rating': 3, 'draft': False, 'modifyDate': '2015-06-15T00:20:32Z', 'length': 3833, 'videoId': '', 'photoUrl': 'https://em.wattpad.com/335b62ba8b9d394fb4605ee5527725cda955942a/687474703a2f2f69313335352e70686f746f6275636b65742e636f6d2f616c62756d732f713731312f6977696c6c6c7576316434657665722f6574625f7a707361386132373134372e6a7067?s=fit&amp;h=360&amp;w=720&amp;q=80', 'commentCount': 749, 'voteCount': 7060, 'readCount': 277104}, {'id': 52358547, 'title': 'Escorting the Brute {5}', 'url': 'https://www.wattpad.com/52358547-escorting-the-brute-5', 'rating': 3, 'draft': False, 'modifyDate': '2014-06-05T19:24:15Z', 'length': 6855, 'videoId': '', 'photoUrl': '', 'commentCount': 325, 'voteCount': 6034, 'readCount': 282053}, {'id': 53367841, 'title': 'Escorting the Brute {6}', 'url': 'https://www.wattpad.com/53367841-escorting-the-brute-6', 'rating': 3, 'draft': False, 'modifyDate': '2014-06-05T20:52:02Z', 'length': 8740, 'videoId': '', 'photoUrl': '', 'commentCount': 627, 'voteCount': 6236, 'readCount': 297174}, {'id': 53475741, 'title': 'Escorting the Brute {7}', 'url': 'https://www.wattpad.com/53475741-escorting-the-brute-7', 'rating': 3, 'draft': False, 'modifyDate': '2014-07-16T16:45:09Z', 'length': 4551, 'videoId': '', 'photoUrl': '', 'commentCount': 979, 'voteCount': 5830, 'readCount': 261032}, {'id': 53810545, 'title': 'Escorting the Brute {8}', 'url': 'https://www.wattpad.com/53810545-escorting-the-brute-8', 'rating': 3, 'draft': False, 'modifyDate': '2014-07-16T16:46:30Z', 'length': 6852, 'videoId': '', 'photoUrl': '', 'commentCount': 940, 'voteCount': 5701, 'readCount': 250956}, {'id': 54122087, 'title': 'Escorting the Brute {9}', 'url': 'https://www.wattpad.com/54122087-escorting-the-brute-9', 'rating': 0, 'draft': False, 'modifyDate': '2014-06-18T15:07:57Z', 'length': 2953, 'videoId': '', 'photoUrl': '', 'commentCount': 419, 'voteCount': 5178, 'readCount': 234418}, {'id': 55925216, 'title': 'Escorting the Brute {10}', 'url': 'https://www.wattpad.com/55925216-escorting-the-brute-10', 'rating': 0, 'draft': False, 'modifyDate': '2014-07-01T09:29:46Z', 'length': 3068, 'videoId': '', 'photoUrl': '', 'commentCount': 625, 'voteCount': 5182, 'readCount': 239549}, {'id': 58636979, 'title': 'Escorting the Brute {11}', 'url': 'https://www.wattpad.com/58636979-escorting-the-brute-11', 'rating': 0, 'draft': False, 'modifyDate': '2014-07-08T18:30:17Z', 'length': 2267, 'videoId': '', 'photoUrl': '', 'commentCount': 381, 'voteCount': 4991, 'readCount': 229469}, {'id': 58661878, 'title': 'Escorting the Brute {12}', 'url': 'https://www.wattpad.com/58661878-escorting-the-brute-12', 'rating': 3, 'draft': False, 'modifyDate': '2014-07-08T22:01:46Z', 'length': 3402, 'videoId': '', 'photoUrl': '', 'commentCount': 286, 'voteCount': 5205, 'readCount': 224607}, {'id': 58685973, 'title': 'Escorting the Brute {13}', 'url': 'https://www.wattpad.com/58685973-escorting-the-brute-13', 'rating': 0, 'draft': False, 'modifyDate': '2014-07-09T00:30:29Z', 'length': 3798, 'videoId': '', 'photoUrl': '', 'commentCount': 460, 'voteCount': 4790, 'readCount': 213228}, {'id': 58816567, 'title': 'Escorting the Brute {14}', 'url': 'https://www.wattpad.com/58816567-escorting-the-brute-14', 'rating': 0, 'draft': False, 'modifyDate': '2014-07-09T19:51:05Z', 'length': 3179, 'videoId': '', 'photoUrl': '', 'commentCount': 422, 'voteCount': 4929, 'readCount': 215127}, {'id': 59044755, 'title': 'A/N', 'url': 'https://www.wattpad.com/59044755-escorting-the-brute-a-n', 'rating': 0, 'draft': False, 'modifyDate': '2014-07-11T00:41:11Z', 'length': 205, 'videoId': '', 'photoUrl': '', 'commentCount': 17, 'voteCount': 2073, 'readCount': 196406}, {'id': 59182517, 'title': 'Escorting the Brute {15}', 'url': 'https://www.wattpad.com/59182517-escorting-the-brute-15', 'rating': 0, 'draft': False, 'modifyDate': '2014-07-12T20:44:40Z', 'length': 5075, 'videoId': '', 'photoUrl': 'https://em.wattpad.com/0c924e3d111ee9c5f1a93a3b9ba698a30f9be0be/687474703a2f2f69313335352e70686f746f6275636b65742e636f6d2f616c62756d732f713731312f6977696c6c6c7576316434657665722f4d6f62696c6525323055706c6f6164732f6d7573636c655f626172726965725f31376f7632746d2d31376f763274705f32303134303731323132323734393732325f7a707364313961636366372e6a7067?s=fit&amp;h=360&amp;w=720&amp;q=80', 'commentCount': 250, 'voteCount': 4985, 'readCount': 222472}, {'id': 60097444, 'title': 'Escorting the Brute {16}', 'url': 'https://www.wattpad.com/60097444-escorting-the-brute-16', 'rating': 3, 'draft': False, 'modifyDate': '2014-07-17T15:47:52Z', 'length': 7175, 'videoId': '', 'photoUrl': '', 'commentCount': 936, 'voteCount': 4872, 'readCount': 230893}, {'id': 60272207, 'title': 'Escorting the Brute {17}', 'url': 'https://www.wattpad.com/60272207-escorting-the-brute-17', 'rating': 3, 'draft': False, 'modifyDate': '2014-07-17T20:01:14Z', 'length': 3739, 'videoId': '', 'photoUrl': 'https://em.wattpad.com/3dd962d976b18111dd5155cf2b2f9c58764fb53e/687474703a2f2f69313335352e70686f746f6275636b65742e636f6d2f616c62756d732f713731312f6977696c6c6c7576316434657665722f6b61742d6261696c6573735f7a707331336464373366352e6a7067?s=fit&amp;h=360&amp;w=720&amp;q=80', 'commentCount': 784, 'voteCount': 4605, 'readCount': 206964}, {'id': 61421086, 'title': 'Escorting the Brute {18}', 'url': 'https://www.wattpad.com/61421086-escorting-the-brute-18', 'rating': 3, 'draft': False, 'modifyDate': '2014-09-21T18:21:20Z', 'length': 5868, 'videoId': '', 'photoUrl': '', 'commentCount': 322, 'voteCount': 4503, 'readCount': 215096}, {'id': 62364872, 'title': 'Escorting the Brute {19}', 'url': 'https://www.wattpad.com/62364872-escorting-the-brute-19', 'rating': 3, 'draft': False, 'modifyDate': '2014-07-29T00:43:51Z', 'length': 8091, 'videoId': '', 'photoUrl': '', 'commentCount': 413, 'voteCount': 4613, 'readCount': 211284}, {'id': 62491661, 'title': 'Escorting the Brute {20}', 'url': 'https://www.wattpad.com/62491661-escorting-the-brute-20', 'rating': 0, 'draft': False, 'modifyDate': '2014-07-29T17:55:50Z', 'length': 4796, 'videoId': '', 'photoUrl': '', 'commentCount': 1247, 'voteCount': 4552, 'readCount': 197579}, {'id': 62750780, 'title': 'Escorting the Brute {21}', 'url': 'https://www.wattpad.com/62750780-escorting-the-brute-21', 'rating': 3, 'draft': False, 'modifyDate': '2014-07-31T07:37:11Z', 'length': 5014, 'videoId': '', 'photoUrl': '', 'commentCount': 751, 'voteCount': 4922, 'readCount': 187710}, {'id': 63905331, 'title': 'Escorting the Brute {22}', 'url': 'https://www.wattpad.com/63905331-escorting-the-brute-22', 'rating': 3, 'draft': False, 'modifyDate': '2014-08-07T14:58:14Z', 'length': 7236, 'videoId': '', 'photoUrl': '', 'commentCount': 237, 'voteCount': 4264, 'readCount': 185791}, {'id': 64181587, 'title': 'Escorting the Brute {22.5}', 'url': 'https://www.wattpad.com/64181587-escorting-the-brute-22-5', 'rating': 0, 'draft': False, 'modifyDate': '2014-08-08T00:48:17Z', 'length': 2820, 'videoId': '', 'photoUrl': '', 'commentCount': 461, 'voteCount': 3958, 'readCount': 175973}, {'id': 64372975, 'title': 'Escorting the Brute {23}', 'url': 'https://www.wattpad.com/64372975-escorting-the-brute-23', 'rating': 0, 'draft': False, 'modifyDate': '2014-08-08T15:23:19Z', 'length': 3568, 'videoId': '', 'photoUrl': '', 'commentCount': 431, 'voteCount': 4348, 'readCount': 176739}, {'id': 65558185, 'title': 'Escorting the Brute {24}', 'url': 'https://www.wattpad.com/65558185-escorting-the-brute-24', 'rating': 0, 'draft': False, 'modifyDate': '2014-08-14T21:24:06Z', 'length': 5266, 'videoId': '', 'photoUrl': '', 'commentCount': 354, 'voteCount': 4821, 'readCount': 178509}, {'id': 66125131, 'title': 'Escorting the Brute {25}', 'url': 'https://www.wattpad.com/66125131-escorting-the-brute-25', 'rating': 0, 'draft': False, 'modifyDate': '2014-10-13T13:45:31Z', 'length': 3385, 'videoId': '', 'photoUrl': '', 'commentCount': 181, 'voteCount': 4722, 'readCount': 177046}, {'id': 67641575, 'title': 'Escorting the Brute {26}', 'url': 'https://www.wattpad.com/67641575-escorting-the-brute-26', 'rating': 0, 'draft': False, 'modifyDate': '2014-08-26T00:13:05Z', 'length': 3290, 'videoId': '', 'photoUrl': '', 'commentCount': 460, 'voteCount': 4734, 'readCount': 172988}, {'id': 68090973, 'title': 'Escorting the Brute {27}', 'url': 'https://www.wattpad.com/68090973-escorting-the-brute-27', 'rating': 3, 'draft': False, 'modifyDate': '2014-08-28T17:25:54Z', 'length': 5939, 'videoId': '', 'photoUrl': '', 'commentCount': 151, 'voteCount': 4847, 'readCount': 180365}, {'id': 69639006, 'title': 'Escorting the Brute {28}', 'url': 'https://www.wattpad.com/69639006-escorting-the-brute-28', 'rating': 0, 'draft': False, 'modifyDate': '2014-09-06T15:54:45Z', 'length': 6025, 'videoId': '', 'photoUrl': '', 'commentCount': 379, 'voteCount': 5044, 'readCount': 182710}, {'id': 71373609, 'title': 'Escorting the Brute {29 pt.1}', 'url': 'https://www.wattpad.com/71373609-escorting-the-brute-29-pt-1', 'rating': 3, 'draft': False, 'modifyDate': '2014-09-17T02:57:29Z', 'length': 4350, 'videoId': '', 'photoUrl': 'https://em.wattpad.com/da4ceffba58014c5697432174c9ccc19f38e86d3/687474703a2f2f69313335342e70686f746f6275636b65742e636f6d2f616c62756d732f713639332f5261797a4c6974746c6548656c6c2f486f72726f72253230486f74746965732532306f6625323074686525323059656172253230323031302f31325f7a707330353365383463622e6a7067?s=fit&amp;h=360&amp;w=720&amp;q=80', 'commentCount': 355, 'voteCount': 4502, 'readCount': 169054}, {'id': 71524640, 'title': 'Escorting the Brute {29 pt.2}', 'url': 'https://www.wattpad.com/71524640-escorting-the-brute-29-pt-2', 'rating': 0, 'draft': False, 'modifyDate': '2014-09-18T00:50:45Z', 'length': 2569, 'videoId': '', 'photoUrl': '', 'commentCount': 250, 'voteCount': 4908, 'readCount': 151076}, {'id': 72789977, 'title': 'Escorting the Brute {30}', 'url': 'https://www.wattpad.com/72789977-escorting-the-brute-30', 'rating': 3, 'draft': False, 'modifyDate': '2014-09-26T01:19:32Z', 'length': 3676, 'videoId': '', 'photoUrl': '', 'commentCount': 179, 'voteCount': 4445, 'readCount': 152114}, {'id': 73079933, 'title': 'Escorting the Brute {31}', 'url': 'https://www.wattpad.com/73079933-escorting-the-brute-31', 'rating': 3, 'draft': False, 'modifyDate': '2014-09-27T18:26:41Z', 'length': 9455, 'videoId': '', 'photoUrl': '', 'commentCount': 396, 'voteCount': 4777, 'readCount': 167656}, {'id': 76049600, 'title': 'Escorting the Brute {32}', 'url': 'https://www.wattpad.com/76049600-escorting-the-brute-32', 'rating': 0, 'draft': False, 'modifyDate': '2014-10-14T21:55:34Z', 'length': 8510, 'videoId': 'a-j86tzxi8s', 'photoUrl': 'https://d.wattpad.com/story_parts/76049600/images/139d1e6aa35f7c1a.jpg', 'commentCount': 434, 'voteCount': 3907, 'readCount': 152051}, {'id': 76072785, 'title': 'A\\\\N Epilogue &amp; Sequel', 'url': 'https://www.wattpad.com/76072785-escorting-the-brute-a-n-epilogue-sequel', 'rating': 0, 'draft': False, 'modifyDate': '2014-10-14T22:55:21Z', 'length': 687, 'videoId': '', 'photoUrl': 'https://d.wattpad.com/story_parts/76072785/images/139d25bc0bc5fac1.jpg', 'commentCount': 94, 'voteCount': 1989, 'readCount': 114782}, {'id': 76088428, 'title': 'Epilogue', 'url': 'https://www.wattpad.com/76088428-escorting-the-brute-epilogue', 'rating': 0, 'draft': False, 'modifyDate': '2014-12-22T17:31:05Z', 'length': 5162, 'videoId': '', 'photoUrl': 'https://d.wattpad.com/story_parts/76088428/images/139d2ad2def20c23.jpg', 'commentCount': 699, 'voteCount': 5494, 'readCount': 166597}]", 3, 8551927, '[]', 'Escorting the Brute', 'https://www.wattpad.com/story/16618124-escorting-the-brute', 'https://a.wattpad.com/useravatar/iwillluv1d4ever.128.809982.jpg', 'Q.', 'iwillluv1d4ever', 189261], [19, 9715, True, 0, 'https://a.wattpad.com/cover/42937930-256-k992146.jpg', '2015-06-22T23:55:46Z', '2015-06-22T23:55:09Z', False, 'yessss!!!!', 141082265, '2015-06-23T02:59:41Z', 141082265, 42937930, 1, 'English', '2015-06-23T03:06:30Z', 141082405, 2204, False, '2015-08-16T08:07:12Z', 16, "[{'id': 141082265, 'title': 'lol!', 'url': 'https://www.wattpad.com/141082265-%E2%9D%87awsome-comebacks%E2%9D%87-lol', 'rating': 0, 'draft': False, 'modifyDate': '2015-06-23T02:59:42Z', 'length': 119, 'videoId': '', 'photoUrl': '', 'commentCount': 905, 'voteCount': 2134, 'readCount': 131989}, {'id': 141082305, 'title': 'oh no!', 'url': 'https://www.wattpad.com/141082305-%E2%9D%87awsome-comebacks%E2%9D%87-oh-no', 'rating': 0, 'draft': False, 'modifyDate': '2015-06-23T02:59:55Z', 'length': 249, 'videoId': '', 'photoUrl': '', 'commentCount': 490, 'voteCount': 1986, 'readCount': 119221}, {'id': 141082311, 'title': 'funny!', 'url': 'https://www.wattpad.com/141082311-%E2%9D%87awsome-comebacks%E2%9D%87-funny', 'rating': 0, 'draft': False, 'modifyDate': '2015-06-23T03:00:13Z', 'length': 152, 'videoId': '', 'photoUrl': '', 'commentCount': 825, 'voteCount': 2990, 'readCount': 108381}, {'id': 141082314, 'title': 'umm....', 'url': 'https://www.wattpad.com/141082314-%E2%9D%87awsome-comebacks%E2%9D%87-umm', 'rating': 0, 'draft': False, 'modifyDate': '2015-06-23T03:00:32Z', 'length': 97, 'videoId': '', 'photoUrl': '', 'commentCount': 771, 'voteCount': 5208, 'readCount': 100610}, {'id': 141082316, 'title': 'teachers!', 'url': 'https://www.wattpad.com/141082316-%E2%9D%87awsome-comebacks%E2%9D%87-teachers', 'rating': 0, 'draft': False, 'modifyDate': '2015-06-23T03:00:50Z', 'length': 103, 'videoId': '', 'photoUrl': '', 'commentCount': 787, 'voteCount': 3183, 'readCount': 95543}, {'id': 141082326, 'title': 'okay', 'url': 'https://www.wattpad.com/141082326-%E2%9D%87awsome-comebacks%E2%9D%87-okay', 'rating': 0, 'draft': False, 'modifyDate': '2015-06-23T03:01:19Z', 'length': 150, 'videoId': '', 'photoUrl': '', 'commentCount': 471, 'voteCount': 2297, 'readCount': 90071}, {'id': 141082338, 'title': 'not really a comeback', 'url': 'https://www.wattpad.com/141082338-%E2%9D%87awsome-comebacks%E2%9D%87-not-really-a-comeback', 'rating': 0, 'draft': False, 'modifyDate': '2015-06-23T03:02:18Z', 'length': 59, 'videoId': '', 'photoUrl': '', 'commentCount': 394, 'voteCount': 2335, 'readCount': 84782}, {'id': 141082343, 'title': 'to the person you hate', 'url': 'https://www.wattpad.com/141082343-%E2%9D%87awsome-comebacks%E2%9D%87-to-the-person-you-hate', 'rating': 0, 'draft': False, 'modifyDate': '2015-06-23T03:03:03Z', 'length': 123, 'videoId': '', 'photoUrl': '', 'commentCount': 579, 'voteCount': 2494, 'readCount': 81407}, {'id': 141082356, 'title': 'haha', 'url': 'https://www.wattpad.com/141082356-%E2%9D%87awsome-comebacks%E2%9D%87-haha', 'rating': 0, 'draft': False, 'modifyDate': '2015-06-23T03:03:10Z', 'length': 262, 'videoId': '', 'photoUrl': '', 'commentCount': 588, 'voteCount': 1781, 'readCount': 79462}, {'id': 141082361, 'title': 'not really a comeback #2', 'url': 'https://www.wattpad.com/141082361-%E2%9D%87awsome-comebacks%E2%9D%87-not-really-a-comeback-2', 'rating': 0, 'draft': False, 'modifyDate': '2015-06-23T03:03:26Z', 'length': 87, 'videoId': '', 'photoUrl': '', 'commentCount': 481, 'voteCount': 1928, 'readCount': 73456}, {'id': 141082369, 'title': 'why do we need school', 'url': 'https://www.wattpad.com/141082369-%E2%9D%87awsome-comebacks%E2%9D%87-why-do-we-need-school', 'rating': 0, 'draft': False, 'modifyDate': '2015-06-23T03:03:37Z', 'length': 191, 'videoId': '', 'photoUrl': '', 'commentCount': 1527, 'voteCount': 2632, 'readCount': 72657}, {'id': 141082375, 'title': 'poopfaces', 'url': 'https://www.wattpad.com/141082375-%E2%9D%87awsome-comebacks%E2%9D%87-poopfaces', 'rating': 0, 'draft': False, 'modifyDate': '2015-06-23T03:05:48Z', 'length': 94, 'videoId': '', 'photoUrl': '', 'commentCount': 169, 'voteCount': 1889, 'readCount': 68187}, {'id': 141082382, 'title': 'mmhhmm!', 'url': 'https://www.wattpad.com/141082382-%E2%9D%87awsome-comebacks%E2%9D%87-mmhhmm', 'rating': 0, 'draft': False, 'modifyDate': '2015-06-23T03:05:55Z', 'length': 159, 'videoId': '', 'photoUrl': '', 'commentCount': 532, 'voteCount': 2084, 'readCount': 61741}, {'id': 141082390, 'title': 'gotta tell ya', 'url': 'https://www.wattpad.com/141082390-%E2%9D%87awsome-comebacks%E2%9D%87-gotta-tell-ya', 'rating': 0, 'draft': False, 'modifyDate': '2015-06-23T03:06:01Z', 'length': 104, 'videoId': '', 'photoUrl': '', 'commentCount': 465, 'voteCount': 997, 'readCount': 57099}, {'id': 141082397, 'title': 'okay okay im back!', 'url': 'https://www.wattpad.com/141082397-%E2%9D%87awsome-comebacks%E2%9D%87-okay-okay-im-back', 'rating': 0, 'draft': False, 'modifyDate': '2015-06-23T03:06:12Z', 'length': 165, 'videoId': '', 'photoUrl': '', 'commentCount': 527, 'voteCount': 2294, 'readCount': 55282}, {'id': 141082405, 'title': 'im done', 'url': 'https://www.wattpad.com/141082405-%E2%9D%87awsome-comebacks%E2%9D%87-im-done', 'rating': 0, 'draft': False, 'modifyDate': '2015-06-23T03:06:30Z', 'length': 90, 'videoId': '', 'photoUrl': '', 'commentCount': 204, 'voteCount': 927, 'readCount': 59929}]", 0, 1339809, "['dumb', 'funny', 'listen', 'nothing', 'okay']", '❇awsome comebacks❇', 'https://www.wattpad.com/story/42937930-%E2%9D%87awsome-comebacks%E2%9D%87', 'https://a.wattpad.com/useravatar/kittygirl_121604.128.186602.jpg', nan, 'kittygirl_121604', 37159]]</t>
  </si>
  <si>
    <t>[[19, 5187, True, 1, 'https://a.wattpad.com/cover/12050237-256-k991849.jpg', '2014-01-29T18:37:29Z', '2014-01-29T16:24:42Z', False, "Fina is a Enforcers Daughter, she's been harshly trained by her father all her life. On the night of the change, to which you could find your soul mate- Fina finds hers. He's of course the soon to be Alpha, however he doesn't want her. Its not sweat off Fina's back, she's more worried about her Family finding out then being rejected. Her feet carry her to a deeper part of the forest, one she shouldn't of gone into. When things twist and stories become a reality Fina will have to pick what side she wants to be part of.", 36978107, '2014-01-29T18:42:05Z', 36978235, 12050237, 1, 'English', '2014-01-30T19:11:05Z', 37087582, 407525, False, '2015-01-27T10:47:41Z', 37, "[{'id': 36978107, 'title': 'Prologue', 'url': 'https://www.wattpad.com/36978107-hadar-watty2014-prologue', 'rating': 3, 'draft': False, 'modifyDate': '2014-11-13T01:39:15Z', 'length': 1628, 'videoId': '', 'photoUrl': '', 'commentCount': 81, 'voteCount': 3395, 'readCount': 137303}, {'id': 36978235, 'title': 'Chapter 1', 'url': 'https://www.wattpad.com/36978235-hadar-watty2014-chapter-1', 'rating': 3, 'draft': False, 'modifyDate': '2014-02-26T00:45:00Z', 'length': 10050, 'videoId': '', 'photoUrl': '', 'commentCount': 232, 'voteCount': 3344, 'readCount': 106789}, {'id': 36978821, 'title': 'Chapter 2', 'url': 'https://www.wattpad.com/36978821-hadar-watty2014-chapter-2', 'rating': 3, 'draft': False, 'modifyDate': '2014-01-29T18:42:18Z', 'length': 10093, 'videoId': '', 'photoUrl': '', 'commentCount': 109, 'voteCount': 3406, 'readCount': 81366}, {'id': 36979152, 'title': 'Chapter 3', 'url': 'https://www.wattpad.com/36979152-hadar-watty2014-chapter-3', 'rating': 3, 'draft': False, 'modifyDate': '2014-01-29T18:50:53Z', 'length': 6597, 'videoId': '', 'photoUrl': '', 'commentCount': 234, 'voteCount': 3489, 'readCount': 75063}, {'id': 36979368, 'title': 'Chapter 4', 'url': 'https://www.wattpad.com/36979368-hadar-watty2014-chapter-4', 'rating': 3, 'draft': False, 'modifyDate': '2014-01-29T18:54:47Z', 'length': 7543, 'videoId': '', 'photoUrl': '', 'commentCount': 292, 'voteCount': 3223, 'readCount': 75257}, {'id': 36979566, 'title': 'Chapter 5', 'url': 'https://www.wattpad.com/36979566-hadar-watty2014-chapter-5', 'rating': 3, 'draft': False, 'modifyDate': '2014-01-29T18:55:13Z', 'length': 6834, 'videoId': '', 'photoUrl': '', 'commentCount': 130, 'voteCount': 3276, 'readCount': 73358}, {'id': 36979779, 'title': 'Chapter 6', 'url': 'https://www.wattpad.com/36979779-hadar-watty2014-chapter-6', 'rating': 3, 'draft': False, 'modifyDate': '2014-01-29T18:55:37Z', 'length': 10459, 'videoId': '', 'photoUrl': '', 'commentCount': 210, 'voteCount': 3194, 'readCount': 80253}, {'id': 36980251, 'title': 'Chapter 7', 'url': 'https://www.wattpad.com/36980251-hadar-watty2014-chapter-7', 'rating': 3, 'draft': False, 'modifyDate': '2014-01-29T18:57:11Z', 'length': 11867, 'videoId': '', 'photoUrl': '', 'commentCount': 236, 'voteCount': 3431, 'readCount': 81657}, {'id': 36980479, 'title': 'Chapter 8', 'url': 'https://www.wattpad.com/36980479-hadar-watty2014-chapter-8', 'rating': 3, 'draft': False, 'modifyDate': '2014-01-29T20:29:11Z', 'length': 6869, 'videoId': '', 'photoUrl': '', 'commentCount': 121, 'voteCount': 3086, 'readCount': 77282}, {'id': 36980663, 'title': 'Chapter 9', 'url': 'https://www.wattpad.com/36980663-hadar-watty2014-chapter-9', 'rating': 3, 'draft': False, 'modifyDate': '2014-01-29T20:57:33Z', 'length': 10071, 'videoId': '', 'photoUrl': '', 'commentCount': 107, 'voteCount': 2945, 'readCount': 72919}, {'id': 36980927, 'title': 'Chapter 10', 'url': 'https://www.wattpad.com/36980927-hadar-watty2014-chapter-10', 'rating': 3, 'draft': False, 'modifyDate': '2014-01-29T21:30:01Z', 'length': 12195, 'videoId': '', 'photoUrl': '', 'commentCount': 96, 'voteCount': 3207, 'readCount': 74331}, {'id': 36981341, 'title': 'Chapter 11', 'url': 'https://www.wattpad.com/36981341-hadar-watty2014-chapter-11', 'rating': 3, 'draft': False, 'modifyDate': '2014-02-26T01:30:30Z', 'length': 11252, 'videoId': '', 'photoUrl': '', 'commentCount': 393, 'voteCount': 3125, 'readCount': 74507}, {'id': 36982017, 'title': 'Chapter 12', 'url': 'https://www.wattpad.com/36982017-hadar-watty2014-chapter-12', 'rating': 3, 'draft': False, 'modifyDate': '2014-01-29T22:59:44Z', 'length': 10929, 'videoId': '', 'photoUrl': '', 'commentCount': 241, 'voteCount': 3011, 'readCount': 78955}, {'id': 36982320, 'title': 'Chapter 13', 'url': 'https://www.wattpad.com/36982320-hadar-watty2014-chapter-13', 'rating': 3, 'draft': False, 'modifyDate': '2014-01-29T22:59:58Z', 'length': 6860, 'videoId': '', 'photoUrl': '', 'commentCount': 125, 'voteCount': 2858, 'readCount': 67398}, {'id': 36982837, 'title': 'Chapter 14', 'url': 'https://www.wattpad.com/36982837-hadar-watty2014-chapter-14', 'rating': 3, 'draft': False, 'modifyDate': '2014-01-29T23:00:10Z', 'length': 10349, 'videoId': '', 'photoUrl': '', 'commentCount': 159, 'voteCount': 2868, 'readCount': 72343}, {'id': 36983243, 'title': 'Chapter 15', 'url': 'https://www.wattpad.com/36983243-hadar-watty2014-chapter-15', 'rating': 3, 'draft': False, 'modifyDate': '2014-01-30T00:56:50Z', 'length': 9840, 'videoId': '', 'photoUrl': '', 'commentCount': 98, 'voteCount': 2825, 'readCount': 69102}, {'id': 36983590, 'title': 'Chapter 16', 'url': 'https://www.wattpad.com/36983590-hadar-watty2014-chapter-16', 'rating': 3, 'draft': False, 'modifyDate': '2014-01-30T01:44:54Z', 'length': 10481, 'videoId': '', 'photoUrl': '', 'commentCount': 91, 'voteCount': 2912, 'readCount': 70572}, {'id': 36984077, 'title': 'Chapter 17', 'url': 'https://www.wattpad.com/36984077-hadar-watty2014-chapter-17', 'rating': 3, 'draft': False, 'modifyDate': '2014-01-30T04:16:30Z', 'length': 11398, 'videoId': '', 'photoUrl': '', 'commentCount': 215, 'voteCount': 2767, 'readCount': 69344}, {'id': 36984452, 'title': 'Chapter 18', 'url': 'https://www.wattpad.com/36984452-hadar-watty2014-chapter-18', 'rating': 3, 'draft': False, 'modifyDate': '2014-01-30T06:58:11Z', 'length': 8700, 'videoId': '', 'photoUrl': '', 'commentCount': 93, 'voteCount': 3050, 'readCount': 64788}, {'id': 36984718, 'title': 'Chapter 19', 'url': 'https://www.wattpad.com/36984718-hadar-watty2014-chapter-19', 'rating': 3, 'draft': False, 'modifyDate': '2015-01-27T10:47:41Z', 'length': 11082, 'videoId': '', 'photoUrl': '', 'commentCount': 124, 'voteCount': 2937, 'readCount': 65422}, {'id': 36984883, 'title': 'Chapter 20', 'url': 'https://www.wattpad.com/36984883-hadar-watty2014-chapter-20', 'rating': 3, 'draft': False, 'modifyDate': '2014-01-30T07:59:59Z', 'length': 10433, 'videoId': '', 'photoUrl': '', 'commentCount': 70, 'voteCount': 2881, 'readCount': 70298}, {'id': 37051288, 'title': 'Chapter 21', 'url': 'https://www.wattpad.com/37051288-hadar-watty2014-chapter-21', 'rating': 3, 'draft': False, 'modifyDate': '2014-01-30T08:11:35Z', 'length': 11957, 'videoId': '', 'photoUrl': '', 'commentCount': 82, 'voteCount': 2654, 'readCount': 68405}, {'id': 37051425, 'title': 'Chapter 22', 'url': 'https://www.wattpad.com/37051425-hadar-watty2014-chapter-22', 'rating': 3, 'draft': False, 'modifyDate': '2014-01-30T08:16:16Z', 'length': 11898, 'videoId': '', 'photoUrl': '', 'commentCount': 139, 'voteCount': 2521, 'readCount': 67150}, {'id': 37051708, 'title': 'Chapter 23', 'url': 'https://www.wattpad.com/37051708-hadar-watty2014-chapter-23', 'rating': 3, 'draft': False, 'modifyDate': '2014-01-30T16:58:00Z', 'length': 11772, 'videoId': '', 'photoUrl': '', 'commentCount': 72, 'voteCount': 2652, 'readCount': 67618}, {'id': 37051912, 'title': 'Chapter 24', 'url': 'https://www.wattpad.com/37051912-hadar-watty2014-chapter-24', 'rating': 3, 'draft': False, 'modifyDate': '2014-01-30T18:15:57Z', 'length': 13288, 'videoId': '', 'photoUrl': '', 'commentCount': 103, 'voteCount': 2600, 'readCount': 69575}, {'id': 37052197, 'title': 'Chapter 25', 'url': 'https://www.wattpad.com/37052197-hadar-watty2014-chapter-25', 'rating': 3, 'draft': False, 'modifyDate': '2014-01-30T18:16:11Z', 'length': 13075, 'videoId': '', 'photoUrl': '', 'commentCount': 43, 'voteCount': 2654, 'readCount': 63485}, {'id': 37052370, 'title': 'Chapter 26', 'url': 'https://www.wattpad.com/37052370-hadar-watty2014-chapter-26', 'rating': 3, 'draft': False, 'modifyDate': '2014-01-30T18:16:24Z', 'length': 14844, 'videoId': '', 'photoUrl': '', 'commentCount': 163, 'voteCount': 2862, 'readCount': 68434}, {'id': 37086017, 'title': 'Chapter 27', 'url': 'https://www.wattpad.com/37086017-hadar-watty2014-chapter-27', 'rating': 3, 'draft': False, 'modifyDate': '2014-01-30T18:49:43Z', 'length': 12832, 'videoId': '', 'photoUrl': '', 'commentCount': 45, 'voteCount': 2461, 'readCount': 64610}, {'id': 37086150, 'title': 'Chapter 28', 'url': 'https://www.wattpad.com/37086150-hadar-watty2014-chapter-28', 'rating': 3, 'draft': False, 'modifyDate': '2014-01-30T18:50:54Z', 'length': 11266, 'videoId': '', 'photoUrl': '', 'commentCount': 26, 'voteCount': 2485, 'readCount': 72790}, {'id': 37086308, 'title': 'Chapter 29', 'url': 'https://www.wattpad.com/37086308-hadar-watty2014-chapter-29', 'rating': 3, 'draft': False, 'modifyDate': '2014-01-30T18:53:38Z', 'length': 13549, 'videoId': '', 'photoUrl': '', 'commentCount': 37, 'voteCount': 2512, 'readCount': 66353}, {'id': 37086422, 'title': 'Chapter 30', 'url': 'https://www.wattpad.com/37086422-hadar-watty2014-chapter-30', 'rating': 3, 'draft': False, 'modifyDate': '2014-01-30T18:55:39Z', 'length': 14554, 'videoId': '', 'photoUrl': '', 'commentCount': 38, 'voteCount': 2499, 'readCount': 66438}, {'id': 37086533, 'title': 'Chapter 31', 'url': 'https://www.wattpad.com/37086533-hadar-watty2014-chapter-31', 'rating': 3, 'draft': False, 'modifyDate': '2014-01-30T18:59:23Z', 'length': 11978, 'videoId': '', 'photoUrl': '', 'commentCount': 136, 'voteCount': 2514, 'readCount': 60066}, {'id': 37086835, 'title': 'Chapter 32', 'url': 'https://www.wattpad.com/37086835-hadar-watty2014-chapter-32', 'rating': 3, 'draft': False, 'modifyDate': '2014-01-30T19:01:11Z', 'length': 18060, 'videoId': '', 'photoUrl': '', 'commentCount': 240, 'voteCount': 2374, 'readCount': 60649}, {'id': 37086934, 'title': 'Chapter 33', 'url': 'https://www.wattpad.com/37086934-hadar-watty2014-chapter-33', 'rating': 3, 'draft': False, 'modifyDate': '2014-01-30T19:04:19Z', 'length': 16490, 'videoId': '', 'photoUrl': '', 'commentCount': 48, 'voteCount': 2324, 'readCount': 55177}, {'id': 37087103, 'title': 'Chapter 35', 'url': 'https://www.wattpad.com/37087103-hadar-watty2014-chapter-35', 'rating': 3, 'draft': False, 'modifyDate': '2014-01-30T19:06:15Z', 'length': 16172, 'videoId': '', 'photoUrl': '', 'commentCount': 54, 'voteCount': 2389, 'readCount': 58312}, {'id': 37087370, 'title': 'Chapter 36', 'url': 'https://www.wattpad.com/37087370-hadar-watty2014-chapter-36', 'rating': 3, 'draft': False, 'modifyDate': '2014-01-30T19:08:34Z', 'length': 17344, 'videoId': '', 'photoUrl': '', 'commentCount': 176, 'voteCount': 2669, 'readCount': 66678}, {'id': 37087582, 'title': 'Epilogue', 'url': 'https://www.wattpad.com/37087582-hadar-watty2014-epilogue', 'rating': 3, 'draft': False, 'modifyDate': '2014-01-30T19:11:05Z', 'length': 2916, 'videoId': '', 'photoUrl': '', 'commentCount': 328, 'voteCount': 3444, 'readCount': 74864}]", 3, 2688905, "['alpha', 'curse', 'luna', 'magic', 'power', 'rejection', 'watty2014', 'wolves']", 'Hadar #Watty2014', 'https://www.wattpad.com/story/12050237-hadar-watty2014', 'https://a.wattpad.com/useravatar/RevyRogue.128.491090.jpg', 'Reviana', 'RevyRogue', 106844], [19, 20018, True, 0, 'https://a.wattpad.com/cover/16618124-256-k662662.jpg', '2014-09-25T23:31:02Z', '2014-05-20T12:25:26Z', False, nan, 50914516, '2014-05-21T07:07:47Z', 50914516, 16618124, 1, 'English', '2014-10-15T00:28:42Z', 76088428, 175785, False, '2015-06-15T00:20:39Z', 38, "[{'id': 50914516, 'title': 'Escorting the Brute', 'url': 'https://www.wattpad.com/50914516-escorting-the-brute', 'rating': 0, 'draft': False, 'modifyDate': '2015-06-15T07:20:36Z', 'length': 83, 'videoId': '', 'photoUrl': '', 'commentCount': 360, 'voteCount': 5299, 'readCount': 626963}, {'id': 51381941, 'title': 'Escorting the Brute {1}', 'url': 'https://www.wattpad.com/51381941-escorting-the-brute-1', 'rating': 3, 'draft': False, 'modifyDate': '2014-08-09T03:43:28Z', 'length': 3742, 'videoId': '', 'photoUrl': '', 'commentCount': 2520, 'voteCount': 7513, 'readCount': 417286}, {'id': 51548344, 'title': 'Escorting the Brute {2}', 'url': 'https://www.wattpad.com/51548344-escorting-the-brute-2', 'rating': 3, 'draft': False, 'modifyDate': '2014-05-26T14:54:33Z', 'length': 7747, 'videoId': '', 'photoUrl': '', 'commentCount': 745, 'voteCount': 7037, 'readCount': 334663}, {'id': 51834345, 'title': 'Escorting the Brute {3}', 'url': 'https://www.wattpad.com/51834345-escorting-the-brute-3', 'rating': 3, 'draft': False, 'modifyDate': '2014-05-26T16:53:40Z', 'length': 2814, 'videoId': '', 'photoUrl': '', 'commentCount': 399, 'voteCount': 6396, 'readCount': 277056}, {'id': 51980691, 'title': 'Escorting the Brute {4}', 'url': 'https://www.wattpad.com/51980691-escorting-the-brute-4', 'rating': 3, 'draft': False, 'modifyDate': '2015-06-15T00:20:32Z', 'length': 3833, 'videoId': '', 'photoUrl': 'https://em.wattpad.com/335b62ba8b9d394fb4605ee5527725cda955942a/687474703a2f2f69313335352e70686f746f6275636b65742e636f6d2f616c62756d732f713731312f6977696c6c6c7576316434657665722f6574625f7a707361386132373134372e6a7067?s=fit&amp;h=360&amp;w=720&amp;q=80', 'commentCount': 749, 'voteCount': 7061, 'readCount': 277176}, {'id': 52358547, 'title': 'Escorting the Brute {5}', 'url': 'https://www.wattpad.com/52358547-escorting-the-brute-5', 'rating': 3, 'draft': False, 'modifyDate': '2014-06-05T19:24:15Z', 'length': 6855, 'videoId': '', 'photoUrl': '', 'commentCount': 325, 'voteCount': 6035, 'readCount': 282141}, {'id': 53367841, 'title': 'Escorting the Brute {6}', 'url': 'https://www.wattpad.com/53367841-escorting-the-brute-6', 'rating': 3, 'draft': False, 'modifyDate': '2014-06-05T20:52:02Z', 'length': 8740, 'videoId': '', 'photoUrl': '', 'commentCount': 627, 'voteCount': 6237, 'readCount': 297253}, {'id': 53475741, 'title': 'Escorting the Brute {7}', 'url': 'https://www.wattpad.com/53475741-escorting-the-brute-7', 'rating': 3, 'draft': False, 'modifyDate': '2014-07-16T16:45:09Z', 'length': 4551, 'videoId': '', 'photoUrl': '', 'commentCount': 979, 'voteCount': 5831, 'readCount': 261105}, {'id': 53810545, 'title': 'Escorting the Brute {8}', 'url': 'https://www.wattpad.com/53810545-escorting-the-brute-8', 'rating': 3, 'draft': False, 'modifyDate': '2014-07-16T16:46:30Z', 'length': 6852, 'videoId': '', 'photoUrl': '', 'commentCount': 940, 'voteCount': 5702, 'readCount': 251032}, {'id': 54122087, 'title': 'Escorting the Brute {9}', 'url': 'https://www.wattpad.com/54122087-escorting-the-brute-9', 'rating': 0, 'draft': False, 'modifyDate': '2014-06-18T15:07:57Z', 'length': 2953, 'videoId': '', 'photoUrl': '', 'commentCount': 419, 'voteCount': 5179, 'readCount': 234469}, {'id': 55925216, 'title': 'Escorting the Brute {10}', 'url': 'https://www.wattpad.com/55925216-escorting-the-brute-10', 'rating': 0, 'draft': False, 'modifyDate': '2014-07-01T09:29:46Z', 'length': 3068, 'videoId': '', 'photoUrl': '', 'commentCount': 625, 'voteCount': 5183, 'readCount': 239616}, {'id': 58636979, 'title': 'Escorting the Brute {11}', 'url': 'https://www.wattpad.com/58636979-escorting-the-brute-11', 'rating': 0, 'draft': False, 'modifyDate': '2014-07-08T18:30:17Z', 'length': 2267, 'videoId': '', 'photoUrl': '', 'commentCount': 381, 'voteCount': 4992, 'readCount': 229536}, {'id': 58661878, 'title': 'Escorting the Brute {12}', 'url': 'https://www.wattpad.com/58661878-escorting-the-brute-12', 'rating': 3, 'draft': False, 'modifyDate': '2014-07-08T22:01:46Z', 'length': 3402, 'videoId': '', 'photoUrl': '', 'commentCount': 286, 'voteCount': 5206, 'readCount': 224669}, {'id': 58685973, 'title': 'Escorting the Brute {13}', 'url': 'https://www.wattpad.com/58685973-escorting-the-brute-13', 'rating': 0, 'draft': False, 'modifyDate': '2014-07-09T00:30:29Z', 'length': 3798, 'videoId': '', 'photoUrl': '', 'commentCount': 460, 'voteCount': 4791, 'readCount': 213286}, {'id': 58816567, 'title': 'Escorting the Brute {14}', 'url': 'https://www.wattpad.com/58816567-escorting-the-brute-14', 'rating': 0, 'draft': False, 'modifyDate': '2014-07-09T19:51:05Z', 'length': 3179, 'videoId': '', 'photoUrl': '', 'commentCount': 422, 'voteCount': 4929, 'readCount': 215183}, {'id': 59044755, 'title': 'A/N', 'url': 'https://www.wattpad.com/59044755-escorting-the-brute-a-n', 'rating': 0, 'draft': False, 'modifyDate': '2014-07-11T00:41:11Z', 'length': 205, 'videoId': '', 'photoUrl': '', 'commentCount': 17, 'voteCount': 2073, 'readCount': 196453}, {'id': 59182517, 'title': 'Escorting the Brute {15}', 'url': 'https://www.wattpad.com/59182517-escorting-the-brute-15', 'rating': 0, 'draft': False, 'modifyDate': '2014-07-12T20:44:40Z', 'length': 5075, 'videoId': '', 'photoUrl': 'https://em.wattpad.com/0c924e3d111ee9c5f1a93a3b9ba698a30f9be0be/687474703a2f2f69313335352e70686f746f6275636b65742e636f6d2f616c62756d732f713731312f6977696c6c6c7576316434657665722f4d6f62696c6525323055706c6f6164732f6d7573636c655f626172726965725f31376f7632746d2d31376f763274705f32303134303731323132323734393732325f7a707364313961636366372e6a7067?s=fit&amp;h=360&amp;w=720&amp;q=80', 'commentCount': 250, 'voteCount': 4986, 'readCount': 222527}, {'id': 60097444, 'title': 'Escorting the Brute {16}', 'url': 'https://www.wattpad.com/60097444-escorting-the-brute-16', 'rating': 3, 'draft': False, 'modifyDate': '2014-07-17T15:47:52Z', 'length': 7175, 'videoId': '', 'photoUrl': '', 'commentCount': 936, 'voteCount': 4872, 'readCount': 230957}, {'id': 60272207, 'title': 'Escorting the Brute {17}', 'url': 'https://www.wattpad.com/60272207-escorting-the-brute-17', 'rating': 3, 'draft': False, 'modifyDate': '2014-07-17T20:01:14Z', 'length': 3739, 'videoId': '', 'photoUrl': 'https://em.wattpad.com/3dd962d976b18111dd5155cf2b2f9c58764fb53e/687474703a2f2f69313335352e70686f746f6275636b65742e636f6d2f616c62756d732f713731312f6977696c6c6c7576316434657665722f6b61742d6261696c6573735f7a707331336464373366352e6a7067?s=fit&amp;h=360&amp;w=720&amp;q=80', 'commentCount': 784, 'voteCount': 4605, 'readCount': 207017}, {'id': 61421086, 'title': 'Escorting the Brute {18}', 'url': 'https://www.wattpad.com/61421086-escorting-the-brute-18', 'rating': 3, 'draft': False, 'modifyDate': '2014-09-21T18:21:20Z', 'length': 5868, 'videoId': '', 'photoUrl': '', 'commentCount': 322, 'voteCount': 4503, 'readCount': 215159}, {'id': 62364872, 'title': 'Escorting the Brute {19}', 'url': 'https://www.wattpad.com/62364872-escorting-the-brute-19', 'rating': 3, 'draft': False, 'modifyDate': '2014-07-29T00:43:51Z', 'length': 8091, 'videoId': '', 'photoUrl': '', 'commentCount': 413, 'voteCount': 4613, 'readCount': 211334}, {'id': 62491661, 'title': 'Escorting the Brute {20}', 'url': 'https://www.wattpad.com/62491661-escorting-the-brute-20', 'rating': 0, 'draft': False, 'modifyDate': '2014-07-29T17:55:50Z', 'length': 4796, 'videoId': '', 'photoUrl': '', 'commentCount': 1247, 'voteCount': 4552, 'readCount': 197624}, {'id': 62750780, 'title': 'Escorting the Brute {21}', 'url': 'https://www.wattpad.com/62750780-escorting-the-brute-21', 'rating': 3, 'draft': False, 'modifyDate': '2014-07-31T00:37:11Z', 'length': 5014, 'videoId': '', 'photoUrl': '', 'commentCount': 751, 'voteCount': 4922, 'readCount': 187752}, {'id': 63905331, 'title': 'Escorting the Brute {22}', 'url': 'https://www.wattpad.com/63905331-escorting-the-brute-22', 'rating': 3, 'draft': False, 'modifyDate': '2014-08-07T14:58:14Z', 'length': 7236, 'videoId': '', 'photoUrl': '', 'commentCount': 237, 'voteCount': 4264, 'readCount': 185839}, {'id': 64181587, 'title': 'Escorting the Brute {22.5}', 'url': 'https://www.wattpad.com/64181587-escorting-the-brute-22-5', 'rating': 0, 'draft': False, 'modifyDate': '2014-08-08T00:48:17Z', 'length': 2820, 'videoId': '', 'photoUrl': '', 'commentCount': 461, 'voteCount': 3958, 'readCount': 176016}, {'id': 64372975, 'title': 'Escorting the Brute {23}', 'url': 'https://www.wattpad.com/64372975-escorting-the-brute-23', 'rating': 0, 'draft': False, 'modifyDate': '2014-08-08T15:23:19Z', 'length': 3568, 'videoId': '', 'photoUrl': '', 'commentCount': 431, 'voteCount': 4348, 'readCount': 176778}, {'id': 65558185, 'title': 'Escorting the Brute {24}', 'url': 'https://www.wattpad.com/65558185-escorting-the-brute-24', 'rating': 0, 'draft': False, 'modifyDate': '2014-08-14T21:24:06Z', 'length': 5266, 'videoId': '', 'photoUrl': '', 'commentCount': 354, 'voteCount': 4821, 'readCount': 178550}, {'id': 66125131, 'title': 'Escorting the Brute {25}', 'url': 'https://www.wattpad.com/66125131-escorting-the-brute-25', 'rating': 0, 'draft': False, 'modifyDate': '2014-10-13T13:45:31Z', 'length': 3385, 'videoId': '', 'photoUrl': '', 'commentCount': 181, 'voteCount': 4722, 'readCount': 177088}, {'id': 67641575, 'title': 'Escorting the Brute {26}', 'url': 'https://www.wattpad.com/67641575-escorting-the-brute-26', 'rating': 0, 'draft': False, 'modifyDate': '2014-08-26T00:13:05Z', 'length': 3290, 'videoId': '', 'photoUrl': '', 'commentCount': 460, 'voteCount': 4734, 'readCount': 173026}, {'id': 68090973, 'title': 'Escorting the Brute {27}', 'url': 'https://www.wattpad.com/68090973-escorting-the-brute-27', 'rating': 3, 'draft': False, 'modifyDate': '2014-08-28T17:25:54Z', 'length': 5939, 'videoId': '', 'photoUrl': '', 'commentCount': 151, 'voteCount': 4847, 'readCount': 180404}, {'id': 69639006, 'title': 'Escorting the Brute {28}', 'url': 'https://www.wattpad.com/69639006-escorting-the-brute-28', 'rating': 0, 'draft': False, 'modifyDate': '2014-09-06T15:54:45Z', 'length': 6025, 'videoId': '', 'photoUrl': '', 'commentCount': 379, 'voteCount': 5044, 'readCount': 182763}, {'id': 71373609, 'title': 'Escorting the Brute {29 pt.1}', 'url': 'https://www.wattpad.com/71373609-escorting-the-brute-29-pt-1', 'rating': 3, 'draft': False, 'modifyDate': '2014-09-17T02:57:29Z', 'length': 4350, 'videoId': '', 'photoUrl': 'https://em.wattpad.com/da4ceffba58014c5697432174c9ccc19f38e86d3/687474703a2f2f69313335342e70686f746f6275636b65742e636f6d2f616c62756d732f713639332f5261797a4c6974746c6548656c6c2f486f72726f72253230486f74746965732532306f6625323074686525323059656172253230323031302f31325f7a707330353365383463622e6a7067?s=fit&amp;h=360&amp;w=720&amp;q=80', 'commentCount': 355, 'voteCount': 4502, 'readCount': 169101}, {'id': 71524640, 'title': 'Escorting the Brute {29 pt.2}', 'url': 'https://www.wattpad.com/71524640-escorting-the-brute-29-pt-2', 'rating': 0, 'draft': False, 'modifyDate': '2014-09-18T00:50:45Z', 'length': 2569, 'videoId': '', 'photoUrl': '', 'commentCount': 250, 'voteCount': 4908, 'readCount': 151110}, {'id': 72789977, 'title': 'Escorting the Brute {30}', 'url': 'https://www.wattpad.com/72789977-escorting-the-brute-30', 'rating': 3, 'draft': False, 'modifyDate': '2014-09-26T01:19:32Z', 'length': 3676, 'videoId': '', 'photoUrl': '', 'commentCount': 179, 'voteCount': 4445, 'readCount': 152152}, {'id': 73079933, 'title': 'Escorting the Brute {31}', 'url': 'https://www.wattpad.com/73079933-escorting-the-brute-31', 'rating': 3, 'draft': False, 'modifyDate': '2014-09-27T18:26:41Z', 'length': 9455, 'videoId': '', 'photoUrl': '', 'commentCount': 396, 'voteCount': 4777, 'readCount': 167699}, {'id': 76049600, 'title': 'Escorting the Brute {32}', 'url': 'https://www.wattpad.com/76049600-escorting-the-brute-32', 'rating': 0, 'draft': False, 'modifyDate': '2014-10-14T21:55:34Z', 'length': 8510, 'videoId': 'a-j86tzxi8s', 'photoUrl': 'https://d.wattpad.com/story_parts/76049600/images/139d1e6aa35f7c1a.jpg', 'commentCount': 434, 'voteCount': 3907, 'readCount': 152096}, {'id': 76072785, 'title': 'A\\\\N Epilogue &amp; Sequel', 'url': 'https://www.wattpad.com/76072785-escorting-the-brute-a-n-epilogue-sequel', 'rating': 0, 'draft': False, 'modifyDate': '2014-10-14T22:55:21Z', 'length': 687, 'videoId': '', 'photoUrl': 'https://d.wattpad.com/story_parts/76072785/images/139d25bc0bc5fac1.jpg', 'commentCount': 94, 'voteCount': 1989, 'readCount': 114815}, {'id': 76088428, 'title': 'Epilogue', 'url': 'https://www.wattpad.com/76088428-escorting-the-brute-epilogue', 'rating': 0, 'draft': False, 'modifyDate': '2014-12-22T17:31:05Z', 'length': 5162, 'videoId': '', 'photoUrl': 'https://d.wattpad.com/story_parts/76088428/images/139d2ad2def20c23.jpg', 'commentCount': 699, 'voteCount': 5494, 'readCount': 166651}]", 3, 8554166, '[]', 'Escorting the Brute', 'https://www.wattpad.com/story/16618124-escorting-the-brute', 'https://a.wattpad.com/useravatar/iwillluv1d4ever.128.809982.jpg', 'Q.', 'iwillluv1d4ever', 189277], [19, 9738, True, 0, 'https://a.wattpad.com/cover/42937930-256-k992146.jpg', '2015-06-22T23:55:46Z', '2015-06-22T23:55:09Z', False, 'yessss!!!!', 141082265, '2015-06-23T02:59:55Z', 141082305, 42937930, 1, 'English', '2015-06-23T09:59:41Z', 141082265, 2204, False, '2015-08-16T08:07:12Z', 16, "[{'id': 141082265, 'title': 'lol!', 'url': 'https://www.wattpad.com/141082265-%E2%9D%87awsome-comebacks%E2%9D%87-lol', 'rating': 0, 'draft': False, 'modifyDate': '2015-06-23T09:59:42Z', 'length': 119, 'videoId': '', 'photoUrl': '', 'commentCount': 911, 'voteCount': 2138, 'readCount': 132425}, {'id': 141082305, 'title': 'oh no!', 'url': 'https://www.wattpad.com/141082305-%E2%9D%87awsome-comebacks%E2%9D%87-oh-no', 'rating': 0, 'draft': False, 'modifyDate': '2015-06-23T02:59:55Z', 'length': 249, 'videoId': '', 'photoUrl': '', 'commentCount': 490, 'voteCount': 1989, 'readCount': 119621}, {'id': 141082311, 'title': 'funny!', 'url': 'https://www.wattpad.com/141082311-%E2%9D%87awsome-comebacks%E2%9D%87-funny', 'rating': 0, 'draft': False, 'modifyDate': '2015-06-23T03:00:13Z', 'length': 152, 'videoId': '', 'photoUrl': '', 'commentCount': 826, 'voteCount': 3001, 'readCount': 108727}, {'id': 141082314, 'title': 'umm....', 'url': 'https://www.wattpad.com/141082314-%E2%9D%87awsome-comebacks%E2%9D%87-umm', 'rating': 0, 'draft': False, 'modifyDate': '2015-06-23T03:00:32Z', 'length': 97, 'videoId': '', 'photoUrl': '', 'commentCount': 775, 'voteCount': 5219, 'readCount': 100937}, {'id': 141082316, 'title': 'teachers!', 'url': 'https://www.wattpad.com/141082316-%E2%9D%87awsome-comebacks%E2%9D%87-teachers', 'rating': 0, 'draft': False, 'modifyDate': '2015-06-23T03:00:50Z', 'length': 103, 'videoId': '', 'photoUrl': '', 'commentCount': 788, 'voteCount': 3191, 'readCount': 95851}, {'id': 141082326, 'title': 'okay', 'url': 'https://www.wattpad.com/141082326-%E2%9D%87awsome-comebacks%E2%9D%87-okay', 'rating': 0, 'draft': False, 'modifyDate': '2015-06-23T03:01:19Z', 'length': 150, 'videoId': '', 'photoUrl': '', 'commentCount': 471, 'voteCount': 2304, 'readCount': 90374}, {'id': 141082338, 'title': 'not really a comeback', 'url': 'https://www.wattpad.com/141082338-%E2%9D%87awsome-comebacks%E2%9D%87-not-really-a-comeback', 'rating': 0, 'draft': False, 'modifyDate': '2015-06-23T03:02:18Z', 'length': 59, 'videoId': '', 'photoUrl': '', 'commentCount': 395, 'voteCount': 2343, 'readCount': 85065}, {'id': 141082343, 'title': 'to the person you hate', 'url': 'https://www.wattpad.com/141082343-%E2%9D%87awsome-comebacks%E2%9D%87-to-the-person-you-hate', 'rating': 0, 'draft': False, 'modifyDate': '2015-06-23T03:03:03Z', 'length': 123, 'videoId': '', 'photoUrl': '', 'commentCount': 579, 'voteCount': 2501, 'readCount': 81665}, {'id': 141082356, 'title': 'haha', 'url': 'https://www.wattpad.com/141082356-%E2%9D%87awsome-comebacks%E2%9D%87-haha', 'rating': 0, 'draft': False, 'modifyDate': '2015-06-23T03:03:10Z', 'length': 262, 'videoId': '', 'photoUrl': '', 'commentCount': 588, 'voteCount': 1785, 'readCount': 79731}, {'id': 141082361, 'title': 'not really a comeback #2', 'url': 'https://www.wattpad.com/141082361-%E2%9D%87awsome-comebacks%E2%9D%87-not-really-a-comeback-2', 'rating': 0, 'draft': False, 'modifyDate': '2015-06-23T03:03:26Z', 'length': 87, 'videoId': '', 'photoUrl': '', 'commentCount': 483, 'voteCount': 1933, 'readCount': 73704}, {'id': 141082369, 'title': 'why do we need school', 'url': 'https://www.wattpad.com/141082369-%E2%9D%87awsome-comebacks%E2%9D%87-why-do-we-need-school', 'rating': 0, 'draft': False, 'modifyDate': '2015-06-23T03:03:37Z', 'length': 191, 'videoId': '', 'photoUrl': '', 'commentCount': 1530, 'voteCount': 2640, 'readCount': 72913}, {'id': 141082375, 'title': 'poopfaces', 'url': 'https://www.wattpad.com/141082375-%E2%9D%87awsome-comebacks%E2%9D%87-poopfaces', 'rating': 0, 'draft': False, 'modifyDate': '2015-06-23T03:05:48Z', 'length': 94, 'videoId': '', 'photoUrl': '', 'commentCount': 169, 'voteCount': 1895, 'readCount': 68418}, {'id': 141082382, 'title': 'mmhhmm!', 'url': 'https://www.wattpad.com/141082382-%E2%9D%87awsome-comebacks%E2%9D%87-mmhhmm', 'rating': 0, 'draft': False, 'modifyDate': '2015-06-23T03:05:55Z', 'length': 159, 'videoId': '', 'photoUrl': '', 'commentCount': 534, 'voteCount': 2089, 'readCount': 61946}, {'id': 141082390, 'title': 'gotta tell ya', 'url': 'https://www.wattpad.com/141082390-%E2%9D%87awsome-comebacks%E2%9D%87-gotta-tell-ya', 'rating': 0, 'draft': False, 'modifyDate': '2015-06-23T03:06:01Z', 'length': 104, 'videoId': '', 'photoUrl': '', 'commentCount': 465, 'voteCount': 1000, 'readCount': 57297}, {'id': 141082397, 'title': 'okay okay im back!', 'url': 'https://www.wattpad.com/141082397-%E2%9D%87awsome-comebacks%E2%9D%87-okay-okay-im-back', 'rating': 0, 'draft': False, 'modifyDate': '2015-06-23T03:06:12Z', 'length': 165, 'videoId': '', 'photoUrl': '', 'commentCount': 528, 'voteCount': 2300, 'readCount': 55468}, {'id': 141082405, 'title': 'im done', 'url': 'https://www.wattpad.com/141082405-%E2%9D%87awsome-comebacks%E2%9D%87-im-done', 'rating': 0, 'draft': False, 'modifyDate': '2015-06-23T03:06:30Z', 'length': 90, 'videoId': '', 'photoUrl': '', 'commentCount': 206, 'voteCount': 930, 'readCount': 60133}]", 0, 1344254, "['dumb', 'funny', 'listen', 'nothing', 'okay']", '❇awsome comebacks❇', 'https://www.wattpad.com/story/42937930-%E2%9D%87awsome-comebacks%E2%9D%87', 'https://a.wattpad.com/useravatar/kittygirl_121604.128.186602.jpg', nan, 'kittygirl_121604', 37258]]</t>
  </si>
  <si>
    <t>L3_81</t>
  </si>
  <si>
    <t>Target3_81</t>
  </si>
  <si>
    <t>L3_82</t>
  </si>
  <si>
    <t>Target3_82</t>
  </si>
  <si>
    <t>[[19, 5221, True, 1, 'https://a.wattpad.com/cover/12050237-256-k991849.jpg', '2014-01-29T18:37:29Z', '2014-01-29T16:24:42Z', False, "Fina is a Enforcers Daughter, she's been harshly trained by her father all her life. On the night of the change, to which you could find your soul mate- Fina finds hers. He's of course the soon to be Alpha, however he doesn't want her. Its not sweat off Fina's back, she's more worried about her Family finding out then being rejected. Her feet carry her to a deeper part of the forest, one she shouldn't of gone into. When things twist and stories become a reality Fina will have to pick what side she wants to be part of.", 36978107, '2014-01-29T18:38:34Z', 36978107, 12050237, 1, 'English', '2014-01-31T02:16:12Z', 37052197, 407525, False, '2015-01-27T10:47:41Z', 37, "[{'id': 36978107, 'title': 'Prologue', 'url': 'https://www.wattpad.com/36978107-hadar-watty2014-prologue', 'rating': 3, 'draft': False, 'modifyDate': '2014-11-12T17:39:15Z', 'length': 1628, 'videoId': '', 'photoUrl': '', 'commentCount': 81, 'voteCount': 3412, 'readCount': 137863}, {'id': 36978235, 'title': 'Chapter 1', 'url': 'https://www.wattpad.com/36978235-hadar-watty2014-chapter-1', 'rating': 3, 'draft': False, 'modifyDate': '2014-02-26T00:45:00Z', 'length': 10050, 'videoId': '', 'photoUrl': '', 'commentCount': 235, 'voteCount': 3361, 'readCount': 107315}, {'id': 36978821, 'title': 'Chapter 2', 'url': 'https://www.wattpad.com/36978821-hadar-watty2014-chapter-2', 'rating': 3, 'draft': False, 'modifyDate': '2014-01-29T18:42:18Z', 'length': 10093, 'videoId': '', 'photoUrl': '', 'commentCount': 110, 'voteCount': 3423, 'readCount': 81789}, {'id': 36979152, 'title': 'Chapter 3', 'url': 'https://www.wattpad.com/36979152-hadar-watty2014-chapter-3', 'rating': 3, 'draft': False, 'modifyDate': '2014-01-29T18:50:53Z', 'length': 6597, 'videoId': '', 'photoUrl': '', 'commentCount': 234, 'voteCount': 3508, 'readCount': 75441}, {'id': 36979368, 'title': 'Chapter 4', 'url': 'https://www.wattpad.com/36979368-hadar-watty2014-chapter-4', 'rating': 3, 'draft': False, 'modifyDate': '2014-01-29T18:54:47Z', 'length': 7543, 'videoId': '', 'photoUrl': '', 'commentCount': 293, 'voteCount': 3237, 'readCount': 75625}, {'id': 36979566, 'title': 'Chapter 5', 'url': 'https://www.wattpad.com/36979566-hadar-watty2014-chapter-5', 'rating': 3, 'draft': False, 'modifyDate': '2014-01-30T02:55:13Z', 'length': 6834, 'videoId': '', 'photoUrl': '', 'commentCount': 131, 'voteCount': 3293, 'readCount': 73711}, {'id': 36979779, 'title': 'Chapter 6', 'url': 'https://www.wattpad.com/36979779-hadar-watty2014-chapter-6', 'rating': 3, 'draft': False, 'modifyDate': '2014-01-29T18:55:37Z', 'length': 10459, 'videoId': '', 'photoUrl': '', 'commentCount': 211, 'voteCount': 3207, 'readCount': 80630}, {'id': 36980251, 'title': 'Chapter 7', 'url': 'https://www.wattpad.com/36980251-hadar-watty2014-chapter-7', 'rating': 3, 'draft': False, 'modifyDate': '2014-01-29T18:57:11Z', 'length': 11867, 'videoId': '', 'photoUrl': '', 'commentCount': 236, 'voteCount': 3450, 'readCount': 82043}, {'id': 36980479, 'title': 'Chapter 8', 'url': 'https://www.wattpad.com/36980479-hadar-watty2014-chapter-8', 'rating': 3, 'draft': False, 'modifyDate': '2014-01-29T20:29:11Z', 'length': 6869, 'videoId': '', 'photoUrl': '', 'commentCount': 122, 'voteCount': 3103, 'readCount': 77686}, {'id': 36980663, 'title': 'Chapter 9', 'url': 'https://www.wattpad.com/36980663-hadar-watty2014-chapter-9', 'rating': 3, 'draft': False, 'modifyDate': '2014-01-29T20:57:33Z', 'length': 10071, 'videoId': '', 'photoUrl': '', 'commentCount': 108, 'voteCount': 2962, 'readCount': 73276}, {'id': 36980927, 'title': 'Chapter 10', 'url': 'https://www.wattpad.com/36980927-hadar-watty2014-chapter-10', 'rating': 3, 'draft': False, 'modifyDate': '2014-01-29T21:30:01Z', 'length': 12195, 'videoId': '', 'photoUrl': '', 'commentCount': 96, 'voteCount': 3225, 'readCount': 74703}, {'id': 36981341, 'title': 'Chapter 11', 'url': 'https://www.wattpad.com/36981341-hadar-watty2014-chapter-11', 'rating': 3, 'draft': False, 'modifyDate': '2014-02-26T01:30:30Z', 'length': 11252, 'videoId': '', 'photoUrl': '', 'commentCount': 396, 'voteCount': 3143, 'readCount': 74884}, {'id': 36982017, 'title': 'Chapter 12', 'url': 'https://www.wattpad.com/36982017-hadar-watty2014-chapter-12', 'rating': 3, 'draft': False, 'modifyDate': '2014-01-29T22:59:44Z', 'length': 10929, 'videoId': '', 'photoUrl': '', 'commentCount': 244, 'voteCount': 3025, 'readCount': 79395}, {'id': 36982320, 'title': 'Chapter 13', 'url': 'https://www.wattpad.com/36982320-hadar-watty2014-chapter-13', 'rating': 3, 'draft': False, 'modifyDate': '2014-01-29T22:59:58Z', 'length': 6860, 'videoId': '', 'photoUrl': '', 'commentCount': 125, 'voteCount': 2871, 'readCount': 67764}, {'id': 36982837, 'title': 'Chapter 14', 'url': 'https://www.wattpad.com/36982837-hadar-watty2014-chapter-14', 'rating': 3, 'draft': False, 'modifyDate': '2014-01-29T23:00:10Z', 'length': 10349, 'videoId': '', 'photoUrl': '', 'commentCount': 160, 'voteCount': 2882, 'readCount': 72754}, {'id': 36983243, 'title': 'Chapter 15', 'url': 'https://www.wattpad.com/36983243-hadar-watty2014-chapter-15', 'rating': 3, 'draft': False, 'modifyDate': '2014-01-30T00:56:50Z', 'length': 9840, 'videoId': '', 'photoUrl': '', 'commentCount': 100, 'voteCount': 2842, 'readCount': 69471}, {'id': 36983590, 'title': 'Chapter 16', 'url': 'https://www.wattpad.com/36983590-hadar-watty2014-chapter-16', 'rating': 3, 'draft': False, 'modifyDate': '2014-01-30T01:44:54Z', 'length': 10481, 'videoId': '', 'photoUrl': '', 'commentCount': 92, 'voteCount': 2925, 'readCount': 70928}, {'id': 36984077, 'title': 'Chapter 17', 'url': 'https://www.wattpad.com/36984077-hadar-watty2014-chapter-17', 'rating': 3, 'draft': False, 'modifyDate': '2014-01-30T12:16:30Z', 'length': 11398, 'videoId': '', 'photoUrl': '', 'commentCount': 218, 'voteCount': 2779, 'readCount': 69707}, {'id': 36984452, 'title': 'Chapter 18', 'url': 'https://www.wattpad.com/36984452-hadar-watty2014-chapter-18', 'rating': 3, 'draft': False, 'modifyDate': '2014-01-30T06:58:11Z', 'length': 8700, 'videoId': '', 'photoUrl': '', 'commentCount': 93, 'voteCount': 3063, 'readCount': 65116}, {'id': 36984718, 'title': 'Chapter 19', 'url': 'https://www.wattpad.com/36984718-hadar-watty2014-chapter-19', 'rating': 3, 'draft': False, 'modifyDate': '2015-01-27T10:47:41Z', 'length': 11082, 'videoId': '', 'photoUrl': '', 'commentCount': 124, 'voteCount': 2948, 'readCount': 65721}, {'id': 36984883, 'title': 'Chapter 20', 'url': 'https://www.wattpad.com/36984883-hadar-watty2014-chapter-20', 'rating': 3, 'draft': False, 'modifyDate': '2014-01-30T07:59:59Z', 'length': 10433, 'videoId': '', 'photoUrl': '', 'commentCount': 71, 'voteCount': 2893, 'readCount': 70662}, {'id': 37051288, 'title': 'Chapter 21', 'url': 'https://www.wattpad.com/37051288-hadar-watty2014-chapter-21', 'rating': 3, 'draft': False, 'modifyDate': '2014-01-30T08:11:35Z', 'length': 11957, 'videoId': '', 'photoUrl': '', 'commentCount': 83, 'voteCount': 2666, 'readCount': 68720}, {'id': 37051425, 'title': 'Chapter 22', 'url': 'https://www.wattpad.com/37051425-hadar-watty2014-chapter-22', 'rating': 3, 'draft': False, 'modifyDate': '2014-01-30T08:16:16Z', 'length': 11898, 'videoId': '', 'photoUrl': '', 'commentCount': 139, 'voteCount': 2532, 'readCount': 67470}, {'id': 37051708, 'title': 'Chapter 23', 'url': 'https://www.wattpad.com/37051708-hadar-watty2014-chapter-23', 'rating': 3, 'draft': False, 'modifyDate': '2014-01-30T16:58:00Z', 'length': 11772, 'videoId': '', 'photoUrl': '', 'commentCount': 73, 'voteCount': 2665, 'readCount': 67903}, {'id': 37051912, 'title': 'Chapter 24', 'url': 'https://www.wattpad.com/37051912-hadar-watty2014-chapter-24', 'rating': 3, 'draft': False, 'modifyDate': '2014-01-30T18:15:57Z', 'length': 13288, 'videoId': '', 'photoUrl': '', 'commentCount': 104, 'voteCount': 2612, 'readCount': 69881}, {'id': 37052197, 'title': 'Chapter 25', 'url': 'https://www.wattpad.com/37052197-hadar-watty2014-chapter-25', 'rating': 3, 'draft': False, 'modifyDate': '2014-01-31T02:16:11Z', 'length': 13075, 'videoId': '', 'photoUrl': '', 'commentCount': 43, 'voteCount': 2666, 'readCount': 63754}, {'id': 37052370, 'title': 'Chapter 26', 'url': 'https://www.wattpad.com/37052370-hadar-watty2014-chapter-26', 'rating': 3, 'draft': False, 'modifyDate': '2014-01-30T18:16:24Z', 'length': 14844, 'videoId': '', 'photoUrl': '', 'commentCount': 167, 'voteCount': 2874, 'readCount': 68743}, {'id': 37086017, 'title': 'Chapter 27', 'url': 'https://www.wattpad.com/37086017-hadar-watty2014-chapter-27', 'rating': 3, 'draft': False, 'modifyDate': '2014-01-30T18:49:43Z', 'length': 12832, 'videoId': '', 'photoUrl': '', 'commentCount': 46, 'voteCount': 2474, 'readCount': 64933}, {'id': 37086150, 'title': 'Chapter 28', 'url': 'https://www.wattpad.com/37086150-hadar-watty2014-chapter-28', 'rating': 3, 'draft': False, 'modifyDate': '2014-01-30T18:50:54Z', 'length': 11266, 'videoId': '', 'photoUrl': '', 'commentCount': 26, 'voteCount': 2500, 'readCount': 73130}, {'id': 37086308, 'title': 'Chapter 29', 'url': 'https://www.wattpad.com/37086308-hadar-watty2014-chapter-29', 'rating': 3, 'draft': False, 'modifyDate': '2014-01-30T18:53:38Z', 'length': 13549, 'videoId': '', 'photoUrl': '', 'commentCount': 37, 'voteCount': 2525, 'readCount': 66678}, {'id': 37086422, 'title': 'Chapter 30', 'url': 'https://www.wattpad.com/37086422-hadar-watty2014-chapter-30', 'rating': 3, 'draft': False, 'modifyDate': '2014-01-30T18:55:39Z', 'length': 14554, 'videoId': '', 'photoUrl': '', 'commentCount': 38, 'voteCount': 2514, 'readCount': 66721}, {'id': 37086533, 'title': 'Chapter 31', 'url': 'https://www.wattpad.com/37086533-hadar-watty2014-chapter-31', 'rating': 3, 'draft': False, 'modifyDate': '2014-01-30T18:59:23Z', 'length': 11978, 'videoId': '', 'photoUrl': '', 'commentCount': 137, 'voteCount': 2526, 'readCount': 60337}, {'id': 37086835, 'title': 'Chapter 32', 'url': 'https://www.wattpad.com/37086835-hadar-watty2014-chapter-32', 'rating': 3, 'draft': False, 'modifyDate': '2014-01-30T19:01:11Z', 'length': 18060, 'videoId': '', 'photoUrl': '', 'commentCount': 241, 'voteCount': 2386, 'readCount': 60910}, {'id': 37086934, 'title': 'Chapter 33', 'url': 'https://www.wattpad.com/37086934-hadar-watty2014-chapter-33', 'rating': 3, 'draft': False, 'modifyDate': '2014-01-30T19:04:19Z', 'length': 16490, 'videoId': '', 'photoUrl': '', 'commentCount': 48, 'voteCount': 2336, 'readCount': 55422}, {'id': 37087103, 'title': 'Chapter 35', 'url': 'https://www.wattpad.com/37087103-hadar-watty2014-chapter-35', 'rating': 3, 'draft': False, 'modifyDate': '2014-01-30T19:06:15Z', 'length': 16172, 'videoId': '', 'photoUrl': '', 'commentCount': 54, 'voteCount': 2403, 'readCount': 58541}, {'id': 37087370, 'title': 'Chapter 36', 'url': 'https://www.wattpad.com/37087370-hadar-watty2014-chapter-36', 'rating': 3, 'draft': False, 'modifyDate': '2014-01-30T19:08:34Z', 'length': 17344, 'videoId': '', 'photoUrl': '', 'commentCount': 176, 'voteCount': 2684, 'readCount': 66964}, {'id': 37087582, 'title': 'Epilogue', 'url': 'https://www.wattpad.com/37087582-hadar-watty2014-epilogue', 'rating': 3, 'draft': False, 'modifyDate': '2014-01-30T19:11:05Z', 'length': 2916, 'videoId': '', 'photoUrl': '', 'commentCount': 329, 'voteCount': 3460, 'readCount': 75200}]", 3, 2701720, "['alpha', 'curse', 'luna', 'magic', 'power', 'rejection', 'watty2014', 'wolves']", 'Hadar #Watty2014', 'https://www.wattpad.com/story/12050237-hadar-watty2014', 'https://a.wattpad.com/useravatar/RevyRogue.128.491090.jpg', 'Reviana', 'RevyRogue', 107375], [19, 20045, True, 0, 'https://a.wattpad.com/cover/16618124-256-k662662.jpg', '2014-09-25T23:31:02Z', '2014-05-20T12:25:26Z', False, nan, 50914516, '2014-05-21T00:07:47Z', 50914516, 16618124, 1, 'English', '2014-10-15T00:28:42Z', 76088428, 175785, False, '2015-06-15T00:20:39Z', 38, "[{'id': 50914516, 'title': 'Escorting the Brute', 'url': 'https://www.wattpad.com/50914516-escorting-the-brute', 'rating': 0, 'draft': False, 'modifyDate': '2015-06-15T00:20:36Z', 'length': 83, 'videoId': '', 'photoUrl': '', 'commentCount': 362, 'voteCount': 5305, 'readCount': 627700}, {'id': 51381941, 'title': 'Escorting the Brute {1}', 'url': 'https://www.wattpad.com/51381941-escorting-the-brute-1', 'rating': 3, 'draft': False, 'modifyDate': '2014-08-09T03:43:28Z', 'length': 3742, 'videoId': '', 'photoUrl': '', 'commentCount': 2521, 'voteCount': 7525, 'readCount': 418084}, {'id': 51548344, 'title': 'Escorting the Brute {2}', 'url': 'https://www.wattpad.com/51548344-escorting-the-brute-2', 'rating': 3, 'draft': False, 'modifyDate': '2014-05-26T14:54:33Z', 'length': 7747, 'videoId': '', 'photoUrl': '', 'commentCount': 748, 'voteCount': 7050, 'readCount': 335166}, {'id': 51834345, 'title': 'Escorting the Brute {3}', 'url': 'https://www.wattpad.com/51834345-escorting-the-brute-3', 'rating': 3, 'draft': False, 'modifyDate': '2014-05-26T16:53:40Z', 'length': 2814, 'videoId': '', 'photoUrl': '', 'commentCount': 400, 'voteCount': 6403, 'readCount': 277453}, {'id': 51980691, 'title': 'Escorting the Brute {4}', 'url': 'https://www.wattpad.com/51980691-escorting-the-brute-4', 'rating': 3, 'draft': False, 'modifyDate': '2015-06-15T00:20:32Z', 'length': 3833, 'videoId': '', 'photoUrl': 'https://em.wattpad.com/335b62ba8b9d394fb4605ee5527725cda955942a/687474703a2f2f69313335352e70686f746f6275636b65742e636f6d2f616c62756d732f713731312f6977696c6c6c7576316434657665722f6574625f7a707361386132373134372e6a7067?s=fit&amp;h=360&amp;w=720&amp;q=80', 'commentCount': 749, 'voteCount': 7073, 'readCount': 277528}, {'id': 52358547, 'title': 'Escorting the Brute {5}', 'url': 'https://www.wattpad.com/52358547-escorting-the-brute-5', 'rating': 3, 'draft': False, 'modifyDate': '2014-06-05T19:24:15Z', 'length': 6855, 'videoId': '', 'photoUrl': '', 'commentCount': 325, 'voteCount': 6044, 'readCount': 282513}, {'id': 53367841, 'title': 'Escorting the Brute {6}', 'url': 'https://www.wattpad.com/53367841-escorting-the-brute-6', 'rating': 3, 'draft': False, 'modifyDate': '2014-06-05T20:52:02Z', 'length': 8740, 'videoId': '', 'photoUrl': '', 'commentCount': 628, 'voteCount': 6248, 'readCount': 297607}, {'id': 53475741, 'title': 'Escorting the Brute {7}', 'url': 'https://www.wattpad.com/53475741-escorting-the-brute-7', 'rating': 3, 'draft': False, 'modifyDate': '2014-07-16T16:45:09Z', 'length': 4551, 'videoId': '', 'photoUrl': '', 'commentCount': 981, 'voteCount': 5843, 'readCount': 261414}, {'id': 53810545, 'title': 'Escorting the Brute {8}', 'url': 'https://www.wattpad.com/53810545-escorting-the-brute-8', 'rating': 3, 'draft': False, 'modifyDate': '2014-07-16T16:46:30Z', 'length': 6852, 'videoId': '', 'photoUrl': '', 'commentCount': 941, 'voteCount': 5713, 'readCount': 251322}, {'id': 54122087, 'title': 'Escorting the Brute {9}', 'url': 'https://www.wattpad.com/54122087-escorting-the-brute-9', 'rating': 0, 'draft': False, 'modifyDate': '2014-06-18T15:07:57Z', 'length': 2953, 'videoId': '', 'photoUrl': '', 'commentCount': 421, 'voteCount': 5190, 'readCount': 234767}, {'id': 55925216, 'title': 'Escorting the Brute {10}', 'url': 'https://www.wattpad.com/55925216-escorting-the-brute-10', 'rating': 0, 'draft': False, 'modifyDate': '2014-07-01T09:29:46Z', 'length': 3068, 'videoId': '', 'photoUrl': '', 'commentCount': 625, 'voteCount': 5195, 'readCount': 239893}, {'id': 58636979, 'title': 'Escorting the Brute {11}', 'url': 'https://www.wattpad.com/58636979-escorting-the-brute-11', 'rating': 0, 'draft': False, 'modifyDate': '2014-07-08T18:30:17Z', 'length': 2267, 'videoId': '', 'photoUrl': '', 'commentCount': 382, 'voteCount': 5001, 'readCount': 229787}, {'id': 58661878, 'title': 'Escorting the Brute {12}', 'url': 'https://www.wattpad.com/58661878-escorting-the-brute-12', 'rating': 3, 'draft': False, 'modifyDate': '2014-07-08T22:01:46Z', 'length': 3402, 'videoId': '', 'photoUrl': '', 'commentCount': 286, 'voteCount': 5218, 'readCount': 224929}, {'id': 58685973, 'title': 'Escorting the Brute {13}', 'url': 'https://www.wattpad.com/58685973-escorting-the-brute-13', 'rating': 0, 'draft': False, 'modifyDate': '2014-07-09T00:30:29Z', 'length': 3798, 'videoId': '', 'photoUrl': '', 'commentCount': 460, 'voteCount': 4799, 'readCount': 213514}, {'id': 58816567, 'title': 'Escorting the Brute {14}', 'url': 'https://www.wattpad.com/58816567-escorting-the-brute-14', 'rating': 0, 'draft': False, 'modifyDate': '2014-07-09T19:51:05Z', 'length': 3179, 'videoId': '', 'photoUrl': '', 'commentCount': 422, 'voteCount': 4939, 'readCount': 215421}, {'id': 59044755, 'title': 'A/N', 'url': 'https://www.wattpad.com/59044755-escorting-the-brute-a-n', 'rating': 0, 'draft': False, 'modifyDate': '2014-07-11T00:41:11Z', 'length': 205, 'videoId': '', 'photoUrl': '', 'commentCount': 17, 'voteCount': 2074, 'readCount': 196675}, {'id': 59182517, 'title': 'Escorting the Brute {15}', 'url': 'https://www.wattpad.com/59182517-escorting-the-brute-15', 'rating': 0, 'draft': False, 'modifyDate': '2014-07-12T20:44:40Z', 'length': 5075, 'videoId': '', 'photoUrl': 'https://em.wattpad.com/0c924e3d111ee9c5f1a93a3b9ba698a30f9be0be/687474703a2f2f69313335352e70686f746f6275636b65742e636f6d2f616c62756d732f713731312f6977696c6c6c7576316434657665722f4d6f62696c6525323055706c6f6164732f6d7573636c655f626172726965725f31376f7632746d2d31376f763274705f32303134303731323132323734393732325f7a707364313961636366372e6a7067?s=fit&amp;h=360&amp;w=720&amp;q=80', 'commentCount': 250, 'voteCount': 4997, 'readCount': 222774}, {'id': 60097444, 'title': 'Escorting the Brute {16}', 'url': 'https://www.wattpad.com/60097444-escorting-the-brute-16', 'rating': 3, 'draft': False, 'modifyDate': '2014-07-17T15:47:52Z', 'length': 7175, 'videoId': '', 'photoUrl': '', 'commentCount': 937, 'voteCount': 4880, 'readCount': 231237}, {'id': 60272207, 'title': 'Escorting the Brute {17}', 'url': 'https://www.wattpad.com/60272207-escorting-the-brute-17', 'rating': 3, 'draft': False, 'modifyDate': '2014-07-17T20:01:14Z', 'length': 3739, 'videoId': '', 'photoUrl': 'https://em.wattpad.com/3dd962d976b18111dd5155cf2b2f9c58764fb53e/687474703a2f2f69313335352e70686f746f6275636b65742e636f6d2f616c62756d732f713731312f6977696c6c6c7576316434657665722f6b61742d6261696c6573735f7a707331336464373366352e6a7067?s=fit&amp;h=360&amp;w=720&amp;q=80', 'commentCount': 784, 'voteCount': 4613, 'readCount': 207230}, {'id': 61421086, 'title': 'Escorting the Brute {18}', 'url': 'https://www.wattpad.com/61421086-escorting-the-brute-18', 'rating': 3, 'draft': False, 'modifyDate': '2014-09-21T18:21:20Z', 'length': 5868, 'videoId': '', 'photoUrl': '', 'commentCount': 328, 'voteCount': 4510, 'readCount': 215392}, {'id': 62364872, 'title': 'Escorting the Brute {19}', 'url': 'https://www.wattpad.com/62364872-escorting-the-brute-19', 'rating': 3, 'draft': False, 'modifyDate': '2014-07-29T00:43:51Z', 'length': 8091, 'videoId': '', 'photoUrl': '', 'commentCount': 415, 'voteCount': 4619, 'readCount': 211577}, {'id': 62491661, 'title': 'Escorting the Brute {20}', 'url': 'https://www.wattpad.com/62491661-escorting-the-brute-20', 'rating': 0, 'draft': False, 'modifyDate': '2014-07-29T17:55:50Z', 'length': 4796, 'videoId': '', 'photoUrl': '', 'commentCount': 1248, 'voteCount': 4559, 'readCount': 197850}, {'id': 62750780, 'title': 'Escorting the Brute {21}', 'url': 'https://www.wattpad.com/62750780-escorting-the-brute-21', 'rating': 3, 'draft': False, 'modifyDate': '2014-07-31T00:37:11Z', 'length': 5014, 'videoId': '', 'photoUrl': '', 'commentCount': 754, 'voteCount': 4927, 'readCount': 187939}, {'id': 63905331, 'title': 'Escorting the Brute {22}', 'url': 'https://www.wattpad.com/63905331-escorting-the-brute-22', 'rating': 3, 'draft': False, 'modifyDate': '2014-08-07T14:58:14Z', 'length': 7236, 'videoId': '', 'photoUrl': '', 'commentCount': 237, 'voteCount': 4270, 'readCount': 186030}, {'id': 64181587, 'title': 'Escorting the Brute {22.5}', 'url': 'https://www.wattpad.com/64181587-escorting-the-brute-22-5', 'rating': 0, 'draft': False, 'modifyDate': '2014-08-08T00:48:17Z', 'length': 2820, 'videoId': '', 'photoUrl': '', 'commentCount': 461, 'voteCount': 3963, 'readCount': 176191}, {'id': 64372975, 'title': 'Escorting the Brute {23}', 'url': 'https://www.wattpad.com/64372975-escorting-the-brute-23', 'rating': 0, 'draft': False, 'modifyDate': '2014-08-08T15:23:19Z', 'length': 3568, 'videoId': '', 'photoUrl': '', 'commentCount': 431, 'voteCount': 4353, 'readCount': 176959}, {'id': 65558185, 'title': 'Escorting the Brute {24}', 'url': 'https://www.wattpad.com/65558185-escorting-the-brute-24', 'rating': 0, 'draft': False, 'modifyDate': '2014-08-14T21:24:06Z', 'length': 5266, 'videoId': '', 'photoUrl': '', 'commentCount': 354, 'voteCount': 4828, 'readCount': 178722}, {'id': 66125131, 'title': 'Escorting the Brute {25}', 'url': 'https://www.wattpad.com/66125131-escorting-the-brute-25', 'rating': 0, 'draft': False, 'modifyDate': '2014-10-13T13:45:31Z', 'length': 3385, 'videoId': '', 'photoUrl': '', 'commentCount': 181, 'voteCount': 4729, 'readCount': 177261}, {'id': 67641575, 'title': 'Escorting the Brute {26}', 'url': 'https://www.wattpad.com/67641575-escorting-the-brute-26', 'rating': 0, 'draft': False, 'modifyDate': '2014-08-26T00:13:05Z', 'length': 3290, 'videoId': '', 'photoUrl': '', 'commentCount': 460, 'voteCount': 4742, 'readCount': 173199}, {'id': 68090973, 'title': 'Escorting the Brute {27}', 'url': 'https://www.wattpad.com/68090973-escorting-the-brute-27', 'rating': 3, 'draft': False, 'modifyDate': '2014-08-28T17:25:54Z', 'length': 5939, 'videoId': '', 'photoUrl': '', 'commentCount': 151, 'voteCount': 4853, 'readCount': 180612}, {'id': 69639006, 'title': 'Escorting the Brute {28}', 'url': 'https://www.wattpad.com/69639006-escorting-the-brute-28', 'rating': 0, 'draft': False, 'modifyDate': '2014-09-06T15:54:45Z', 'length': 6025, 'videoId': '', 'photoUrl': '', 'commentCount': 379, 'voteCount': 5051, 'readCount': 182967}, {'id': 71373609, 'title': 'Escorting the Brute {29 pt.1}', 'url': 'https://www.wattpad.com/71373609-escorting-the-brute-29-pt-1', 'rating': 3, 'draft': False, 'modifyDate': '2014-09-17T02:57:29Z', 'length': 4350, 'videoId': '', 'photoUrl': 'https://em.wattpad.com/da4ceffba58014c5697432174c9ccc19f38e86d3/687474703a2f2f69313335342e70686f746f6275636b65742e636f6d2f616c62756d732f713639332f5261797a4c6974746c6548656c6c2f486f72726f72253230486f74746965732532306f6625323074686525323059656172253230323031302f31325f7a707330353365383463622e6a7067?s=fit&amp;h=360&amp;w=720&amp;q=80', 'commentCount': 355, 'voteCount': 4507, 'readCount': 169292}, {'id': 71524640, 'title': 'Escorting the Brute {29 pt.2}', 'url': 'https://www.wattpad.com/71524640-escorting-the-brute-29-pt-2', 'rating': 0, 'draft': False, 'modifyDate': '2014-09-18T00:50:45Z', 'length': 2569, 'videoId': '', 'photoUrl': '', 'commentCount': 250, 'voteCount': 4914, 'readCount': 151280}, {'id': 72789977, 'title': 'Escorting the Brute {30}', 'url': 'https://www.wattpad.com/72789977-escorting-the-brute-30', 'rating': 3, 'draft': False, 'modifyDate': '2014-09-26T01:19:32Z', 'length': 3676, 'videoId': '', 'photoUrl': '', 'commentCount': 179, 'voteCount': 4450, 'readCount': 152349}, {'id': 73079933, 'title': 'Escorting the Brute {31}', 'url': 'https://www.wattpad.com/73079933-escorting-the-brute-31', 'rating': 3, 'draft': False, 'modifyDate': '2014-09-27T18:26:41Z', 'length': 9455, 'videoId': '', 'photoUrl': '', 'commentCount': 396, 'voteCount': 4783, 'readCount': 167914}, {'id': 76049600, 'title': 'Escorting the Brute {32}', 'url': 'https://www.wattpad.com/76049600-escorting-the-brute-32', 'rating': 0, 'draft': False, 'modifyDate': '2014-10-14T21:55:34Z', 'length': 8510, 'videoId': 'a-j86tzxi8s', 'photoUrl': 'https://d.wattpad.com/story_parts/76049600/images/139d1e6aa35f7c1a.jpg', 'commentCount': 434, 'voteCount': 3913, 'readCount': 152315}, {'id': 76072785, 'title': 'A\\\\N Epilogue &amp; Sequel', 'url': 'https://www.wattpad.com/76072785-escorting-the-brute-a-n-epilogue-sequel', 'rating': 0, 'draft': False, 'modifyDate': '2014-10-14T22:55:21Z', 'length': 687, 'videoId': '', 'photoUrl': 'https://d.wattpad.com/story_parts/76072785/images/139d25bc0bc5fac1.jpg', 'commentCount': 94, 'voteCount': 1989, 'readCount': 114984}, {'id': 76088428, 'title': 'Epilogue', 'url': 'https://www.wattpad.com/76088428-escorting-the-brute-epilogue', 'rating': 0, 'draft': False, 'modifyDate': '2014-12-22T17:31:05Z', 'length': 5162, 'videoId': '', 'photoUrl': 'https://d.wattpad.com/story_parts/76088428/images/139d2ad2def20c23.jpg', 'commentCount': 699, 'voteCount': 5501, 'readCount': 166919}]", 3, 8564734, '[]', 'Escorting the Brute', 'https://www.wattpad.com/story/16618124-escorting-the-brute', 'https://a.wattpad.com/useravatar/iwillluv1d4ever.128.809982.jpg', 'Q.', 'iwillluv1d4ever', 189571], [19, 9867, True, 0, 'https://a.wattpad.com/cover/42937930-256-k992146.jpg', '2015-06-22T23:55:46Z', '2015-06-22T23:55:09Z', False, 'yessss!!!!', 141082265, '2015-06-23T02:59:41Z', 141082265, 42937930, 1, 'English', '2015-06-23T10:06:02Z', 141082390, 2204, False, '2015-08-16T08:07:12Z', 16, "[{'id': 141082265, 'title': 'lol!', 'url': 'https://www.wattpad.com/141082265-%E2%9D%87awsome-comebacks%E2%9D%87-lol', 'rating': 0, 'draft': False, 'modifyDate': '2015-06-23T02:59:42Z', 'length': 119, 'videoId': '', 'photoUrl': '', 'commentCount': 921, 'voteCount': 2163, 'readCount': 134193}, {'id': 141082305, 'title': 'oh no!', 'url': 'https://www.wattpad.com/141082305-%E2%9D%87awsome-comebacks%E2%9D%87-oh-no', 'rating': 0, 'draft': False, 'modifyDate': '2015-06-23T02:59:55Z', 'length': 249, 'videoId': '', 'photoUrl': '', 'commentCount': 495, 'voteCount': 2014, 'readCount': 121259}, {'id': 141082311, 'title': 'funny!', 'url': 'https://www.wattpad.com/141082311-%E2%9D%87awsome-comebacks%E2%9D%87-funny', 'rating': 0, 'draft': False, 'modifyDate': '2015-06-23T03:00:13Z', 'length': 152, 'videoId': '', 'photoUrl': '', 'commentCount': 833, 'voteCount': 3041, 'readCount': 110192}, {'id': 141082314, 'title': 'umm....', 'url': 'https://www.wattpad.com/141082314-%E2%9D%87awsome-comebacks%E2%9D%87-umm', 'rating': 0, 'draft': False, 'modifyDate': '2015-06-23T03:00:32Z', 'length': 97, 'videoId': '', 'photoUrl': '', 'commentCount': 793, 'voteCount': 5291, 'readCount': 102299}, {'id': 141082316, 'title': 'teachers!', 'url': 'https://www.wattpad.com/141082316-%E2%9D%87awsome-comebacks%E2%9D%87-teachers', 'rating': 0, 'draft': False, 'modifyDate': '2015-06-23T03:00:50Z', 'length': 103, 'videoId': '', 'photoUrl': '', 'commentCount': 797, 'voteCount': 3236, 'readCount': 97144}, {'id': 141082326, 'title': 'okay', 'url': 'https://www.wattpad.com/141082326-%E2%9D%87awsome-comebacks%E2%9D%87-okay', 'rating': 0, 'draft': False, 'modifyDate': '2015-06-23T03:01:19Z', 'length': 150, 'videoId': '', 'photoUrl': '', 'commentCount': 480, 'voteCount': 2327, 'readCount': 91578}, {'id': 141082338, 'title': 'not really a comeback', 'url': 'https://www.wattpad.com/141082338-%E2%9D%87awsome-comebacks%E2%9D%87-not-really-a-comeback', 'rating': 0, 'draft': False, 'modifyDate': '2015-06-23T03:02:18Z', 'length': 59, 'videoId': '', 'photoUrl': '', 'commentCount': 402, 'voteCount': 2371, 'readCount': 86203}, {'id': 141082343, 'title': 'to the person you hate', 'url': 'https://www.wattpad.com/141082343-%E2%9D%87awsome-comebacks%E2%9D%87-to-the-person-you-hate', 'rating': 0, 'draft': False, 'modifyDate': '2015-06-23T03:03:03Z', 'length': 123, 'videoId': '', 'photoUrl': '', 'commentCount': 590, 'voteCount': 2530, 'readCount': 82758}, {'id': 141082356, 'title': 'haha', 'url': 'https://www.wattpad.com/141082356-%E2%9D%87awsome-comebacks%E2%9D%87-haha', 'rating': 0, 'draft': False, 'modifyDate': '2015-06-23T03:03:10Z', 'length': 262, 'videoId': '', 'photoUrl': '', 'commentCount': 592, 'voteCount': 1805, 'readCount': 80774}, {'id': 141082361, 'title': 'not really a comeback #2', 'url': 'https://www.wattpad.com/141082361-%E2%9D%87awsome-comebacks%E2%9D%87-not-really-a-comeback-2', 'rating': 0, 'draft': False, 'modifyDate': '2015-06-23T03:03:26Z', 'length': 87, 'videoId': '', 'photoUrl': '', 'commentCount': 490, 'voteCount': 1951, 'readCount': 74684}, {'id': 141082369, 'title': 'why do we need school', 'url': 'https://www.wattpad.com/141082369-%E2%9D%87awsome-comebacks%E2%9D%87-why-do-we-need-school', 'rating': 0, 'draft': False, 'modifyDate': '2015-06-23T03:03:37Z', 'length': 191, 'videoId': '', 'photoUrl': '', 'commentCount': 1545, 'voteCount': 2664, 'readCount': 73858}, {'id': 141082375, 'title': 'poopfaces', 'url': 'https://www.wattpad.com/141082375-%E2%9D%87awsome-comebacks%E2%9D%87-poopfaces', 'rating': 0, 'draft': False, 'modifyDate': '2015-06-23T03:05:48Z', 'length': 94, 'videoId': '', 'photoUrl': '', 'commentCount': 173, 'voteCount': 1912, 'readCount': 69297}, {'id': 141082382, 'title': 'mmhhmm!', 'url': 'https://www.wattpad.com/141082382-%E2%9D%87awsome-comebacks%E2%9D%87-mmhhmm', 'rating': 0, 'draft': False, 'modifyDate': '2015-06-23T03:05:55Z', 'length': 159, 'videoId': '', 'photoUrl': '', 'commentCount': 540, 'voteCount': 2110, 'readCount': 62766}, {'id': 141082390, 'title': 'gotta tell ya', 'url': 'https://www.wattpad.com/141082390-%E2%9D%87awsome-comebacks%E2%9D%87-gotta-tell-ya', 'rating': 0, 'draft': False, 'modifyDate': '2015-06-23T10:06:01Z', 'length': 104, 'videoId': '', 'photoUrl': '', 'commentCount': 468, 'voteCount': 1013, 'readCount': 58047}, {'id': 141082397, 'title': 'okay okay im back!', 'url': 'https://www.wattpad.com/141082397-%E2%9D%87awsome-comebacks%E2%9D%87-okay-okay-im-back', 'rating': 0, 'draft': False, 'modifyDate': '2015-06-23T03:06:12Z', 'length': 165, 'videoId': '', 'photoUrl': '', 'commentCount': 540, 'voteCount': 2328, 'readCount': 56227}, {'id': 141082405, 'title': 'im done', 'url': 'https://www.wattpad.com/141082405-%E2%9D%87awsome-comebacks%E2%9D%87-im-done', 'rating': 0, 'draft': False, 'modifyDate': '2015-06-23T03:06:30Z', 'length': 90, 'videoId': '', 'photoUrl': '', 'commentCount': 208, 'voteCount': 941, 'readCount': 60953}]", 0, 1362167, "['dumb', 'funny', 'listen', 'nothing', 'okay']", '❇awsome comebacks❇', 'https://www.wattpad.com/story/42937930-%E2%9D%87awsome-comebacks%E2%9D%87', 'https://a.wattpad.com/useravatar/kittygirl_121604.128.186602.jpg', nan, 'kittygirl_121604', 37697]]</t>
  </si>
  <si>
    <t>L3_83</t>
  </si>
  <si>
    <t>Target3_83</t>
  </si>
  <si>
    <t>['bidder_id', 'payment_account', 'address', 'outcome', 'bids_count']</t>
  </si>
  <si>
    <t>[['585e7c21b80baf2225224fe140cdb1a73ddrf', 'a3d2de7675556553a5f08e4c88d2c228bvufu', 'a3d2de7675556553a5f08e4c88d2c22881vc1', 0.0, 1], ['d91a4421996dcf429f575e372915cdcedae6g', 'a3d2de7675556553a5f08e4c88d2c2286gew9', 'e350bda3ceb6067cad400ae931c3527aetdd8', 0.0, 3], ['067ff22ebf0d33fe0deedc816d75973865jo7', 'a3d2de7675556553a5f08e4c88d2c22848lqa', '022b06519985716abd9fc8ce83540d58wsgo1', 0.0, 1]]</t>
  </si>
  <si>
    <t>L3_84</t>
  </si>
  <si>
    <t>Target3_84</t>
  </si>
  <si>
    <t>same above fail</t>
  </si>
  <si>
    <t>L3_85</t>
  </si>
  <si>
    <t>Target3_85</t>
  </si>
  <si>
    <t>L3_86</t>
  </si>
  <si>
    <t>Target3_86</t>
  </si>
  <si>
    <t>['Rank', 'Documents', 'Citable documents', 'Citations', 'Self-citations', 'Citations per document', 'H index', 'Energy Supply', 'Energy Supply per Capita', '% Renewable', '2006', '2007', '2008', '2009', '2010', '2011', '2012', '2013', '2014', '2015']</t>
  </si>
  <si>
    <t>[[1, 1, 1, 1, 1, 1, 1, 1, 1, 1, 1, 1, 1, 1, 1, 1, 1, 1, 1, 1], [1, 1, 1, 1, 1, 1, 1, 1, 1, 1, 1, 1, 1, 1, 1, 1, 1, 1, 1, 1], [1, 1, 1, 1, 1, 1, 1, 1, 1, 1, 1, 1, 1, 1, 1, 1, 1, 1, 1, 1]]</t>
  </si>
  <si>
    <t>[['Aruba', 'ABW', 'GDP at market prices (constant 2010 US$)', 'NY.GDP.MKTP.KD', nan, nan, nan, nan, nan, nan, nan, nan, nan, nan, nan, nan, nan, nan, nan, nan, nan, nan, nan, nan, nan, nan, nan, nan, nan, nan, nan, nan, nan, nan, nan, nan, nan, nan, nan, nan, nan, nan, nan, nan, nan, nan, nan, nan, nan, nan, nan, nan, nan, nan, 2467703910.61, nan, nan, nan, nan, nan], ['Andorra', 'AND', 'GDP at market prices (constant 2010 US$)', 'NY.GDP.MKTP.KD', nan, nan, nan, nan, nan, nan, nan, nan, nan, nan, 1022871401.93, 1070429536.96, 1157666822.22, 1247831302.28, 1317944270.1, 1325090206.69, 1368868423.74, 1407724771.11, 1428319832.56, 1428913249.71, 1460474058.82, 1458539387.76, 1476719523.09, 1502859168.8, 1529680509.57, 1565191061.36, 1616111761.51, 1705759462.17, 1792656379.78, 1879188446.01, 1950247955.35, 1999901280.79, 2018484671.13, 1997664169.0, 2045272407.14, 2101670670.58, 2199392933.59, 2398826713.99, 2475464141.15, 2576935425.08, 2606977004.92, 2765136580.02, 2942847625.89, 3296693262.49, 3562720066.76, 3842026792.01, 4018195653.51, 4021331428.4, 3675727910.5, 3535389132.6, 3346317328.52, 3185604581.52, 3129537611.88, 3127549907.58, nan, nan], ['Afghanistan', 'AFG', 'GDP at market prices (constant 2010 US$)', 'NY.GDP.MKTP.KD', nan, nan, nan, nan, nan, nan, nan, nan, nan, nan, nan, nan, nan, nan, nan, nan, nan, nan, nan, nan, nan, nan, nan, nan, nan, nan, nan, nan, nan, nan, nan, nan, nan, nan, nan, nan, nan, nan, nan, nan, nan, nan, 8013233121.55, 8689883606.07, 8781610175.4, 9762978844.07, 10305228125.13, 11721187594.2, 12144482858.18, 14697331940.64, 15936800636.24, 16911126453.22, 19352203805.62, 19731337260.63, 19990317160.67, 20294152243.0]]</t>
  </si>
  <si>
    <t>[[1, 'China', 127050, 126767, 597237, 411683, 4.7, 138], [2, 'United States', 96661, 94747, 792274, 265436, 8.19, 230], [3, 'Japan', 30504, 30287, 223024, 61554, 7.31, 134]]</t>
  </si>
  <si>
    <t>[['Afghanistan', 321.0, 10.0, 78.66], ['Albania', 102.0, 35.0, 100.0], ['Algeria', 1959.0, 51.0, 0.55]]</t>
  </si>
  <si>
    <t>L3_87</t>
  </si>
  <si>
    <t>Target3_87</t>
  </si>
  <si>
    <t>[[6, 1], [7, 1], [8, 1]]</t>
  </si>
  <si>
    <t>L3_88</t>
  </si>
  <si>
    <t>Target3_88</t>
  </si>
  <si>
    <t>['playlist_id', 'track_id', 'interaction', 'index_playlist', 'index_track']</t>
  </si>
  <si>
    <t>[[10250368, 2122985, 1, 38244, 52865], [10250368, 3578597, 1, 38244, 91711], [10250368, 2673648, 1, 38244, 67007]]</t>
  </si>
  <si>
    <t>[[0, 252], [1, 360], [2, 394]]</t>
  </si>
  <si>
    <t>[[10250368, 2122985, 1], [6542918, 2229489, 1], [7560214, 1494164, 1]]</t>
  </si>
  <si>
    <t>[[10024884], [10624787], [4891851]]</t>
  </si>
  <si>
    <t>['playlist_id']</t>
  </si>
  <si>
    <t>L3_89</t>
  </si>
  <si>
    <t>Target3_89</t>
  </si>
  <si>
    <t>['Station', 'Tmax', 'Tmin', 'Tavg', 'Depart', 'DewPoint', 'WetBulb', 'Heat', 'Cool', 'Sunrise', 'Sunset', 'CodeSum', 'Depth', 'Water1', 'SnowFall', 'PrecipTotal', 'StnPressure', 'SeaLevel', 'ResultSpeed', 'ResultDir', 'AvgSpeed']</t>
  </si>
  <si>
    <t>[[1, 736, 736, 736, 736, 736, 735, 736, 736, 736, 736, 736, 736, 736, 736, 736, 735, 736, 736, 736, 736], [2, 736, 736, 733, 736, 736, 736, 733, 733, 736, 736, 736, 736, 736, 736, 734, 735, 736, 736, 736, 736]]</t>
  </si>
  <si>
    <t>[[1, '2007-05-01', 83, 50, 67.0, '14', 51, 56.0, 0.0, 2.0, '0448', '1849', ' ', '0', 'M', '0.0', 0.0, 29.1, 29.82, 1.7, 27, 9.2], [2, '2007-05-01', 84, 52, 68.0, 'M', 51, 57.0, 0.0, 3.0, '-', '-', ' ', 'M', 'M', 'M', 0.0, 29.18, 29.82, 2.7, 25, 9.6], [1, '2007-05-02', 59, 42, 51.0, '-3', 42, 47.0, 14.0, 0.0, '0447', '1850', 'BR', '0', 'M', '0.0', 0.0, 29.38, 30.09, 13.0, 4, 13.4]]</t>
  </si>
  <si>
    <t>same fail</t>
  </si>
  <si>
    <t>L3_9</t>
  </si>
  <si>
    <t>Target3_9</t>
  </si>
  <si>
    <t>['park_name', 'observations']</t>
  </si>
  <si>
    <t>[['Bryce National Park', 1], ['Great Smoky Mountains National Park', 1], ['Yellowstone National Park', 1]]</t>
  </si>
  <si>
    <t>[['Vicia benghalensis', 'Great Smoky Mountains National Park', 68], ['Neovison vison', 'Great Smoky Mountains National Park', 77], ['Prunus subcordata', 'Yosemite National Park', 138]]</t>
  </si>
  <si>
    <t>['scientific_name', 'park_name', 'observations']</t>
  </si>
  <si>
    <t>L3_90</t>
  </si>
  <si>
    <t>Target3_90</t>
  </si>
  <si>
    <t>L3_91</t>
  </si>
  <si>
    <t>Target3_91</t>
  </si>
  <si>
    <t>['title', 'movie_id', 'video_release_date', 'user_id', 'rating', 'unix_timestamp', 'age']</t>
  </si>
  <si>
    <t>[["'Til There Was You (1997)", 1300, nan, 306.8333333333333, 2.333333333333333, 886171012.0, 25.33333333333333], ['1-900 (1994)', 1353, nan, 395.0, 2.5, 882494921.5, 29.0], ['101 Dalmatians (1996)', 225, nan, 278.36538461538464, 2.9423076923076925, 882724023.8846154, 31.961538461538463]]</t>
  </si>
  <si>
    <t>L3_92</t>
  </si>
  <si>
    <t>Target3_92</t>
  </si>
  <si>
    <t>L3_93</t>
  </si>
  <si>
    <t>Target3_93</t>
  </si>
  <si>
    <t>['movie_id', '0']</t>
  </si>
  <si>
    <t>[[1, 208], [2, 59], [3, 47]]</t>
  </si>
  <si>
    <t>L3_94</t>
  </si>
  <si>
    <t>Target3_94</t>
  </si>
  <si>
    <t>L3_95</t>
  </si>
  <si>
    <t>Target3_95</t>
  </si>
  <si>
    <t>L3_96</t>
  </si>
  <si>
    <t>Target3_96</t>
  </si>
  <si>
    <t>['movie title', 'movie id', 'release date', 'video release date', 'IMDb URL', 'unknown', 'Action', 'Adventure', 'Animation', 'Childrens', 'Comedy', 'Crime', 'Documentary', 'Drama', 'Fantasy', 'Film-Noir', 'Horror', 'Musical', 'Mystery', 'Romance ', 'Sci-Fi', 'Thriller', 'War', 'Western', 'user id', 'rating', 'timestamp', 'age', 'gender', 'occupation', 'zip code']</t>
  </si>
  <si>
    <t>[["'Til There Was You (1997)", 6, 6, 0, 6, 6, 6, 6, 6, 6, 6, 6, 6, 6, 6, 6, 6, 6, 6, 6, 6, 6, 6, 6, 6, 6, 6, 6, 6, 6, 6], ['1-900 (1994)', 2, 2, 0, 2, 2, 2, 2, 2, 2, 2, 2, 2, 2, 2, 2, 2, 2, 2, 2, 2, 2, 2, 2, 2, 2, 2, 2, 2, 2, 2], ['101 Dalmatians (1996)', 52, 52, 0, 52, 52, 52, 52, 52, 52, 52, 52, 52, 52, 52, 52, 52, 52, 52, 52, 52, 52, 52, 52, 52, 52, 52, 52, 52, 52, 52]]</t>
  </si>
  <si>
    <t>L3_97</t>
  </si>
  <si>
    <t>Target3_97</t>
  </si>
  <si>
    <t>L3_99</t>
  </si>
  <si>
    <t>Target3_99</t>
  </si>
  <si>
    <t xml:space="preserve">Success* </t>
  </si>
  <si>
    <t>Need Domain Knowledge</t>
  </si>
  <si>
    <t>Failed-syntax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</si>
</sst>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family val="2"/>
      <scheme val="minor"/>
    </font>
    <font>
      <b/>
      <sz val="11"/>
      <color theme="1"/>
      <name val="Calibri"/>
      <family val="2"/>
      <scheme val="minor"/>
    </font>
    <font>
      <sz val="9.8000000000000007"/>
      <color rgb="FF000000"/>
      <name val="JetBrains Mono"/>
      <family val="3"/>
    </font>
    <font>
      <sz val="11"/>
      <color rgb="FF000000"/>
      <name val="Calibri"/>
      <family val="2"/>
      <scheme val="minor"/>
    </font>
    <font>
      <sz val="11"/>
      <color theme="1"/>
      <name val="Calibri"/>
      <family val="2"/>
      <scheme val="minor"/>
    </font>
    <font>
      <sz val="12"/>
      <color rgb="FF006100"/>
      <name val="Calibri"/>
      <family val="2"/>
      <scheme val="minor"/>
    </font>
    <font>
      <sz val="12"/>
      <color rgb="FF9C0006"/>
      <name val="Calibri"/>
      <family val="2"/>
      <scheme val="minor"/>
    </font>
    <font>
      <b/>
      <sz val="12"/>
      <color theme="0"/>
      <name val="Calibri"/>
      <family val="2"/>
      <scheme val="minor"/>
    </font>
    <font>
      <sz val="11"/>
      <color theme="1"/>
      <name val="Calibri"/>
      <family val="2"/>
    </font>
    <font>
      <sz val="10"/>
      <color rgb="FF434343"/>
      <name val="Calibri"/>
      <family val="2"/>
    </font>
    <font>
      <sz val="10"/>
      <color theme="1"/>
      <name val="Calibri"/>
      <family val="2"/>
    </font>
    <font>
      <sz val="10"/>
      <color rgb="FFC00000"/>
      <name val="Calibri"/>
      <family val="2"/>
    </font>
    <font>
      <sz val="10"/>
      <color rgb="FF7030A0"/>
      <name val="Calibri"/>
      <family val="2"/>
    </font>
    <font>
      <b/>
      <sz val="11"/>
      <color rgb="FF00B0F0"/>
      <name val="Calibri"/>
      <family val="2"/>
      <scheme val="minor"/>
    </font>
    <font>
      <sz val="10"/>
      <color theme="1"/>
      <name val="Arial"/>
      <family val="2"/>
    </font>
    <font>
      <sz val="11"/>
      <color rgb="FFC00000"/>
      <name val="Calibri"/>
      <family val="2"/>
      <scheme val="minor"/>
    </font>
    <font>
      <sz val="11"/>
      <color rgb="FF7030A0"/>
      <name val="Calibri"/>
      <family val="2"/>
      <scheme val="minor"/>
    </font>
    <font>
      <sz val="11"/>
      <color rgb="FF00B0F0"/>
      <name val="Calibri"/>
      <family val="2"/>
      <scheme val="minor"/>
    </font>
    <font>
      <b/>
      <sz val="10"/>
      <color theme="1"/>
      <name val="Calibri"/>
      <family val="2"/>
    </font>
    <font>
      <sz val="11"/>
      <color theme="9"/>
      <name val="Calibri"/>
      <family val="2"/>
      <scheme val="minor"/>
    </font>
    <font>
      <sz val="10"/>
      <color rgb="FF000000"/>
      <name val="Calibri"/>
      <family val="2"/>
      <scheme val="minor"/>
    </font>
    <font>
      <sz val="10"/>
      <color rgb="FFC00000"/>
      <name val="Calibri"/>
      <family val="2"/>
      <scheme val="minor"/>
    </font>
    <font>
      <sz val="10"/>
      <color rgb="FFFF0000"/>
      <name val="Calibri"/>
      <family val="2"/>
    </font>
    <font>
      <sz val="10"/>
      <color rgb="FF434343"/>
      <name val="Calibri"/>
      <family val="2"/>
      <scheme val="minor"/>
    </font>
    <font>
      <sz val="10"/>
      <color theme="1"/>
      <name val="Calibri"/>
      <family val="2"/>
      <scheme val="minor"/>
    </font>
    <font>
      <sz val="10"/>
      <name val="Arial"/>
      <family val="2"/>
    </font>
    <font>
      <strike/>
      <sz val="10"/>
      <color rgb="FF434343"/>
      <name val="Calibri"/>
      <family val="2"/>
      <scheme val="minor"/>
    </font>
    <font>
      <strike/>
      <sz val="10"/>
      <color theme="1"/>
      <name val="Calibri"/>
      <family val="2"/>
      <scheme val="minor"/>
    </font>
    <font>
      <strike/>
      <sz val="10"/>
      <name val="Arial"/>
      <family val="2"/>
    </font>
  </fonts>
  <fills count="14">
    <fill>
      <patternFill patternType="none"/>
    </fill>
    <fill>
      <patternFill patternType="gray125"/>
    </fill>
    <fill>
      <patternFill patternType="solid">
        <fgColor theme="5" tint="0.39997558519241921"/>
        <bgColor indexed="64"/>
      </patternFill>
    </fill>
    <fill>
      <patternFill patternType="solid">
        <fgColor theme="9" tint="0.39997558519241921"/>
        <bgColor indexed="64"/>
      </patternFill>
    </fill>
    <fill>
      <patternFill patternType="solid">
        <fgColor rgb="FFFFC000"/>
        <bgColor indexed="64"/>
      </patternFill>
    </fill>
    <fill>
      <patternFill patternType="solid">
        <fgColor theme="0" tint="-0.34998626667073579"/>
        <bgColor indexed="64"/>
      </patternFill>
    </fill>
    <fill>
      <patternFill patternType="solid">
        <fgColor rgb="FFC6EFCE"/>
      </patternFill>
    </fill>
    <fill>
      <patternFill patternType="solid">
        <fgColor rgb="FFFFC7CE"/>
      </patternFill>
    </fill>
    <fill>
      <patternFill patternType="solid">
        <fgColor rgb="FFA5A5A5"/>
      </patternFill>
    </fill>
    <fill>
      <patternFill patternType="solid">
        <fgColor rgb="FFFFFFCC"/>
      </patternFill>
    </fill>
    <fill>
      <patternFill patternType="solid">
        <fgColor theme="9"/>
        <bgColor indexed="64"/>
      </patternFill>
    </fill>
    <fill>
      <patternFill patternType="solid">
        <fgColor rgb="FFFFFF00"/>
        <bgColor indexed="64"/>
      </patternFill>
    </fill>
    <fill>
      <patternFill patternType="solid">
        <fgColor rgb="FFFFFF00"/>
        <bgColor rgb="FFFFFF00"/>
      </patternFill>
    </fill>
    <fill>
      <patternFill patternType="solid">
        <fgColor theme="1"/>
        <bgColor indexed="64"/>
      </patternFill>
    </fill>
  </fills>
  <borders count="42">
    <border>
      <left/>
      <right/>
      <top/>
      <bottom/>
      <diagonal/>
    </border>
    <border>
      <left style="thin">
        <color auto="1"/>
      </left>
      <right style="thin">
        <color auto="1"/>
      </right>
      <top style="thin">
        <color auto="1"/>
      </top>
      <bottom style="thin">
        <color auto="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top/>
      <bottom/>
      <diagonal/>
    </border>
    <border>
      <left style="medium">
        <color rgb="FFCCCCCC"/>
      </left>
      <right style="medium">
        <color rgb="FFCCCCCC"/>
      </right>
      <top style="medium">
        <color rgb="FFCCCCCC"/>
      </top>
      <bottom style="medium">
        <color rgb="FFCCCCCC"/>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rgb="FFCCCCCC"/>
      </left>
      <right style="medium">
        <color rgb="FF000000"/>
      </right>
      <top style="medium">
        <color rgb="FFCCCCCC"/>
      </top>
      <bottom style="medium">
        <color rgb="FFCCCCCC"/>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CCCCCC"/>
      </right>
      <top style="medium">
        <color rgb="FFCCCCCC"/>
      </top>
      <bottom/>
      <diagonal/>
    </border>
    <border>
      <left style="medium">
        <color indexed="64"/>
      </left>
      <right/>
      <top/>
      <bottom/>
      <diagonal/>
    </border>
    <border>
      <left/>
      <right style="medium">
        <color indexed="64"/>
      </right>
      <top/>
      <bottom/>
      <diagonal/>
    </border>
    <border>
      <left style="medium">
        <color rgb="FFCCCCCC"/>
      </left>
      <right style="medium">
        <color rgb="FF000000"/>
      </right>
      <top style="medium">
        <color rgb="FFCCCCCC"/>
      </top>
      <bottom/>
      <diagonal/>
    </border>
    <border>
      <left style="medium">
        <color rgb="FF000000"/>
      </left>
      <right style="medium">
        <color rgb="FF000000"/>
      </right>
      <top style="medium">
        <color rgb="FF000000"/>
      </top>
      <bottom/>
      <diagonal/>
    </border>
    <border>
      <left/>
      <right style="medium">
        <color rgb="FFCCCCCC"/>
      </right>
      <top style="medium">
        <color rgb="FFCCCCCC"/>
      </top>
      <bottom/>
      <diagonal/>
    </border>
    <border>
      <left style="medium">
        <color rgb="FFCCCCCC"/>
      </left>
      <right style="medium">
        <color rgb="FF000000"/>
      </right>
      <top/>
      <bottom style="medium">
        <color rgb="FFCCCCCC"/>
      </bottom>
      <diagonal/>
    </border>
    <border>
      <left style="medium">
        <color rgb="FF000000"/>
      </left>
      <right style="medium">
        <color rgb="FF000000"/>
      </right>
      <top/>
      <bottom style="medium">
        <color rgb="FF000000"/>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style="medium">
        <color rgb="FFCCCCCC"/>
      </top>
      <bottom/>
      <diagonal/>
    </border>
    <border>
      <left/>
      <right style="medium">
        <color rgb="FF000000"/>
      </right>
      <top style="medium">
        <color rgb="FFCCCCCC"/>
      </top>
      <bottom/>
      <diagonal/>
    </border>
    <border>
      <left style="medium">
        <color rgb="FF000000"/>
      </left>
      <right style="medium">
        <color rgb="FF000000"/>
      </right>
      <top style="medium">
        <color rgb="FFCCCCCC"/>
      </top>
      <bottom/>
      <diagonal/>
    </border>
    <border>
      <left style="medium">
        <color rgb="FF000000"/>
      </left>
      <right style="medium">
        <color rgb="FFCCCCCC"/>
      </right>
      <top style="medium">
        <color rgb="FFCCCCCC"/>
      </top>
      <bottom/>
      <diagonal/>
    </border>
    <border>
      <left/>
      <right style="medium">
        <color rgb="FF000000"/>
      </right>
      <top/>
      <bottom/>
      <diagonal/>
    </border>
    <border>
      <left style="medium">
        <color rgb="FF000000"/>
      </left>
      <right style="medium">
        <color rgb="FF000000"/>
      </right>
      <top/>
      <bottom style="medium">
        <color rgb="FFCCCCCC"/>
      </bottom>
      <diagonal/>
    </border>
    <border>
      <left style="medium">
        <color rgb="FF000000"/>
      </left>
      <right style="medium">
        <color rgb="FFCCCCCC"/>
      </right>
      <top/>
      <bottom style="medium">
        <color rgb="FFCCCCCC"/>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6">
    <xf numFmtId="0" fontId="0" fillId="0" borderId="0"/>
    <xf numFmtId="0" fontId="5" fillId="6" borderId="0" applyNumberFormat="0" applyBorder="0" applyAlignment="0" applyProtection="0"/>
    <xf numFmtId="0" fontId="6" fillId="7" borderId="0" applyNumberFormat="0" applyBorder="0" applyAlignment="0" applyProtection="0"/>
    <xf numFmtId="0" fontId="7" fillId="8" borderId="2" applyNumberFormat="0" applyAlignment="0" applyProtection="0"/>
    <xf numFmtId="0" fontId="4" fillId="9" borderId="3" applyNumberFormat="0" applyFont="0" applyAlignment="0" applyProtection="0"/>
    <xf numFmtId="0" fontId="20" fillId="0" borderId="0"/>
  </cellStyleXfs>
  <cellXfs count="182">
    <xf numFmtId="0" fontId="0" fillId="0" borderId="0" xfId="0"/>
    <xf numFmtId="0" fontId="1" fillId="0" borderId="1" xfId="0" applyFont="1" applyBorder="1" applyAlignment="1">
      <alignment horizontal="center" vertical="top"/>
    </xf>
    <xf numFmtId="0" fontId="0" fillId="0" borderId="0" xfId="0" quotePrefix="1"/>
    <xf numFmtId="0" fontId="2" fillId="0" borderId="0" xfId="0" applyFont="1" applyAlignment="1">
      <alignment vertical="center"/>
    </xf>
    <xf numFmtId="0" fontId="0" fillId="0" borderId="0" xfId="0" applyAlignment="1">
      <alignment wrapText="1"/>
    </xf>
    <xf numFmtId="0" fontId="2" fillId="0" borderId="0" xfId="0" applyFont="1" applyAlignment="1">
      <alignment vertical="center" wrapText="1"/>
    </xf>
    <xf numFmtId="0" fontId="0" fillId="0" borderId="0" xfId="0" pivotButton="1"/>
    <xf numFmtId="0" fontId="0" fillId="0" borderId="0" xfId="0" applyAlignment="1">
      <alignment horizontal="left"/>
    </xf>
    <xf numFmtId="0" fontId="0" fillId="0" borderId="0" xfId="0" applyAlignment="1">
      <alignment horizontal="left" indent="1"/>
    </xf>
    <xf numFmtId="0" fontId="0" fillId="2" borderId="0" xfId="0" applyFill="1" applyAlignment="1">
      <alignment horizontal="left"/>
    </xf>
    <xf numFmtId="0" fontId="0" fillId="2" borderId="0" xfId="0" applyFill="1" applyAlignment="1">
      <alignment horizontal="left" indent="1"/>
    </xf>
    <xf numFmtId="0" fontId="0" fillId="3" borderId="0" xfId="0" applyFill="1" applyAlignment="1">
      <alignment horizontal="left"/>
    </xf>
    <xf numFmtId="0" fontId="0" fillId="3" borderId="0" xfId="0" applyFill="1" applyAlignment="1">
      <alignment horizontal="left" indent="1"/>
    </xf>
    <xf numFmtId="0" fontId="0" fillId="3" borderId="0" xfId="0" applyFill="1"/>
    <xf numFmtId="0" fontId="0" fillId="4" borderId="0" xfId="0" applyFill="1"/>
    <xf numFmtId="0" fontId="0" fillId="2" borderId="0" xfId="0" applyFill="1"/>
    <xf numFmtId="0" fontId="0" fillId="5" borderId="0" xfId="0" applyFill="1" applyAlignment="1">
      <alignment horizontal="left" indent="1"/>
    </xf>
    <xf numFmtId="0" fontId="3" fillId="0" borderId="0" xfId="0" applyFont="1"/>
    <xf numFmtId="0" fontId="9" fillId="0" borderId="4" xfId="0" applyFont="1" applyBorder="1" applyAlignment="1">
      <alignment vertical="top" wrapText="1"/>
    </xf>
    <xf numFmtId="0" fontId="9" fillId="0" borderId="5" xfId="0" applyFont="1" applyBorder="1" applyAlignment="1">
      <alignment vertical="top" wrapText="1"/>
    </xf>
    <xf numFmtId="0" fontId="10" fillId="0" borderId="5" xfId="0" applyFont="1" applyBorder="1" applyAlignment="1">
      <alignment vertical="top" wrapText="1"/>
    </xf>
    <xf numFmtId="0" fontId="10" fillId="0" borderId="6" xfId="0" applyFont="1" applyBorder="1" applyAlignment="1">
      <alignment vertical="top" wrapText="1"/>
    </xf>
    <xf numFmtId="0" fontId="10" fillId="0" borderId="7" xfId="0" applyFont="1" applyBorder="1" applyAlignment="1">
      <alignment vertical="top" wrapText="1"/>
    </xf>
    <xf numFmtId="0" fontId="10" fillId="0" borderId="0" xfId="0" applyFont="1" applyAlignment="1">
      <alignment vertical="top" wrapText="1"/>
    </xf>
    <xf numFmtId="0" fontId="11" fillId="0" borderId="0" xfId="0" applyFont="1" applyAlignment="1">
      <alignment vertical="top" wrapText="1"/>
    </xf>
    <xf numFmtId="0" fontId="12" fillId="0" borderId="8" xfId="0" applyFont="1" applyBorder="1" applyAlignment="1">
      <alignment horizontal="left" vertical="top" wrapText="1"/>
    </xf>
    <xf numFmtId="0" fontId="12" fillId="0" borderId="9" xfId="0" applyFont="1" applyBorder="1" applyAlignment="1">
      <alignment horizontal="left" vertical="top" wrapText="1"/>
    </xf>
    <xf numFmtId="0" fontId="12" fillId="0" borderId="10" xfId="0" applyFont="1" applyBorder="1" applyAlignment="1">
      <alignment horizontal="left" vertical="top" wrapText="1"/>
    </xf>
    <xf numFmtId="0" fontId="12" fillId="0" borderId="0" xfId="0" applyFont="1" applyAlignment="1">
      <alignment horizontal="left" vertical="top" wrapText="1"/>
    </xf>
    <xf numFmtId="0" fontId="13" fillId="0" borderId="11" xfId="0" applyFont="1" applyBorder="1" applyAlignment="1">
      <alignment wrapText="1"/>
    </xf>
    <xf numFmtId="0" fontId="13" fillId="0" borderId="12" xfId="0" applyFont="1" applyBorder="1" applyAlignment="1">
      <alignment wrapText="1"/>
    </xf>
    <xf numFmtId="0" fontId="14" fillId="0" borderId="13" xfId="0" applyFont="1" applyBorder="1" applyAlignment="1">
      <alignment vertical="top" wrapText="1"/>
    </xf>
    <xf numFmtId="0" fontId="9" fillId="0" borderId="14" xfId="0" applyFont="1" applyBorder="1" applyAlignment="1">
      <alignment vertical="top" wrapText="1"/>
    </xf>
    <xf numFmtId="0" fontId="10" fillId="0" borderId="14" xfId="0" applyFont="1" applyBorder="1" applyAlignment="1">
      <alignment vertical="top" wrapText="1"/>
    </xf>
    <xf numFmtId="0" fontId="10" fillId="0" borderId="15" xfId="0" applyFont="1" applyBorder="1" applyAlignment="1">
      <alignment vertical="top" wrapText="1"/>
    </xf>
    <xf numFmtId="0" fontId="14" fillId="0" borderId="14" xfId="0" applyFont="1" applyBorder="1" applyAlignment="1">
      <alignment vertical="top" wrapText="1"/>
    </xf>
    <xf numFmtId="0" fontId="10" fillId="0" borderId="16" xfId="0" applyFont="1" applyBorder="1" applyAlignment="1">
      <alignment vertical="top" wrapText="1"/>
    </xf>
    <xf numFmtId="0" fontId="14" fillId="0" borderId="7" xfId="0" applyFont="1" applyBorder="1" applyAlignment="1">
      <alignment vertical="top" wrapText="1"/>
    </xf>
    <xf numFmtId="0" fontId="14" fillId="0" borderId="0" xfId="0" applyFont="1" applyAlignment="1">
      <alignment vertical="top" wrapText="1"/>
    </xf>
    <xf numFmtId="0" fontId="0" fillId="0" borderId="0" xfId="0" applyAlignment="1">
      <alignment vertical="top" wrapText="1"/>
    </xf>
    <xf numFmtId="0" fontId="15" fillId="0" borderId="0" xfId="0" applyFont="1" applyAlignment="1">
      <alignment wrapText="1"/>
    </xf>
    <xf numFmtId="0" fontId="16" fillId="0" borderId="17" xfId="0" applyFont="1" applyBorder="1" applyAlignment="1">
      <alignment horizontal="left" vertical="top" wrapText="1"/>
    </xf>
    <xf numFmtId="0" fontId="16" fillId="0" borderId="0" xfId="0" applyFont="1" applyAlignment="1">
      <alignment horizontal="left" vertical="top" wrapText="1"/>
    </xf>
    <xf numFmtId="0" fontId="0" fillId="0" borderId="0" xfId="0" applyAlignment="1">
      <alignment horizontal="left" vertical="top" wrapText="1"/>
    </xf>
    <xf numFmtId="0" fontId="0" fillId="0" borderId="18" xfId="0" applyBorder="1" applyAlignment="1">
      <alignment horizontal="left" vertical="top" wrapText="1"/>
    </xf>
    <xf numFmtId="0" fontId="17" fillId="0" borderId="0" xfId="0" applyFont="1" applyAlignment="1">
      <alignment wrapText="1"/>
    </xf>
    <xf numFmtId="0" fontId="10" fillId="0" borderId="21" xfId="0" applyFont="1" applyBorder="1" applyAlignment="1">
      <alignment vertical="top" wrapText="1"/>
    </xf>
    <xf numFmtId="0" fontId="14" fillId="0" borderId="0" xfId="0" applyFont="1" applyAlignment="1">
      <alignment horizontal="center" vertical="top" wrapText="1"/>
    </xf>
    <xf numFmtId="0" fontId="5" fillId="6" borderId="0" xfId="1" applyAlignment="1">
      <alignment wrapText="1"/>
    </xf>
    <xf numFmtId="0" fontId="18" fillId="0" borderId="14" xfId="0" applyFont="1" applyBorder="1" applyAlignment="1">
      <alignment vertical="top" wrapText="1"/>
    </xf>
    <xf numFmtId="0" fontId="10" fillId="0" borderId="26" xfId="0" applyFont="1" applyBorder="1" applyAlignment="1">
      <alignment vertical="top" wrapText="1"/>
    </xf>
    <xf numFmtId="0" fontId="19" fillId="0" borderId="0" xfId="0" applyFont="1" applyAlignment="1">
      <alignment wrapText="1"/>
    </xf>
    <xf numFmtId="0" fontId="7" fillId="8" borderId="2" xfId="3" applyAlignment="1">
      <alignment vertical="top" wrapText="1"/>
    </xf>
    <xf numFmtId="0" fontId="10" fillId="0" borderId="7" xfId="0" applyFont="1" applyBorder="1" applyAlignment="1">
      <alignment horizontal="right" vertical="top" wrapText="1"/>
    </xf>
    <xf numFmtId="0" fontId="10" fillId="0" borderId="27" xfId="0" applyFont="1" applyBorder="1" applyAlignment="1">
      <alignment vertical="top" wrapText="1"/>
    </xf>
    <xf numFmtId="0" fontId="10" fillId="0" borderId="30" xfId="0" applyFont="1" applyBorder="1" applyAlignment="1">
      <alignment vertical="top" wrapText="1"/>
    </xf>
    <xf numFmtId="0" fontId="8" fillId="0" borderId="7" xfId="0" applyFont="1" applyBorder="1" applyAlignment="1">
      <alignment horizontal="right" vertical="top" wrapText="1"/>
    </xf>
    <xf numFmtId="0" fontId="6" fillId="7" borderId="0" xfId="2" applyAlignment="1">
      <alignment wrapText="1"/>
    </xf>
    <xf numFmtId="0" fontId="14" fillId="0" borderId="6" xfId="0" applyFont="1" applyBorder="1" applyAlignment="1">
      <alignment vertical="top" wrapText="1"/>
    </xf>
    <xf numFmtId="0" fontId="15" fillId="6" borderId="0" xfId="1" applyFont="1" applyAlignment="1">
      <alignment wrapText="1"/>
    </xf>
    <xf numFmtId="0" fontId="9" fillId="11" borderId="14" xfId="0" applyFont="1" applyFill="1" applyBorder="1" applyAlignment="1">
      <alignment vertical="top" wrapText="1"/>
    </xf>
    <xf numFmtId="0" fontId="21" fillId="0" borderId="0" xfId="5" applyFont="1" applyAlignment="1">
      <alignment wrapText="1"/>
    </xf>
    <xf numFmtId="0" fontId="15" fillId="7" borderId="0" xfId="2" applyFont="1" applyAlignment="1">
      <alignment wrapText="1"/>
    </xf>
    <xf numFmtId="0" fontId="9" fillId="9" borderId="3" xfId="4" applyFont="1" applyAlignment="1">
      <alignment vertical="top" wrapText="1"/>
    </xf>
    <xf numFmtId="0" fontId="6" fillId="7" borderId="17" xfId="2" applyBorder="1" applyAlignment="1">
      <alignment horizontal="left" vertical="top" wrapText="1"/>
    </xf>
    <xf numFmtId="0" fontId="24" fillId="0" borderId="33" xfId="5" applyFont="1" applyBorder="1" applyAlignment="1">
      <alignment vertical="top" wrapText="1"/>
    </xf>
    <xf numFmtId="0" fontId="24" fillId="0" borderId="0" xfId="5" applyFont="1" applyAlignment="1">
      <alignment vertical="top" wrapText="1"/>
    </xf>
    <xf numFmtId="0" fontId="24" fillId="0" borderId="35" xfId="5" applyFont="1" applyBorder="1" applyAlignment="1">
      <alignment vertical="top" wrapText="1"/>
    </xf>
    <xf numFmtId="0" fontId="25" fillId="0" borderId="37" xfId="5" applyFont="1" applyBorder="1" applyAlignment="1">
      <alignment vertical="top" wrapText="1"/>
    </xf>
    <xf numFmtId="0" fontId="20" fillId="0" borderId="0" xfId="5" applyAlignment="1">
      <alignment vertical="top" wrapText="1"/>
    </xf>
    <xf numFmtId="0" fontId="0" fillId="0" borderId="9" xfId="0" applyBorder="1" applyAlignment="1">
      <alignment wrapText="1"/>
    </xf>
    <xf numFmtId="0" fontId="25" fillId="0" borderId="38" xfId="5" applyFont="1" applyBorder="1" applyAlignment="1">
      <alignment vertical="top" wrapText="1"/>
    </xf>
    <xf numFmtId="0" fontId="0" fillId="0" borderId="40" xfId="0" applyBorder="1" applyAlignment="1">
      <alignment wrapText="1"/>
    </xf>
    <xf numFmtId="0" fontId="24" fillId="0" borderId="35" xfId="0" applyFont="1" applyBorder="1" applyAlignment="1">
      <alignment horizontal="center" vertical="top" wrapText="1"/>
    </xf>
    <xf numFmtId="0" fontId="24" fillId="0" borderId="33" xfId="0" applyFont="1" applyBorder="1" applyAlignment="1">
      <alignment vertical="top" wrapText="1"/>
    </xf>
    <xf numFmtId="0" fontId="24" fillId="0" borderId="35" xfId="0" applyFont="1" applyBorder="1" applyAlignment="1">
      <alignment vertical="top" wrapText="1"/>
    </xf>
    <xf numFmtId="0" fontId="25" fillId="0" borderId="38" xfId="0" applyFont="1" applyBorder="1" applyAlignment="1">
      <alignment wrapText="1"/>
    </xf>
    <xf numFmtId="0" fontId="25" fillId="0" borderId="37" xfId="0" applyFont="1" applyBorder="1" applyAlignment="1">
      <alignment wrapText="1"/>
    </xf>
    <xf numFmtId="0" fontId="14" fillId="0" borderId="0" xfId="0" applyFont="1" applyAlignment="1">
      <alignment wrapText="1"/>
    </xf>
    <xf numFmtId="0" fontId="24" fillId="0" borderId="0" xfId="0" applyFont="1" applyAlignment="1">
      <alignment wrapText="1"/>
    </xf>
    <xf numFmtId="0" fontId="24" fillId="0" borderId="0" xfId="0" applyFont="1" applyAlignment="1">
      <alignment vertical="top" wrapText="1"/>
    </xf>
    <xf numFmtId="0" fontId="5" fillId="6" borderId="33" xfId="1" applyBorder="1" applyAlignment="1">
      <alignment vertical="top" wrapText="1"/>
    </xf>
    <xf numFmtId="0" fontId="27" fillId="0" borderId="35" xfId="0" applyFont="1" applyBorder="1" applyAlignment="1">
      <alignment vertical="top" wrapText="1"/>
    </xf>
    <xf numFmtId="0" fontId="27" fillId="0" borderId="33" xfId="0" applyFont="1" applyBorder="1" applyAlignment="1">
      <alignment vertical="top" wrapText="1"/>
    </xf>
    <xf numFmtId="0" fontId="28" fillId="0" borderId="37" xfId="0" applyFont="1" applyBorder="1" applyAlignment="1">
      <alignment wrapText="1"/>
    </xf>
    <xf numFmtId="0" fontId="14" fillId="0" borderId="0" xfId="5" applyFont="1" applyAlignment="1">
      <alignment vertical="top" wrapText="1"/>
    </xf>
    <xf numFmtId="0" fontId="23" fillId="0" borderId="33" xfId="5" applyFont="1" applyBorder="1" applyAlignment="1">
      <alignment horizontal="left" vertical="top" wrapText="1"/>
    </xf>
    <xf numFmtId="0" fontId="5" fillId="6" borderId="33" xfId="1" applyBorder="1" applyAlignment="1">
      <alignment horizontal="left" vertical="top" wrapText="1"/>
    </xf>
    <xf numFmtId="0" fontId="26" fillId="0" borderId="33" xfId="5" applyFont="1" applyBorder="1" applyAlignment="1">
      <alignment horizontal="left" vertical="top" wrapText="1"/>
    </xf>
    <xf numFmtId="0" fontId="0" fillId="0" borderId="10" xfId="0" applyBorder="1" applyAlignment="1">
      <alignment wrapText="1"/>
    </xf>
    <xf numFmtId="0" fontId="0" fillId="0" borderId="18" xfId="0" applyBorder="1" applyAlignment="1">
      <alignment wrapText="1"/>
    </xf>
    <xf numFmtId="0" fontId="0" fillId="0" borderId="41" xfId="0" applyBorder="1" applyAlignment="1">
      <alignment wrapText="1"/>
    </xf>
    <xf numFmtId="0" fontId="17" fillId="11" borderId="0" xfId="0" applyFont="1" applyFill="1" applyAlignment="1">
      <alignment wrapText="1"/>
    </xf>
    <xf numFmtId="0" fontId="0" fillId="11" borderId="0" xfId="0" applyFill="1" applyAlignment="1">
      <alignment wrapText="1"/>
    </xf>
    <xf numFmtId="0" fontId="16" fillId="11" borderId="17" xfId="0" applyFont="1" applyFill="1" applyBorder="1" applyAlignment="1">
      <alignment horizontal="left" vertical="top" wrapText="1"/>
    </xf>
    <xf numFmtId="0" fontId="0" fillId="11" borderId="0" xfId="0" applyFill="1"/>
    <xf numFmtId="0" fontId="1" fillId="13" borderId="1" xfId="0" applyFont="1" applyFill="1" applyBorder="1" applyAlignment="1">
      <alignment horizontal="center" vertical="top"/>
    </xf>
    <xf numFmtId="0" fontId="0" fillId="13" borderId="0" xfId="0" applyFill="1"/>
    <xf numFmtId="0" fontId="24" fillId="0" borderId="35" xfId="0" applyFont="1" applyBorder="1" applyAlignment="1">
      <alignment horizontal="center" vertical="top" wrapText="1"/>
    </xf>
    <xf numFmtId="0" fontId="24" fillId="0" borderId="38" xfId="0" applyFont="1" applyBorder="1" applyAlignment="1">
      <alignment horizontal="center" vertical="top" wrapText="1"/>
    </xf>
    <xf numFmtId="0" fontId="24" fillId="0" borderId="37" xfId="0" applyFont="1" applyBorder="1" applyAlignment="1">
      <alignment horizontal="center" vertical="top" wrapText="1"/>
    </xf>
    <xf numFmtId="0" fontId="24" fillId="0" borderId="35" xfId="0" applyFont="1" applyBorder="1" applyAlignment="1">
      <alignment vertical="top" wrapText="1"/>
    </xf>
    <xf numFmtId="0" fontId="25" fillId="0" borderId="38" xfId="0" applyFont="1" applyBorder="1" applyAlignment="1">
      <alignment wrapText="1"/>
    </xf>
    <xf numFmtId="0" fontId="25" fillId="0" borderId="37" xfId="0" applyFont="1" applyBorder="1" applyAlignment="1">
      <alignment wrapText="1"/>
    </xf>
    <xf numFmtId="0" fontId="27" fillId="0" borderId="35" xfId="0" applyFont="1" applyBorder="1" applyAlignment="1">
      <alignment horizontal="center" vertical="top" wrapText="1"/>
    </xf>
    <xf numFmtId="0" fontId="27" fillId="0" borderId="38" xfId="0" applyFont="1" applyBorder="1" applyAlignment="1">
      <alignment horizontal="center" vertical="top" wrapText="1"/>
    </xf>
    <xf numFmtId="0" fontId="27" fillId="0" borderId="37" xfId="0" applyFont="1" applyBorder="1" applyAlignment="1">
      <alignment horizontal="center" vertical="top" wrapText="1"/>
    </xf>
    <xf numFmtId="0" fontId="27" fillId="0" borderId="35" xfId="0" applyFont="1" applyBorder="1" applyAlignment="1">
      <alignment vertical="top" wrapText="1"/>
    </xf>
    <xf numFmtId="0" fontId="28" fillId="0" borderId="38" xfId="0" applyFont="1" applyBorder="1" applyAlignment="1">
      <alignment wrapText="1"/>
    </xf>
    <xf numFmtId="0" fontId="28" fillId="0" borderId="37" xfId="0" applyFont="1" applyBorder="1" applyAlignment="1">
      <alignment wrapText="1"/>
    </xf>
    <xf numFmtId="0" fontId="14" fillId="0" borderId="34" xfId="0" applyFont="1" applyBorder="1" applyAlignment="1">
      <alignment horizontal="center" wrapText="1"/>
    </xf>
    <xf numFmtId="0" fontId="16" fillId="0" borderId="17" xfId="0" applyFont="1" applyBorder="1" applyAlignment="1">
      <alignment horizontal="center" vertical="top" wrapText="1"/>
    </xf>
    <xf numFmtId="0" fontId="0" fillId="0" borderId="0" xfId="0" applyAlignment="1">
      <alignment horizontal="center" wrapText="1"/>
    </xf>
    <xf numFmtId="0" fontId="25" fillId="0" borderId="38" xfId="0" applyFont="1" applyBorder="1" applyAlignment="1">
      <alignment horizontal="center" wrapText="1"/>
    </xf>
    <xf numFmtId="0" fontId="25" fillId="0" borderId="37" xfId="0" applyFont="1" applyBorder="1" applyAlignment="1">
      <alignment horizontal="center" wrapText="1"/>
    </xf>
    <xf numFmtId="0" fontId="14" fillId="12" borderId="0" xfId="0" applyFont="1" applyFill="1" applyAlignment="1">
      <alignment wrapText="1"/>
    </xf>
    <xf numFmtId="0" fontId="0" fillId="0" borderId="0" xfId="0" applyAlignment="1">
      <alignment wrapText="1"/>
    </xf>
    <xf numFmtId="0" fontId="24" fillId="12" borderId="35" xfId="0" applyFont="1" applyFill="1" applyBorder="1" applyAlignment="1">
      <alignment vertical="top" wrapText="1"/>
    </xf>
    <xf numFmtId="0" fontId="25" fillId="0" borderId="38" xfId="0" applyFont="1" applyBorder="1" applyAlignment="1">
      <alignment horizontal="center" vertical="top" wrapText="1"/>
    </xf>
    <xf numFmtId="0" fontId="25" fillId="0" borderId="37" xfId="0" applyFont="1" applyBorder="1" applyAlignment="1">
      <alignment horizontal="center" vertical="top" wrapText="1"/>
    </xf>
    <xf numFmtId="0" fontId="14" fillId="0" borderId="0" xfId="0" applyFont="1" applyAlignment="1">
      <alignment horizontal="center" wrapText="1"/>
    </xf>
    <xf numFmtId="0" fontId="0" fillId="0" borderId="17" xfId="0" applyBorder="1" applyAlignment="1">
      <alignment horizontal="center" wrapText="1"/>
    </xf>
    <xf numFmtId="0" fontId="0" fillId="0" borderId="39" xfId="0" applyBorder="1" applyAlignment="1">
      <alignment horizontal="center" wrapText="1"/>
    </xf>
    <xf numFmtId="0" fontId="5" fillId="6" borderId="0" xfId="1" applyAlignment="1">
      <alignment vertical="top" wrapText="1"/>
    </xf>
    <xf numFmtId="0" fontId="23" fillId="0" borderId="35" xfId="5" applyFont="1" applyBorder="1" applyAlignment="1">
      <alignment horizontal="left" vertical="top" wrapText="1"/>
    </xf>
    <xf numFmtId="0" fontId="23" fillId="0" borderId="38" xfId="5" applyFont="1" applyBorder="1" applyAlignment="1">
      <alignment horizontal="left" vertical="top" wrapText="1"/>
    </xf>
    <xf numFmtId="0" fontId="23" fillId="0" borderId="37" xfId="5" applyFont="1" applyBorder="1" applyAlignment="1">
      <alignment horizontal="left" vertical="top" wrapText="1"/>
    </xf>
    <xf numFmtId="0" fontId="24" fillId="0" borderId="35" xfId="5" applyFont="1" applyBorder="1" applyAlignment="1">
      <alignment vertical="top" wrapText="1"/>
    </xf>
    <xf numFmtId="0" fontId="25" fillId="0" borderId="38" xfId="5" applyFont="1" applyBorder="1" applyAlignment="1">
      <alignment vertical="top" wrapText="1"/>
    </xf>
    <xf numFmtId="0" fontId="25" fillId="0" borderId="37" xfId="5" applyFont="1" applyBorder="1" applyAlignment="1">
      <alignment vertical="top" wrapText="1"/>
    </xf>
    <xf numFmtId="0" fontId="0" fillId="0" borderId="8" xfId="0" applyBorder="1" applyAlignment="1">
      <alignment horizontal="center" wrapText="1"/>
    </xf>
    <xf numFmtId="0" fontId="14" fillId="0" borderId="0" xfId="5" applyFont="1" applyAlignment="1">
      <alignment vertical="top" wrapText="1"/>
    </xf>
    <xf numFmtId="0" fontId="24" fillId="0" borderId="35" xfId="5" applyFont="1" applyBorder="1" applyAlignment="1">
      <alignment horizontal="center" vertical="top" wrapText="1"/>
    </xf>
    <xf numFmtId="0" fontId="24" fillId="0" borderId="38" xfId="5" applyFont="1" applyBorder="1" applyAlignment="1">
      <alignment horizontal="center" vertical="top" wrapText="1"/>
    </xf>
    <xf numFmtId="0" fontId="24" fillId="0" borderId="37" xfId="5" applyFont="1" applyBorder="1" applyAlignment="1">
      <alignment horizontal="center" vertical="top" wrapText="1"/>
    </xf>
    <xf numFmtId="0" fontId="23" fillId="0" borderId="35" xfId="5" applyFont="1" applyBorder="1" applyAlignment="1">
      <alignment horizontal="center" vertical="top" wrapText="1"/>
    </xf>
    <xf numFmtId="0" fontId="23" fillId="0" borderId="37" xfId="5" applyFont="1" applyBorder="1" applyAlignment="1">
      <alignment horizontal="center" vertical="top" wrapText="1"/>
    </xf>
    <xf numFmtId="0" fontId="16" fillId="0" borderId="17" xfId="0" applyFont="1" applyBorder="1" applyAlignment="1">
      <alignment horizontal="left" vertical="top" wrapText="1"/>
    </xf>
    <xf numFmtId="0" fontId="16" fillId="0" borderId="0" xfId="0" applyFont="1" applyAlignment="1">
      <alignment horizontal="left" vertical="top" wrapText="1"/>
    </xf>
    <xf numFmtId="0" fontId="23" fillId="0" borderId="38" xfId="5" applyFont="1" applyBorder="1" applyAlignment="1">
      <alignment horizontal="center" vertical="top" wrapText="1"/>
    </xf>
    <xf numFmtId="0" fontId="0" fillId="0" borderId="18" xfId="0" applyBorder="1" applyAlignment="1">
      <alignment horizontal="left" vertical="top" wrapText="1"/>
    </xf>
    <xf numFmtId="0" fontId="6" fillId="7" borderId="35" xfId="2" applyBorder="1" applyAlignment="1">
      <alignment horizontal="left" vertical="top" wrapText="1"/>
    </xf>
    <xf numFmtId="0" fontId="6" fillId="7" borderId="37" xfId="2" applyBorder="1" applyAlignment="1">
      <alignment horizontal="left" vertical="top" wrapText="1"/>
    </xf>
    <xf numFmtId="0" fontId="20" fillId="0" borderId="0" xfId="5" applyAlignment="1">
      <alignment horizontal="center" vertical="top" wrapText="1"/>
    </xf>
    <xf numFmtId="0" fontId="14" fillId="0" borderId="34" xfId="5" applyFont="1" applyBorder="1" applyAlignment="1">
      <alignment horizontal="center" vertical="top" wrapText="1"/>
    </xf>
    <xf numFmtId="0" fontId="24" fillId="0" borderId="36" xfId="5" applyFont="1" applyBorder="1" applyAlignment="1">
      <alignment horizontal="center" vertical="top" wrapText="1"/>
    </xf>
    <xf numFmtId="0" fontId="0" fillId="0" borderId="0" xfId="0" applyAlignment="1">
      <alignment horizontal="center" vertical="top" wrapText="1"/>
    </xf>
    <xf numFmtId="0" fontId="10" fillId="0" borderId="29" xfId="0" applyFont="1" applyBorder="1" applyAlignment="1">
      <alignment horizontal="center" vertical="top" wrapText="1"/>
    </xf>
    <xf numFmtId="0" fontId="10" fillId="0" borderId="32" xfId="0" applyFont="1" applyBorder="1" applyAlignment="1">
      <alignment horizontal="center" vertical="top" wrapText="1"/>
    </xf>
    <xf numFmtId="0" fontId="14" fillId="0" borderId="16" xfId="0" applyFont="1" applyBorder="1" applyAlignment="1">
      <alignment horizontal="center" vertical="top" wrapText="1"/>
    </xf>
    <xf numFmtId="0" fontId="14" fillId="0" borderId="25" xfId="0" applyFont="1" applyBorder="1" applyAlignment="1">
      <alignment horizontal="center" vertical="top" wrapText="1"/>
    </xf>
    <xf numFmtId="0" fontId="10" fillId="0" borderId="28" xfId="0" applyFont="1" applyBorder="1" applyAlignment="1">
      <alignment horizontal="center" vertical="top" wrapText="1"/>
    </xf>
    <xf numFmtId="0" fontId="10" fillId="0" borderId="31" xfId="0" applyFont="1" applyBorder="1" applyAlignment="1">
      <alignment horizontal="center" vertical="top" wrapText="1"/>
    </xf>
    <xf numFmtId="0" fontId="14" fillId="0" borderId="19" xfId="0" applyFont="1" applyBorder="1" applyAlignment="1">
      <alignment horizontal="center" vertical="top" wrapText="1"/>
    </xf>
    <xf numFmtId="0" fontId="14" fillId="0" borderId="22" xfId="0" applyFont="1" applyBorder="1" applyAlignment="1">
      <alignment horizontal="center" vertical="top" wrapText="1"/>
    </xf>
    <xf numFmtId="0" fontId="9" fillId="0" borderId="20" xfId="0" applyFont="1" applyBorder="1" applyAlignment="1">
      <alignment vertical="top" wrapText="1"/>
    </xf>
    <xf numFmtId="0" fontId="9" fillId="0" borderId="23" xfId="0" applyFont="1" applyBorder="1" applyAlignment="1">
      <alignment vertical="top" wrapText="1"/>
    </xf>
    <xf numFmtId="0" fontId="10" fillId="0" borderId="20" xfId="0" applyFont="1" applyBorder="1" applyAlignment="1">
      <alignment vertical="top" wrapText="1"/>
    </xf>
    <xf numFmtId="0" fontId="10" fillId="0" borderId="23" xfId="0" applyFont="1" applyBorder="1" applyAlignment="1">
      <alignment vertical="top" wrapText="1"/>
    </xf>
    <xf numFmtId="0" fontId="14" fillId="0" borderId="20" xfId="0" applyFont="1" applyBorder="1" applyAlignment="1">
      <alignment horizontal="center" vertical="top" wrapText="1"/>
    </xf>
    <xf numFmtId="0" fontId="14" fillId="0" borderId="23" xfId="0" applyFont="1" applyBorder="1" applyAlignment="1">
      <alignment horizontal="center" vertical="top" wrapText="1"/>
    </xf>
    <xf numFmtId="0" fontId="0" fillId="0" borderId="6" xfId="0" applyBorder="1" applyAlignment="1">
      <alignment horizontal="center" vertical="top" wrapText="1"/>
    </xf>
    <xf numFmtId="0" fontId="22" fillId="0" borderId="20" xfId="0" applyFont="1" applyBorder="1" applyAlignment="1">
      <alignment vertical="top" wrapText="1"/>
    </xf>
    <xf numFmtId="0" fontId="22" fillId="0" borderId="23" xfId="0" applyFont="1" applyBorder="1" applyAlignment="1">
      <alignment vertical="top" wrapText="1"/>
    </xf>
    <xf numFmtId="0" fontId="14" fillId="0" borderId="19" xfId="0" applyFont="1" applyBorder="1" applyAlignment="1">
      <alignment vertical="top" wrapText="1"/>
    </xf>
    <xf numFmtId="0" fontId="14" fillId="0" borderId="22" xfId="0" applyFont="1" applyBorder="1" applyAlignment="1">
      <alignment vertical="top" wrapText="1"/>
    </xf>
    <xf numFmtId="0" fontId="9" fillId="10" borderId="20" xfId="0" applyFont="1" applyFill="1" applyBorder="1" applyAlignment="1">
      <alignment vertical="top" wrapText="1"/>
    </xf>
    <xf numFmtId="0" fontId="9" fillId="10" borderId="23" xfId="0" applyFont="1" applyFill="1" applyBorder="1" applyAlignment="1">
      <alignment vertical="top" wrapText="1"/>
    </xf>
    <xf numFmtId="0" fontId="10" fillId="0" borderId="16" xfId="0" applyFont="1" applyBorder="1" applyAlignment="1">
      <alignment horizontal="center" vertical="top" wrapText="1"/>
    </xf>
    <xf numFmtId="0" fontId="10" fillId="0" borderId="25" xfId="0" applyFont="1" applyBorder="1" applyAlignment="1">
      <alignment horizontal="center" vertical="top" wrapText="1"/>
    </xf>
    <xf numFmtId="0" fontId="14" fillId="0" borderId="20" xfId="0" applyFont="1" applyBorder="1" applyAlignment="1">
      <alignment vertical="top" wrapText="1"/>
    </xf>
    <xf numFmtId="0" fontId="14" fillId="0" borderId="23" xfId="0" applyFont="1" applyBorder="1" applyAlignment="1">
      <alignment vertical="top" wrapText="1"/>
    </xf>
    <xf numFmtId="0" fontId="10" fillId="0" borderId="21" xfId="0" applyFont="1" applyBorder="1" applyAlignment="1">
      <alignment horizontal="center" vertical="top" wrapText="1"/>
    </xf>
    <xf numFmtId="0" fontId="10" fillId="0" borderId="24" xfId="0" applyFont="1" applyBorder="1" applyAlignment="1">
      <alignment horizontal="center" vertical="top" wrapText="1"/>
    </xf>
    <xf numFmtId="0" fontId="15" fillId="0" borderId="0" xfId="0" applyFont="1" applyAlignment="1">
      <alignment horizontal="center" wrapText="1"/>
    </xf>
    <xf numFmtId="0" fontId="18" fillId="0" borderId="20" xfId="0" applyFont="1" applyBorder="1" applyAlignment="1">
      <alignment vertical="top" wrapText="1"/>
    </xf>
    <xf numFmtId="0" fontId="18" fillId="0" borderId="23" xfId="0" applyFont="1" applyBorder="1" applyAlignment="1">
      <alignment vertical="top" wrapText="1"/>
    </xf>
    <xf numFmtId="0" fontId="14" fillId="0" borderId="21" xfId="0" applyFont="1" applyBorder="1" applyAlignment="1">
      <alignment horizontal="center" vertical="top" wrapText="1"/>
    </xf>
    <xf numFmtId="0" fontId="14" fillId="0" borderId="24" xfId="0" applyFont="1" applyBorder="1" applyAlignment="1">
      <alignment horizontal="center" vertical="top" wrapText="1"/>
    </xf>
    <xf numFmtId="0" fontId="1" fillId="0" borderId="0" xfId="0" applyFont="1" applyBorder="1" applyAlignment="1">
      <alignment horizontal="center" vertical="top"/>
    </xf>
    <xf numFmtId="0" fontId="1" fillId="13" borderId="0" xfId="0" applyFont="1" applyFill="1" applyBorder="1" applyAlignment="1">
      <alignment horizontal="center" vertical="top"/>
    </xf>
    <xf numFmtId="0" fontId="0" fillId="0" borderId="0" xfId="0" applyFont="1" applyBorder="1" applyAlignment="1">
      <alignment horizontal="left" vertical="top"/>
    </xf>
  </cellXfs>
  <cellStyles count="6">
    <cellStyle name="Bad" xfId="2" builtinId="27"/>
    <cellStyle name="Check Cell" xfId="3" builtinId="23"/>
    <cellStyle name="Good" xfId="1" builtinId="26"/>
    <cellStyle name="Normal" xfId="0" builtinId="0"/>
    <cellStyle name="Normal 2" xfId="5" xr:uid="{199AA5B0-464E-9341-8278-4D151856E3C3}"/>
    <cellStyle name="Note" xfId="4" builtinId="10"/>
  </cellStyles>
  <dxfs count="21">
    <dxf>
      <fill>
        <patternFill patternType="solid">
          <bgColor theme="5" tint="0.39997558519241921"/>
        </patternFill>
      </fill>
    </dxf>
    <dxf>
      <fill>
        <patternFill patternType="solid">
          <bgColor theme="5"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4.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[Updated_Target_Info_with_Details.xlsx]Sheet2!PivotTable5</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Count of Type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Sheet2!$A$4:$A$7</c:f>
              <c:strCache>
                <c:ptCount val="4"/>
                <c:pt idx="0">
                  <c:v>Length Mismatch</c:v>
                </c:pt>
                <c:pt idx="1">
                  <c:v>Similarity Score Issue</c:v>
                </c:pt>
                <c:pt idx="2">
                  <c:v>Success</c:v>
                </c:pt>
                <c:pt idx="3">
                  <c:v>Syntax Error</c:v>
                </c:pt>
              </c:strCache>
            </c:strRef>
          </c:cat>
          <c:val>
            <c:numRef>
              <c:f>Sheet2!$B$4:$B$7</c:f>
              <c:numCache>
                <c:formatCode>General</c:formatCode>
                <c:ptCount val="4"/>
                <c:pt idx="0">
                  <c:v>21</c:v>
                </c:pt>
                <c:pt idx="1">
                  <c:v>6</c:v>
                </c:pt>
                <c:pt idx="2">
                  <c:v>20</c:v>
                </c:pt>
                <c:pt idx="3">
                  <c:v>10</c:v>
                </c:pt>
              </c:numCache>
            </c:numRef>
          </c:val>
          <c:extLst>
            <c:ext xmlns:c16="http://schemas.microsoft.com/office/drawing/2014/chart" uri="{C3380CC4-5D6E-409C-BE32-E72D297353CC}">
              <c16:uniqueId val="{00000000-E178-46E7-BA6B-72B940D264DC}"/>
            </c:ext>
          </c:extLst>
        </c:ser>
        <c:dLbls>
          <c:dLblPos val="inEnd"/>
          <c:showLegendKey val="0"/>
          <c:showVal val="1"/>
          <c:showCatName val="0"/>
          <c:showSerName val="0"/>
          <c:showPercent val="0"/>
          <c:showBubbleSize val="0"/>
        </c:dLbls>
        <c:gapWidth val="65"/>
        <c:axId val="1002783375"/>
        <c:axId val="916188048"/>
      </c:barChart>
      <c:catAx>
        <c:axId val="1002783375"/>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16188048"/>
        <c:crosses val="autoZero"/>
        <c:auto val="1"/>
        <c:lblAlgn val="ctr"/>
        <c:lblOffset val="100"/>
        <c:noMultiLvlLbl val="0"/>
      </c:catAx>
      <c:valAx>
        <c:axId val="916188048"/>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002783375"/>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ocumenttasks/documenttask1.xml><?xml version="1.0" encoding="utf-8"?>
<Tasks xmlns="http://schemas.microsoft.com/office/tasks/2019/documenttasks">
  <Task id="{A9BDCD91-4844-8245-ADBB-ACB61FEEE3EA}">
    <Anchor>
      <Comment id="{6E2854E5-8859-B146-B9EA-4B512AAE9A4B}"/>
    </Anchor>
    <History>
      <Event time="2024-01-12T21:39:49.29" id="{A40116BF-F6FD-4192-AF72-3571DE644EEE}">
        <Attribution userId="婐ꁉ쀱殁ᘮ卼併䴸,,0ᖊ0ᖊ쨀ʄ怀⡑ƶ怀呚䵕₠呚䵕みﻸ鿿呚䵕呚䵕乄䍏耀ڻ婹䣀y怀ā⽀y怀ڻ⼰ڽĀ㌀Δ怀ć怀팀ć怀￦￦￦￦￦￦￦￦￦￦￦￦￦￦￦￦㍸п㡐У蹐ˌ怀蹰ˌ怀嚐怀㍸пᆐͫ怀ᇐͫ怀虀ǐ怀ᔐͫ怀硐Ȃ怀ᕐͫ怀๐ͫ怀䡰ڻ婹一y怀ā⽀y怀䶈ڻ!⼰ڽĀ!퀀ć怀ڻ婹儐y怀ā⽀y怀ڻ⼰ڽĀ" userName="筵⯯#䵨ꫀᒔ▰ǳ怀뷀ᒖ   䈠則媠怀䦐˷怀ꍐᒘ䜠偎呚䵕₠呚䵕瑯ﻻ鿿呚䵕呚䵕Ը赹ꤜ赹Author࠼ÿꀀ匿 Ɠ怀췔糀Ȱ怀耀Bꌈ粐Ȱ怀耀籠Ȱ怀耀.ttfЀ跈Ą怀跠Ą怀Ԁ̠܀u怀E&lt;resolutionId provider=&quot;None&quot;&gt;&lt;localId name=&quot;Author&quot;/&gt;&lt;/resolutionId&gt;'Microsoft.Office.Excel.PowerQueryCoauthPython provided by Anaconda䖨⨁䆨⨗ᦨ⨙嶨⨙ꆨ⨙⨁⨙⨙᱀ҿ庬瑣牯耐㠔蜸ǠĲ怀耀㠔背㠔à譌㠔ɀ롌㠔ɉ⼠㠕*ば㠕よ㠕Ր嬈㠕㿌高㠖髸㠖汐ᡠ怀ᣀ怀ᣀ怀https://www.anaconda.com/excel᱀ҿ廤瑣牯耐㠔蜸ǠĲ怀耀㠔背㠔à譌㠔ɀ롌㠔ɉ⼠㠕*ば㠕よ㠕Ր嬈㠕㿌高㠖髸㠖汐토ˠ怀톨ˠ怀톨ˠ怀᱀ҿ廈瑣牯耐㠔蜸ǠĲ怀耀㠔背㠔à譌㠔ɀ롌㠔ɉ⼠㠕*ば㠕よ㠕Ր嬈㠕㿌高㠖髸㠖汐ૠ怀ୀ怀ୀ怀䵨첰握᧠Ǵ怀揠   䈠則媠怀ム˴怀揠䜠偎呚䵕₠呚䵕楯ﻻ鿿呚䵕呚䵕Ը赹ꤜ赹䵨蘠繁新Ƿ怀繀   䈠則媠怀셰˶怀苀繁䜠偎呚䵕₠呚䵕桯ﻻ鿿呚䵕呚䵕Ը赹ꤜ赹᱀ҿ廰瑣牯耐㠔蜸ǠĲ怀耀㠔背㠔à譌㠔ɀ롌㠔ɉ⼠㠕*ば㠕よ㠕Ր嬈㠕㿌高㠖髸㠖汐ˠ怀ˠ怀ˠ怀E/Users/gsun20/Desktop/projects/cactus/ChatGPTwithSQLscript/react/log/䵨嚰ᒘ⽀ǳ怀儰ᒘ   䈠則媠怀䮐˷怀卐ᒘ䜠偎呚䵕₠呚䵕敯ﻻ鿿呚䵕呚䵕Ը赹ꤜ赹䵨럐ᒘĠǳ怀떰ᒘ   䈠則媠怀弰˷怀군ᒖ䜠偎呚䵕₠呚䵕摯ﻻ鿿呚䵕呚䵕Ը赹ꤜ赹䵨绀஥䔐ǳ怀祀஥   䈠則媠怀텰˲怀筠஥䜠偎呚䵕₠呚䵕捯ﻻ鿿呚䵕呚䵕Ը赹ꤜ赹䵨쿀땰Ǵ怀㨠   䈠則媠怀⣠ˢ怀繀䜠偎呚䵕₠呚䵕扯ﻻ鿿呚䵕呚䵕Ը赹ꤜ赹᱀ҿ庂瑣牯耐㠔蜸ǠĲ怀耀㠔背㠔à譌㠔ɀ롌㠔ɉ⼠㠕*ば㠕よ㠕Ր嬈㠕㿌高㠖髸㠖汐푰ˠ怀풀ˠ怀풀ˠ怀鼀筵⯯&amp;䵨㯰஥䱠ǳ怀蕐஥   䈠則媠怀˲怀蝰஥䜠偎呚䵕₠呚䵕彯ﻻ鿿呚䵕呚䵕Ը赹ꤜ赹ꄀ筵⯯ꈀ筵⯯,菃鉩뺴퍃莸⌵뺑퍃莸숨碲퍃菊老㘨뗳퍃절莶Q鄕퍃菊ꁰ矹퍃菊老眳瘗퍃⋀莹ꍰ疧퍃菊ꨕ퍃菊老㸑諉퍃祈莻刦퍃並莸㈎뗭퍃婢莸쏪퍃틌莶Ṥ쏖퍃謋갑魴퍨場謋紹痴퍃袰謋老፜碇퍃堌謋振‼퍚作荵갳痮퍃ꔀ筵⯯߻蒳쁚遐퍇蒳〳썒퍈蒳摣疴퍃蒳ㅤ䪕퍇ࣰ蒳純䛼퍉倀蔁쌽퍈᱀ҿ庐瑣牯耐㠔蜸ǠĲ怀耀㠔背㠔à譌㠔ɀ롌㠔ɉ⼠㠕*ば㠕よ㠕Ր嬈㠕㿌高㠖髸㠖汐ហ怀᠀怀᠀怀଀蛠㥇퍑앐蛮老虈퍝䲔蛣老앋ꝷ퍑ᦀ蛠老♄哦퍑蛟老逮퍘竼荵靡碇퍃아蛮ᵍ￪퍔ਸ蛠畴幉퍖수蛮老읦ᔺ퍝蛛老㵘杮퍛蛟썈퍘謋老稢魴퍨場謋老殺痴퍃堌謋‼퍚作荵老䠳痮퍃ៀ˚怀ǠÁ怀癳g̀ˠ怀ˠ怀ˠ怀⫀͵怀⫀͵怀ꪐĄ怀텎岑쏾䀧쏉ൂ䀦꬀筵⯯-가筵⯯ w怀w怀䟸s怀䟠s怀s怀s怀惨s怀惐s怀閈p怀镰p怀ﳨ{怀ﳐ{怀䇘怀䇀怀剸y怀剠y怀ೈy怀ರy怀뱸G怀뱠G怀W怀W怀䵨ꍠ஥䛀ǳ怀鷠஥   䈠則媠怀첰˲怀ꀀ஥䜠偎呚䵕₠呚䵕兯ﻻ鿿呚䵕呚䵕Ը赹ꤜ赹᱀ҿ弢瑣牯耐㠔蜸ǠĲ怀耀㠔背㠔à譌㠔ɀ롌㠔ɉ⼠㠕*ば㠕よ㠕Ր嬈㠕㿌高㠖髸㠖汐ˠ怀ˠ怀ˠ怀뜜證老朜箑퍩㏬證老＿ﺑ퍃ⷀ證老ᄇ笅퍜ⶸ證老픽츶퍩뉌證老簷⯶퍩뛘證䔜퍩댈證老ࡠꔁ퍩⺀證륾⹝퍩Ⲕ證老☔⼝퍩挸譓精⯝퍩ⷈ證ⳑ퍩⴬證⳰퍩䵨攠祠ǣ怀啐ǌ( ܰ䈠則媠怀愰˯怀懀䜠偎呚䵕₠呚䵕乯ﻻ鿿呚䵕呚䵕Ը赹ꤜ赹᱀ҿ廪瑣牯耐㠔蜸ǠĲ怀耀㠔背㠔à譌㠔ɀ롌㠔ɉ⼠㠕*ば㠕よ㠕Ր嬈㠕㿌高㠖髸㠖汐ˠ怀ˠ怀ˠ怀᱀ҿ延瑣牯耐㠔蜸ǠĲ怀耀㠔背㠔à譌㠔ɀ롌㠔ɉ⼠㠕*ば㠕よ㠕Ր嬈㠕㿌高㠖髸㠖汐ˠ怀ˠ怀ˠ怀䳀헸丳￼했丳￼핐丳￼픘丳￼䳸퓠丳￼ꯐ⎨ﷳ鿿헀丳￼鿸ﭸ鿿ꢰꭠ꫐㙘酩ĀƠʰ怀ᴀ荵老뜗鷣퍈忸蒰老숸疴퍃襜蒰퍉쪸荵老괎盨퍃瑈蒰老뱃❸퍉Ӭ蒰⸱퍇掄荵⨤眊퍃猐蒰艊鞌퍃ᘠ蒰老鑣ꕬ퍃ذ蒰老輶矝퍃襜蒰老똖퍉䵨ᔀ஥䒀ǳ怀␀ண   䈠則媠怀연˲怀鎰஥䜠偎呚䵕₠呚䵕䝯ﻻ鿿呚䵕呚䵕Ը赹ꤜ赹᱀ҿ异瑣牯耐㠔蜸ǠĲ怀耀㠔背㠔à譌㠔ɀ롌㠔ɉ⼠㠕*ば㠕よ㠕Ր嬈㠕㿌高㠖髸㠖汐ˠ怀ˠ怀ˠ怀᱀ҿ廼瑣牯耐㠔蜸ǠĲ怀耀㠔背㠔à譌㠔ɀ롌㠔ɉ⼠㠕*ば㠕よ㠕Ր嬈㠕㿌高㠖髸㠖汐ˠ怀ˠ怀ˠ怀᱀ҿ弈瑣牯耐㠔蜸ǠĲ怀耀㠔背㠔à譌㠔ɀ롌㠔ɉ⼠㠕*ば㠕よ㠕Ր嬈㠕㿌高㠖髸㠖汐ˠ怀ˠ怀ˠ怀᱀ҿ弎瑣牯耐㠔蜸ǠĲ怀耀㠔背㠔à譌㠔ɀ롌㠔ɉ⼠㠕*ば㠕よ㠕Ր嬈㠕㿌高㠖髸㠖汐ˠ怀ˠ怀ˠ怀場謋老渍痴퍃謋졊魴퍨作荵痮퍃᱀ҿ弔瑣牯耐㠔蜸ǠĲ怀耀㠔背㠔à譌㠔ɀ롌㠔ɉ⼠㠕*ば㠕よ㠕Ր嬈㠕㿌高㠖髸㠖汐ˠ怀ˠ怀ˠ怀᱀ҿ弚瑣牯耐㠔蜸ǠĲ怀耀㠔背㠔à譌㠔ɀ롌㠔ɉ⼠㠕*ば㠕よ㠕Ր嬈㠕㿌高㠖髸㠖汐ˠ怀ˠ怀ˠ怀TableStyleMedium3PivotStyleLight251868_01_01_明治_明_Meiji_M|1912_07_30_大正_大_Taisho_T|1926_12_25_昭和_昭_Showa_S|1989_01_08_平成_平_Heisei_H|2019_05_01_令和_令_Reiwa_RTableStyleMedium4TableStyleMedium5TableStyleMedium6TableStyleMedium7TableStyleMedium8TableStyleMedium9TableStyleMedium10TableStyleMedium11TableStyleMedium12TableStyleMedium13TableStyleMedium14TableStyleMedium15TableStyleMedium16TableStyleMedium17TableStyleMedium18TableStyleMedium19TableStyleMedium20TableStyleMedium21TableStyleMedium22TableStyleMedium23TableStyleMedium24TableStyleMedium25TableStyleMedium26TableStyleMedium27TableStyleMedium28TableStyleDark1TableStyleDark2TableStyleDark3TableStyleDark4TableStyleDark5TableStyleDark6TableStyleDark7TableStyleDark8TableStyleDark9࠼ï耀&#10; ∠ȷ怀耀≌ԃȅ̄܅Ѕ⇰ȷ怀耀똀ͧ怀 耀.ttfЀ怀怀怀怀ԁƐ뉐u怀TableStyleDark10TableStyleDark11PivotStyleLight1PivotStyleLight2PivotStyleLight3PivotStyleLight4PivotStyleLight5PivotStyleLight6PivotStyleLight7PivotStyleLight8PivotStyleLight9PivotStyleLight10PivotStyleLight11PivotStyleLight12PivotStyleLight13PivotStyleLight14PivotStyleLight15PivotStyleLight16PivotStyleLight17PivotStyleLight18PivotStyleLight19PivotStyleLight20PivotStyleLight21PivotStyleLight22PivotStyleLight23PivotStyleLight24࠼ʯ耀 ȣ怀耀♦ᬬЂ؇Ѕȅ̃썀ͧ怀 耀쉀ͧ怀 耀.ttfЀ傀怀傀怀僠怀僠怀̀ɘ뱠u怀࠼ʯ耀 締ȷ怀耀♦⚘Ђ؇Ѕअ̃엀ͧ怀 耀ꄠñ怀 (耀.ttfЀ兀怀兀怀冠怀冠怀̂ɘ뱠u怀࠼ʯ耀 䁠ȴ怀耀♦㐴ЂȅЅअ̃䀰ȴ怀耀繀ȷ怀耀.ttfЀ刀怀刀怀剠怀剠怀ԂƐ뱠u怀࠼ʯ耀 䅐ȴ怀耀♦莰ЂȃЅȅ̃䃰ȴ怀耀䃀ȴ怀耀.ttfЀ勀怀勀怀匠怀匠怀ԀĬ뱠u怀࠼ʯ耀 䇠ȴ怀耀♦㞼ЂȃЅअ̃䆰ȴ怀耀였ͧ怀 耀.ttfЀ厀怀厀怀叠怀叠怀ԂĬ뱠u怀࠼ʯ耀 䌀ȴ怀耀♦☘ЂȅЅȅ̃䊠ȴ怀耀䉰ȴ怀耀.ttfЀ呀怀呀怀咠怀咠怀ԀƐ뱠u怀࠼ʯ耀 䏰ȴ怀耀♦⻼ЂȇЅȅ̃䎐ȴ怀耀䍠ȴ怀耀.ttfЀ唀怀唀怀啠怀啠怀Ԁɘ뱠u怀࠼ʯ耀 䒀ȴ怀耀♦㎰ЂȇЅअ̃䑐ȴ怀耀욀ͧ怀 耀.ttfЀ嗀怀嗀怀嘠怀嘠怀Ԃɘ뱠u怀࠼ 䔐ȴ怀耀ཛྷូЄЅȇȍGigiЀGigiЀ.ttfЀ嚀怀嚀怀址怀址怀ԀƐ볐u怀࠼ 䖠ȴ怀耀ꣵ直ଂȈĂऄ̂䗐ȴ怀耀졀ͧ怀 耀.ttfЀ垠怀垠怀塠怀塠怀Ԃʼ뵀u怀࠼ 䛰ȴ怀耀ꣵଂȈĂȄ̂䚐ȴ怀耀䙠ȴ怀耀.ttfЀ壀怀壀怀夠怀夠怀Ԁʼ뵀u怀࠼ 䟠ȴ怀耀ꣵ홈ଂ؅ĂȄ̂䞀ȴ怀耀䝐ȴ怀耀.ttfЀ妀怀妀怀姠怀姠怀̀Ɛ뵀u怀࠼ 䣐ȴ怀耀ꣵଂȅĂऄ̂䡰ȴ怀耀䡀ȴ怀耀.ttfЀ婀怀婀怀媠怀媠怀ԂƐ뵀u怀࠼ 䧀ȴ怀耀ꣵଂȅĂȄ̂䥠ȴ怀耀䤰ȴ怀耀.ttfЀ嬀怀嬀怀孠怀孠怀ԀƐ뵀u怀࠼ʇ耀䩐ȴ怀耀ԟଂȈĂऄ̂䪀ȴ怀耀즀ͧ怀 耀.ttfЀ寀怀寀怀岀怀岀怀Ԃʼ붰u怀࠼ʇ耀䮠ȴ怀耀ԟ࣠ଂȈĂȄ̂䭀ȴ怀耀䬐ȴ怀耀.ttfЀ峠怀峠怀嵀怀嵀怀Ԁʼ붰u怀࠼ʇ耀䰰ȴ怀耀ԟიଂ؈Ăऄ̂䰀ȴ怀耀지ͧ怀 耀.ttfЀ嶠怀嶠怀帀怀帀怀̂ʼ붰u怀࠼ʇ耀䳰ȴ怀耀ԟ೘ଂ؈ĂȄ̂䳀ȴ怀耀쭀ͧ怀 耀.ttfЀ幠怀幠怀廀怀廀怀̀ʼ붰u怀࠼ʇ耀䶀ȴ怀耀ԟ೔ଂ؊Ăऄ̂䵐ȴ怀耀쳀ͧ怀 耀.ttfЀ张怀张怀往怀往怀̠̂붰u怀࠼ʇ耀亠ȴ怀耀ԟைଂ؊ĂȄ̂乀ȴ怀耀丐ȴ怀耀.ttfЀ忠怀忠怀恀怀恀怀̠̀붰u怀࠼ʇ耀估ȴ怀耀ԟૌଂ؆Ăऄ̂伀ȴ怀耀쵀ͧ怀 耀.ttfЀ悠怀悠怀愀怀愀怀̂Ǵ붰u怀࠼ʇ耀俰ȴ怀耀ԟ௜ଂ؃Ăऄ̂俀ȴ怀耀폀ͧ怀 耀.ttfЀ慠怀慠怀懀怀懀怀̂Ĭ붰u怀࠼ʇ耀儐ȴ怀耀ԟҔଂ؃ĂȄ̂傰ȴ怀耀傀ȴ怀耀.ttfЀ戠怀戠怀技怀技怀̀Ĭ붰u怀࠼ʇ耀刀ȴ怀耀ԟրଂ؆ĂȄ̂冠ȴ怀耀兰ȴ怀耀.ttfЀ拠怀拠怀捀怀捀怀̀Ǵ붰u怀࠼ʇ耀剠ȴ怀耀ԟଂЋĂȄ̂타ͧ怀 耀튀ͧ怀 耀.ttfЀ掠怀掠怀搀怀搀怀̀΄붰u怀࠼ʇ耀厀ȴ怀耀ԟଂȆĂऄ̂匠ȴ怀耀勰ȴ怀耀.ttfЀ摠怀摠怀擀怀擀怀ԂǴ붰u怀࠼ʇ耀吐ȴ怀耀ԟ梅ଂȃĂऄ̂叠ȴ怀耀훀ͧ怀 耀.ttfЀ攠怀攠怀斀怀斀怀ԂĬ붰u怀࠼ʇ耀唰ȴ怀耀ԟ◈ଂȃĂȄ̂哐ȴ怀耀咠ȴ怀耀.ttfЀ无怀无怀晀怀晀怀ԀĬ붰u怀࠼ʇ耀嘠ȴ怀耀ԟଡ଼ଂȆĂȄ̂嗀ȴ怀耀喐ȴ怀耀.ttfЀ暠怀暠怀最怀最怀ԀǴ붰u怀࠼ʇ耀嚀ȴ怀耀ԟଂȋĂȄ̂힀ͧ怀 耀ͧ怀 耀.ttfЀ杠怀杠怀柀怀柀怀Ԁ΄붰u怀࠼ࠇ耀B䀀!因ȴ怀耀ʏ呂ଂȅȄȄ̂GishaԀGishaԀ.ttfЀ栠怀栠怀棠怀棠怀ԀƐ븠u怀࠼ࠇ耀B䀀!址ȴ怀耀ʏﻼଂȈȄȄ̂GishaԀGisha Bold਀.ttfЀ楀怀楀怀榠怀榠怀Ԁʼ븠u怀࠼ 堀ȴ怀耀蔞ࠐ̂ࠈ؂āāͧ怀 耀ͧ怀 耀.ttfЀ樀怀樀怀櫀怀櫀怀ȀƐ뺐u怀࠼ʇ 夠ȴ怀耀尩ଂȅȂȂЂ墐ȴ怀耀壀ȴ怀耀.ttfЀ欠怀欠怀毠怀毠怀ԀƐ뼀u怀࠼ʇ 娐ȴ怀耀尩쌜ଂȇȂȂЂ妰ȴ怀耀妀ȴ怀耀.ttfЀ汀怀汀怀沠怀沠怀Ԁʼ뼀u怀࠼ʇ 媠ȴ怀耀尩ଂȆȂंЂ婰ȴ怀耀ͧ怀 耀.ttfЀ洀怀洀怀浠怀浠怀Ԃʼ뼀u怀࠼ʇ 寀ȴ怀耀尩௼ଂȅȂंЂ孠ȴ怀耀嬰ȴ怀耀.ttfЀ淀怀淀怀渠怀渠怀ԂƐ뼀u怀࠼ 峠ȴ怀耀蔞⥼Ȃȅ̅ȅ̃屐ȴ怀耀岀ȴ怀耀.ttfЀ満怀満怀潀怀潀怀؀Ɛ뽰u怀࠼ 巐ȴ怀耀蔞⺰ȂȆ̆ȅ̃嵰ȴ怀耀嵀ȴ怀耀.ttfЀ澠怀澠怀瀀怀瀀怀؀ʼ뽰u怀࠼ 廀ȴ怀耀蔞␘Ȃȅ̅अ̃幠ȴ怀耀帰ȴ怀耀.ttfЀ灠怀灠怀烀怀烀怀ԂƐ뽰u怀࠼ 彐ȴ怀耀A叨Goudy Type਀张ȴ怀耀.ttfЀ焠怀焠怀燠怀燠怀Ԁʼ嗠w怀࠼ 怐ȴ怀耀AㅌGoudy Type਀忠ȴ怀耀.ttfЀ牀怀牀怀犠怀犠怀Ԃʼ嗠w怀࠼ 愀ȴ怀耀A㊠Goudy Type਀惐ȴ怀耀.ttfЀ猀怀猀怀獠怀獠怀ԂƐ嗠w怀࠼ 憐ȴ怀耀A䮄Goudy Type਀Goudy Type਀.ttfЀ珀怀珀怀琠怀琠怀ԀƐ嗠w怀࠼ˇꀀƟ 戠ȴ怀耀਽롸ଂȅȄȄ̂Grandviewऀ懰ȴ怀耀.ttfЀ璀怀璀怀畀怀畀怀ԀƐ啰w怀࠼ˇꀀƟ 拠ȴ怀耀਽띰ଂȅȄȄ̂Grandviewऀ抰ȴ怀耀.ttfЀ疠怀疠怀瘀怀瘀怀Ԁʼ啰w怀࠼ˇꀀƟ 掠ȴ怀耀਽퐰ଂȅȄȄ̂Grandviewऀ捰ȴ怀耀.ttfЀ癠怀癠怀盀怀盀怀ԂƐ啰w怀࠼ˇꀀƟ 摠ȴ怀耀਽퓀ଂȅȄȄ̂Grandviewऀ搰ȴ怀耀.ttfЀ眠怀眠怀瞀怀瞀怀Ԃʼ啰w怀࠼ˇꀀƟ 晀ȴ怀耀뻄ଂȅȄȄ̂无ȴ怀耀斀ȴ怀耀.ttfЀ矠怀矠怀碠怀碠怀ԀƐ傠w怀࠼ˇꀀƟ 曐ȴ怀耀ଂȅȄȄ̂暠ȴ怀耀ͧ怀 耀.ttfЀ礀怀礀怀祠怀祠怀ԂƐ傠w怀࠼耀杠ȴ怀耀ʏ邸ଂЅȂȂЂGrotesqueऀGrotesqueऀ.ttfЀ秀怀秀怀窀怀窀怀ԀƐ淰w怀࠼耀柰ȴ怀耀ʏ邔ଂЈȂȂЂGrotesqueऀ柀ȴ怀耀.ttfЀ章怀章怀筀怀筀怀Ԁʼ淰w怀࠼耀椐ȴ怀耀ʏ郄ଂЃȂȂЂ械ȴ怀耀梀ȴ怀耀.ttfЀ箠怀箠怀簀怀簀怀ԀĬ淰w怀࠼ʯ뀀系槗0䀈楰ȴ怀耀਽ᓸÌଂĀāāGulimԀGulimԀ.ttfЀ糀怀籠怀繀怀締怀ԀƐ䴠w怀࠼ʯ뀀系槗0䀈槐ȴ怀耀਽᡼ÌଂआĀāāGulimCheࠀGulimCheࠀ.ttfЀÀ怀`怀ƀ怀Ġ怀ԀƐ䫰w怀࠼ʯ뀀系槗0䀈樰ȴ怀耀਽ᔤÌଂĀāāDotumԀDotumԀ.ttfЀɀ怀Ǡ怀π怀͠怀ԀƐ䯐w怀࠼ʯ뀀系槗0䀈檐ȴ怀耀਽᡼ÌଂआĀāāDotumCheࠀDotumCheࠀ.ttfЀҀ怀Р怀؀怀֠怀ԀƐ凰w怀࠼ࠃ! 氐ȴ怀耀옠Ȃ̆ЅȅЃ殰ȴ怀耀歐ȴ怀耀.ttfЀ٠怀٠怀ܠ怀ܠ怀ԀƐ涀w怀࠼ࠃ! 沠ȴ怀耀욘Ȃ̈ԇȅЃ汰ȴ怀耀呂ͧ怀 耀.ttfЀހ怀ހ怀ߠ怀ߠ怀Ԁʼ涀w怀࠼ 洰ȴ怀耀蔞４ЄԅȂȇHarrington਀Harrington਀.ttfЀࡀ怀ࡀ怀ऀ怀ऀ怀ԀƐ澰w怀࠼˿⫇涐ȴ怀耀㌳ଂउHGGothicEऀHGGothicEऀ.ttfЀী怀ॠ怀ୀ怀ૠ怀ԀƐ曰w怀࠼˿⫇淰ȴ怀耀㌳ଂ HGPGothicE਀HGPGothicE਀.ttfЀఀ怀஠怀඀怀ഠ怀ԀƐ滐w怀࠼˿⫇湐ȴ怀耀㌳ଂ HGSGothicE਀HGSGothicE਀.ttfЀเ怀෠怀࿀怀འ怀ԀƐ桀w怀࠼˿⫇溰ȴ怀耀㌳렬¢ȂईHGMinchoEऀHGMinchoEऀ.ttfЀႀ怀ဠ怀ሀ怀ᆠ怀ԀƐ歐w怀࠼茀⊰ȷ怀耀ཛྷḄଂІȂȂЂDokChampaऀDokChampaऀ.ttfЀ怀怀怀怀ԀƐ닀u怀࠼ï耀&#10; ⌐ȷ怀耀԰ԃȅ̄ԄЇ럀ͧ怀 耀诠ñ怀#(耀.ttfЀ怀怀怀怀ԀƐ댰u怀࠼ï耀&#10; ⍰ȷ怀耀⽰ԃȅ̄ԇЇ례ͧ怀 耀賐ñ怀&quot;(耀.ttfЀ怀怀怀怀ԁƐ댰u怀࠼⁧耀耀A ⏐ȷ怀耀᧛ꀈଂ̈Ѓ̃ЂDubaiԀDubai Bold਀.ttfЀ怀怀怀怀Ԁʼ뎠u怀࠼⃯耀⁊쀀A ①ȷ怀耀B餠ଂЈāāЁDubaiԀ␰ȷ怀耀.ttfЀ怀怀怀怀Ԃʼ뎠u怀࠼⃯耀⁊쀀A ═ȷ怀耀B韨ଂЅāāЁDubaiԀ┠ȷ怀耀.ttfЀ怀怀怀怀ԂƐ뎠u怀࠼⁧耀耀A ♰ȷ怀耀᧛ꆈଂ̃Ѓ̃Ђ☐ȷ怀耀◠ȷ怀耀.ttfЀ怀怀怀怀ԀĬ뎠u怀࠼⃯耀⁊쀀A ❠ȷ怀耀B鲼ଂЄāāЁ✀ȷ怀耀⛐ȷ怀耀.ttfЀ怀怀怀怀ԂĬ뎠u怀࠼⁧耀耀A ⢀ȷ怀耀᧛ꂰଂ̆Ѓ̃Ђ⠠ȷ怀耀⟰ȷ怀耀.ttfЀ怀怀怀怀ԀǴ뎠u怀࠼⃯耀⁊쀀A ⥰ȷ怀耀B骜ଂІāāЁ⤐ȷ怀耀⣠ȷ怀耀.ttfЀ怀怀怀怀ԂǴ뎠u怀࠼⁧耀耀A ⨰ȷ怀耀᧛ꢰଂ̅Ѓ̃ЂDubaiԀ⨀ȷ怀&#10;耀.ttfЀ怀怀怀怀ԀƐ뎠u怀࠼偟ꀀAȀࠀЄ⫀ȷ怀耀イ地Ebrima؀Ebrima؀.ttfЀ怀怀怀怀ԀƐ됐u怀࠼偟ꀀAȀࠀЄ⭐ȷ怀耀イ萔Ebrima؀⬠ȷ怀耀.ttfЀ怀怀怀怀Ԁʼ됐u怀࠼ʇ Ɵ Ⲡȷ怀耀B빰Ⱀȷ怀耀ⱀȷ怀耀.ttfЀ怀怀怀怀ԀƐ뒀u怀࠼ʇ Ɵ ⶐȷ怀耀Bⴰȷ怀耀ⴀȷ怀耀.ttfЀ怀怀怀怀ԂƐ뒀u怀࠼ ⺀ȷ怀耀Ԟ우ଂ܉ԃȄЂ⸠ȷ怀&#10;耀ⷰȷ怀&#10;耀.ttfЀ怀怀怀怀Ԁʼ듰u怀࠼ ⽰ȷ怀耀Ԟ큨ଂԈԃȄЈ⼐ȷ怀&#10;耀⻠ȷ怀&#10;耀.ttfЀ怀怀怀怀Ԁɘ듰u怀࠼ だȷ怀耀ԞଂȄԃȄЈ　ȷ怀耀⿐ȷ怀耀.ttfЀ怀怀怀怀ԀĬ듰u怀࠼ ㅐȷ怀耀Ԟ퍤ଂȆԃȄЈヰȷ怀耀ダȷ怀耀.ttfЀ怀怀怀怀ԀƐ듰u怀࠼o耀J ㆰȷ怀耀ᜊ專ଂ̅ĄȂЁEuphemiaࠀEuphemiaࠀ.ttfЀ怀怀怀怀ԀƐ땠u怀࠼/ꀀKက㌰ȷ怀耀宀&#10;܈Ȁ̀㋐ȷ怀耀㉰ȷ怀耀.ttfЀ怀怀怀怀Ԁʼ뗐u怀࠼/ꀀKက㐠ȷ怀耀ᗸ܅Ȁ̀㏀ȷ怀耀㎐ȷ怀耀.ttfЀ怀怀怀怀ԀĬ뗐u怀࠼/ꀀKက㒰ȷ怀耀攨&#10;܅Ȁ̀㒀ȷ怀耀멀ͧ怀 耀.ttfЀ怀怀怀怀ԀƐ뗐u怀࠼/耀J倀Ɠ 㘀ȷ怀耀A喘㕰ȷ怀耀㖠ȷ怀耀.ttfЀ怀怀怀怀Ԁʼ뙀u怀࠼ 㜠ȷ怀耀蔞齘؄ԅȆȂЊ㚐ȷ怀&#10;耀㛀ȷ怀&#10;耀.ttfЀ怀怀怒怀怒怀ԀƐ뚰u怀࠼ 㞀ȷ怀耀鰩؃ȉԄ܂̂ForteԀForteԀ.ttfЀ燎怀燎怀婢怀婢怀ԀƐ뜠u怀࠼ÿꀀ恋倀 㢠ȷ怀耀B㞴㠐ȷ怀&#10;耀㡀ȷ怀&#10;耀.ttfЀ﫠怀﫠怀ﮠ怀ﮠ怀ԀƐ랐u怀࠼ʇ 㨠ȷ怀耀Ԟⶨଂ̅ĂȂЂ㧀ȷ怀耀㥠ȷ怀耀.ttfЀﰀ怀ﰀ怀ﳀ怀ﳀ怀ԀƐ렀u怀࠼ʇ 㪰ȷ怀耀Ԟ満ଂ̅ĂंЂ㪀ȷ怀耀밀ͧ怀 耀.ttfЀﴠ怀ﴠ怀ﶀ怀ﶀ怀ԂƐ렀u怀࠼ʇ 㰀ȷ怀耀ʏࠠଂ̇ĂȂЂ㭰ȷ怀耀㮠ȷ怀耀.ttfЀ﷠怀﷠怀ﺠ怀ﺠ怀Ԁɘ롰u怀࠼ʇ 㱠ȷ怀耀ʏ魼ଂ؇ЃȂЂ봀ͧ怀 耀변ͧ怀 耀.ttfЀ＀怀＀怀｠怀｠怀̀ɘ롰u怀࠼ʇ 㳰ȷ怀耀ʏଂ̇ĂंЂ㳀ȷ怀耀부ͧ怀 耀.ttfЀ糀怀糀怀締怀締怀Ԃɘ롰u怀࠼ʇ 㸐ȷ怀耀ʏ難ଂ̉ĂȂЂ㶰ȷ怀耀㶀ȷ怀耀.ttfЀ籠怀籠怀纠怀纠怀Ԁ΄롰u怀࠼ʇ 㺠ȷ怀耀ʏ☴ଂ̉ĂंЂ㹰ȷ怀耀뷀ͧ怀 耀.ttfЀ素怀素怀罠怀罠怀Ԃ΄롰u怀࠼ʇ 㿀ȷ怀耀ԟଂ̆ĂȂЂ㽠ȷ怀耀㼰ȷ怀耀.TTFЀ簀怀簀怀缀怀缀怀ԀƐ롰u怀࠼ʇ ︐ȣ怀耀ʏଂ؆ЃȂЂ뻀ͧ怀 耀빀ͧ怀 耀.ttfЀ怀怀＀怀＀怀̀Ɛ롰u怀࠼ʇ ﳰȣ怀耀ʏ⥴ଂ̆ĂंЂȣ怀耀뽀ͧ怀 耀.TTFЀ怀怀怀怀ԂƐ롰u怀࠼ࠃ! ȣ怀耀ʏᓈข̅ĆāāFrankRuehl਀FrankRuehl਀.ttfЀ怀怀怀怀ԀƐ룠u怀࠼ ȣ怀耀ཛྷ﷜ࠃȄȃଅЄȣ怀耀Ｐȣ怀耀.ttfЀ怀怀ﺠ怀ﺠ怀ԀƐ륐u怀࠼ 칀ȣ怀耀蔞㈸ЂȆ̆ȊЃ쳰ȣ怀耀ȣ怀耀.ttfЀ怀怀﹀怀﹀怀ԀĬ맀u怀࠼˯⁋倀 ȣ怀耀煀ЄԆစȂȍGabriolaࠀGabriolaࠀ.ttfЀ怀怀怀怀ԀƐ먰u怀࠼耀Ȁ　ȣ怀耀ⅈ錐ଂȅȄȄ̂Gadugi؀Gadugi؀.ttfЀ怀怀怀怀ԀƐ몠u怀࠼耀Ȁ　ȣ怀耀ⅈ곌ଂȈȄȄ̂Gadugi؀ȣ怀耀.ttfЀ怀怀怀怀Ԁʼ몠u怀࠼ʇȣ怀耀棵쾸ȂЄ̃ā̈GaramondࠀGaramondࠀ.ttfЀ怀怀䀀怀䀀怀ԀƐ묐u怀࠼ʇ좠ȣ怀耀棵큼ȂЈ̃ć̈Garamondࠀȣ怀&#10;耀.ttfЀ䁠怀䁠怀䃀怀䃀怀Ԁʼ묐u怀࠼ʇ ȣ怀耀棵ꠘȂЄ̃ā̈Garamondࠀ삐ȣ怀耀.ttfЀ䄠怀䄠怀䆀怀䆀怀ԂƐ묐u怀࠼ ȣ怀耀궬ଂȅȄȄ̂Gautami܀Gautami܀.TTFЀ䇠怀䇠怀䊠怀䊠怀ԀƐ뮀u怀࠼ 툰ȣ怀耀⡴ଂȈȄȄ̂Gautami܀퐐ȣ怀耀.ttfЀ䌀怀䌀怀䍠怀䍠怀Ԁʼ뮀u怀࠼ʇ ȣ怀耀霊㲐ЂȅЅȅ̃Georgia܀Georgia܀.ttfЀ䏀怀䏀怀䒀怀䒀怀ԀƐ믰u怀࠼ʇ ﯐ȣ怀耀霊ഐЂȈЅȅ̂Georgia܀ȣ怀耀.ttfЀ䓠怀䓠怀䕀怀䕀怀Ԁʼ믰u怀࠼ʇ ȣ怀耀霊ჀЂȅЅअ̃Georgia܀ﹰȣ怀耀.ttfЀ䖠怀䖠怀䘀怀䘀怀ԂƐ믰u怀࠼ʇ 퓐ȣ怀耀霊ᷘЂȈЅअ̂Georgia܀ȣ怀耀.ttfЀ䙠怀䙠怀䛀怀䛀怀Ԃʼ믰u怀࠼ʯ耀 푰ȣ怀耀♦㡐ЂȊЅȅ̂ȣ怀耀ȣ怀耀.ttfЀ䜠怀䜠怀䟠怀䟠怀Ԁ΄뱠u怀࠼ʯ耀 練ȣ怀耀♦㍀ЂȊЅअ̂퍐ȣ怀耀쀀ͧ怀 耀.ttfЀ䡀怀䡀怀䢠怀䢠怀Ԃ΄뱠u怀࠼ʯ耀 ﵐȣ怀耀♦⩨ЂȈЅȅ̂ȣ怀耀ȣ怀耀.ttfЀ䤀怀䤀怀䥠怀䥠怀Ԁʼ뱠u怀࠼ʯ耀 ȣ怀耀♦㣴ЂȈЅअ̂ȣ怀耀ﭰȣ怀耀.ttfЀ䧀怀䧀怀䨠怀䨠怀Ԃʼ뱠u怀࠼ʯ耀 지ȣ怀耀♦⊄Ђ؊Ѕȅ̂ȣ怀耀ȣ怀耀.ttfЀ䪀怀䪀怀䫠怀䫠怀̀΄뱠u怀࠼ʯ耀 ȣ怀耀♦㔈Ђ؊Ѕअ̂횀ȣ怀耀쁀ͧ怀 耀.ttfЀ䭀怀䭀怀䮠怀䮠怀̂΄뱠u怀࠼ʯ耀 ȣ怀耀♦⛸Ђ؈Ѕȅ̂ȣ怀耀ȣ怀耀.ttfЀ䰀怀䰀怀䱠怀䱠怀̀ʼ뱠u怀࠼ʯ耀 ȣ怀耀♦㉨Ђ؈Ѕअ̂ȣ怀耀솀ͧ怀 耀.ttfЀ䳀怀䳀怀䴠怀䴠怀̂ʼ뱠u怀࠼ʯ耀 ȣ怀耀♦䐄Ђ؅Ѕअ̃ȣ怀耀ȣ怀耀.ttfЀ䶀怀䶀怀䷠怀䷠怀̂Ɛ뱠u怀࠼ʯ耀 擄ȣ怀耀♦┸Ђ؃Ѕȅ̃픰ȣ怀耀ȣ怀耀.ttfЀ乀怀乀怀亠怀亠怀̀Ĭ뱠u怀࠼ʯ耀 ﾐȣ怀耀♦㰈Ђ؃Ѕअ̃텰ȣ怀耀싀ͧ怀 耀.ttfЀ伀怀伀怀你怀你怀̂Ĭ뱠u怀࠼ʯ耀 ﰰȣ怀耀♦㪸Ђ؅Ѕȅ̃ȣ怀耀ȣ怀耀.ttfЀ俀怀俀怀倠怀倠怀̀Ɛ뱠u怀࠼ʇ 낐ȷ怀耀尩䓈ЂІԅअЃ끠ȷ怀耀ꮀͧ怀 耀.ttfЀ⠠怀⠠怀⢀怀⢀怀ԂƐꦐu怀࠼ʇ 넠ȷ怀耀㗂亰ЂІԅȅЃCentury܀Century܀.ttfЀ⣠怀⣠怀⦠怀⦠怀ԀƐꨀu怀࠼ 뉀ȷ怀耀琄Ђ̅Ԉȅ̃뇠ȷ怀耀곀ͧ怀 耀.ttfЀ⨀怀⨀怀⫀怀⫀怀ԀƐꩰu怀࠼ 닐ȷ怀耀ཛྷ斸ȄЄဃȇȆChiller܀Chiller܀.ttfЀ⬠怀⬠怀⯠怀⯠怀؀Ɛꫠu怀࠼¯ꀀJ倀 댰ȷ怀耀ꑜ̅Ȁ̀껀ͧ怀 耀김ͧ怀 耀.ttfЀⱀ怀ⱀ怀ⴀ怀ⴀ怀ԀƐꭐu怀࠼ 뎐ȷ怀耀蔞슠ȄԈȆ̂̂Colonna MT਀Colonna MT਀.ttfЀⵠ怀ⵠ怀⸠怀⸠怀ԀƐꯀu怀࠼ڇ 뒰ȷ怀耀♦Δ༃ȇ̃ȂЂ될ȷ怀&#10;耀두ȷ怀&#10;耀.ttfЀ⺀怀⺀怀⽀怀⽀怀ԀƐ갰u怀࠼ڇ 떠ȷ怀耀♦시༃ȉ̃ȂЂ땀ȷ怀&#10;耀딐ȷ怀耀.ttfЀ⾠怀⾠怀　怀　怀Ԁʼ갰u怀࠼ڇ 뚐ȷ怀耀♦숀༃ȇ̃؂Ђ똰ȷ怀&#10;耀똀ȷ怀耀.ttfЀだ怀だ怀ダ怀ダ怀ԂƐ갰u怀࠼ڇ 뜠ȷ怀耀♦럼༃ȉ̃؂Ђ뛰ȷ怀&#10;耀뀀ͧ怀 耀.ttfЀㄠ怀ㄠ怀ㆀ怀ㆀ怀Ԃʼ갰u怀࠼/耀⁛က례ȷ怀耀̅ȀЀ럠ȷ怀耀랰ȷ怀耀.ttfЀ㇠怀㇠怀㊠怀㊠怀Ԁ΄겠u怀࠼/耀⁛က뤰ȷ怀耀ក̅ऀЀ룐ȷ怀耀뢠ȷ怀耀.ttfЀ㌀怀㌀怀㍠怀㍠怀Ԃ΄겠u怀࠼/耀⁛က맰ȷ怀耀̈ȀЀCongenialऀ맀ȷ怀耀.ttfЀ㏀怀㏀怀㐠怀㐠怀Ԁʼ겠u怀࠼/耀⁛က몰ȷ怀耀ៜ̈ऀЀCongenialऀ몀ȷ怀耀.ttfЀ㒀怀㒀怀㓠怀㓠怀Ԃʼ겠u怀࠼/耀⁛က뮠ȷ怀耀႔̅ऀЀCongenialऀ뭰ȷ怀耀.ttfЀ㕀怀㕀怀㖠怀㖠怀ԂƐ겠u怀࠼/耀⁛က변ȷ怀耀磻̅ȀЀ뱠ȷ怀耀배ȷ怀耀.ttfЀ㘀怀㘀怀㙠怀㙠怀ԀĬ겠u怀࠼/耀⁛က붰ȷ怀耀ຸ̅ऀЀ뵐ȷ怀耀봠ȷ怀耀.ttfЀ㛀怀㛀怀㜠怀㜠怀ԂĬ겠u怀࠼/耀⁛က빰ȷ怀耀琉̅ȀЀCongenialऀ빀ȷ怀耀.ttfЀ㞀怀㞀怀㟠怀㟠怀ԀƐ겠u怀࠼/耀⁛က뾐ȷ怀耀⠔̅ȀЀ뼰ȷ怀耀뼀ȷ怀耀.ttfЀ㡀怀㡀怀㢠怀㢠怀Ԁɘ겠u怀࠼/耀⁛က纠Ȩ怀耀ᙰ̅ऀЀ绐Ȩ怀耀냀ͧ怀 耀.ttfЀ㤀怀㤀怀㥠怀㥠怀Ԃɘ겠u怀࠼/耀⁛ကȷ怀耀ᰰ̅ȀЀ盰Ȩ怀耀瞰Ȩ怀耀.ttfЀ㧀怀㧀怀㨠怀㨠怀Ԁú겠u怀࠼/耀⁛ကȷ怀耀݈̅ऀЀ`ȷ怀耀넀ͧ怀 耀.ttfЀ㪀怀㪀怀㫠怀㫠怀Ԃú겠u怀࠼ۿﳿƟ怀Ġȷ怀耀ଂआȂ̄ЂConsolasࠀConsolasࠀ.ttfЀ㭀怀㭀怀㰀怀㰀怀ԀƐ괐u怀࠼ۿﳿƟ怀ưȷ怀耀ଂइȂ̄ЂConsolasࠀƀȷ怀&#10;耀.ttfЀ㱠怀㱠怀㳀怀㳀怀Ԁʼ괐u怀࠼ۿﳿƟ怀ɰȷ怀耀ԸଂआȂ਄ЂConsolasࠀɀȷ怀耀.ttfЀ㴠怀㴠怀㶀怀㶀怀ԂƐ괐u怀࠼ۿﳿƟ怀̰ȷ怀耀᱘ଂइȂ਄ЂConsolasࠀ̀ȷ怀耀.ttfЀ㷠怀㷠怀㹀怀㹀怀Ԃʼ괐u怀࠼˯ꀀ⁋䀀Ɵ ϰȷ怀耀먄̂Ȇ̅̆̃Constantia਀Constantia਀.TTFЀ㺠怀㺠怀㽠怀㽠怀ԀƐ궀u怀࠼˯ꀀ⁋䀀Ɵ Ҁȷ怀耀잨̂ȇ̆̆̃Constantia਀ѐȷ怀耀.TTFЀ쀀怀쀀怀쁠怀쁠怀Ԁʼ궀u怀࠼˯ꀀ⁋䀀Ɵ Հȷ怀耀뮨̂Ȇ̅ਆ̃Constantia਀Ԑȷ怀耀.TTFЀ샀怀샀怀선怀선怀ԂƐ궀u怀࠼˯ꀀ⁋䀀Ɵ ؀ȷ怀耀환̂ȇ̆ਆ̃Constantia਀אȷ怀耀.TTFЀ솀怀솀怀쇠怀쇠怀Ԃʼ궀u怀" userProvider="筶⯯߻䵨읐嬀ǡ怀   䈠則媠怀ᨐ˪怀쏐䜠偎呚䵕₠呚䵕⑯ﻸ鿿呚䵕呚䵕Ը赹ꤜ赹ڻ婹䱀y怀ā⽀y怀ڻ⼰ڽĀ%㷀Δ怀ą怀ą怀䵨촰港啠Ƿ怀잰港   䈠則媠怀⾠˶怀짐港䜠偎呚䵕₠呚䵕≯ﻸ鿿呚䵕呚䵕Ը赹ꤜ赹繀͘怀繀͘怀繀͘怀繀͘怀繀͘怀繀͘怀繀͘怀繀͘怀繀͘怀繀͘怀繀͘怀繀͘怀繀͘怀繀͘怀繀͘怀繀͘怀繀͘怀繀͘怀繀͘怀繀͘怀繀͘怀繀͘怀繀͘怀繀͘怀繀͘怀繀͘怀繀͘怀繀͘怀繀͘怀繀͘怀繀͘怀繀͘怀ˈ婐ꁉ쀱殁ᘮ卼併䴸,,0ꀀᖁ0ꀀᖁ쉠ʄ怀⡟ƶ怀呚䵕₠呚䵕ⁿﻸ鿿呚䵕呚䵕乄䍏耀䵨⼰繁捰Ƿ怀ⴐ繁   䈠則媠怀쎠˶怀掠繁䜠偎呚䵕₠呚䵕Ὧﻸ鿿呚䵕呚䵕Ը赹ꤜ赹https://odc.officeapps.live.com/odc/servicemanager/serviceremove࠼⛿ꄕ퀀Ɵ 챠Ȳ怀耀ཛྷ찀Ȳ怀&#10;耀쯐Ȳ怀耀.ttfЀ怀怀怀怀Ԁʼu怀࠼⛿ꄕ퀀Ɵ 쭰Ȳ怀耀ཛྷ쭀Ȳ怀&#10;耀燀ͦ怀 耀.ttfЀ怀怀怀怀Ԃʼu怀https://odc.officeapps.live.com/odc/servicemanager/userconnectedhttps://odc.officeapps.live.com/odc/servicemanager/servicedetailsˈ婐ꁉ쀱殁ᘮ卼併䴸((((ŀ怀ᖅŀ怀ᖅʄ怀͙챠ƶ怀呚䵕₠呚䵕᥿ﻸ鿿呚䵕呚䵕乄䍏耀https://excelcs.officeapps.live.com/xlauto/excelautomation.svc/resthttps://excelcs.officeapps.live.com/exlps/excelprint.svc/exlPrint࠼⛿ꄕ퀀Ɵ 칀Ȳ怀耀ཛྷ樂췠Ȳ怀&#10;耀춰Ȳ怀&#10;耀.ttfЀ怀怀怀怀ԀƐu怀࠼/耀&#10;콠Ȳ怀耀ˑ渰Ȃ̈ԅȅЂ컐Ȳ怀耀케Ȳ怀耀.ttfЀ怀怀怀怀Ԁʼu怀࠼/耀&#10;큐Ȳ怀耀ˑꄐȂ̈ԅअЂ쿰Ȳ怀耀쿀Ȳ怀耀.ttfЀ怀怀怀怀Ԃʼu怀࠼/耀&#10;텰Ȳ怀耀ˑ搜Ȃ̅ԅȅЂ턐Ȳ怀耀탠Ȳ怀耀.ttfЀ怀怀怀怀ԀƐu怀࠼/耀&#10;퉠Ȳ怀耀ˑ裄Ȃ̅ԅअЂ툀Ȳ怀耀퇐Ȳ怀耀.ttfЀ횀怀횀怀챠怀챠怀ԂƐu怀࠼/耀&#10;퍐Ȳ怀耀ˑ斤Ȃ̃ԅȅЂ티Ȳ怀耀틀Ȳ怀耀.ttfЀ怀怀怀怀ԀĬu怀࠼/耀&#10;폠Ȳ怀耀ˑ迄Ȃ̃ԅअЂ펰Ȳ怀耀纀ͦ怀 耀.ttfЀ怀怀怀怀ԂĬu怀࠼/耀&#10;풠Ȳ怀耀B퉬ĂЀĄā́Sagona؀푰Ȳ怀&#10;耀.ttfЀ怀怀怀怀ԂƐu怀࠼/耀&#10;할Ȳ怀耀B鲼ĂЀĄā́Sagona؀픰Ȳ怀耀.ttfЀ怀怀怀怀ԀƐu怀࠼聇ꀀ횰Ȳ怀耀ޮ獨Ȃ̅ЅȅЃ혠Ȳ怀&#10;耀홐Ȳ怀&#10;耀.ttfЀ怀怀怀怀ԀƐu怀࠼ 힠Ȳ怀耀ޮ쓰ЃȆ؄ࠇЉ흀Ȳ怀耀휐Ȳ怀耀.ttfЀ怀怀怀怀Ԁʼu怀࠼耀Ȳ怀耀਽蘔Seaford܀Ȳ怀耀.ttfЀ怀怀怀怀ԀƐu怀࠼耀Ȳ怀耀਽蘘Seaford܀Ȳ怀耀.ttfЀ怀怀怀怀Ԁʼu怀࠼耀Ȳ怀耀਽阌Seaford܀Ȳ怀耀.ttfЀ怀怀怀怀ԂƐu怀࠼耀Ȳ怀耀਽鍌Seaford܀Ȳ怀耀.ttfЀ怀怀怀怀Ԃʼu怀࠼耀Ȳ怀耀਽飰쨠Ȳ怀耀쪰Ȳ怀耀.ttfЀ쟠怀쟠怀怀怀ԀƐu怀࠼耀Ȳ怀耀਽錸Ȳ怀耀Ȳ怀耀.ttfЀ怀怀怀怀ԂƐu怀࠼ʏ 䜁Ȳ怀耀਽瑌Ȳ怀耀Ȳ怀耀.ttfЀ怀怀怀怀ԀƐu怀࠼ʏ 䜁Ȳ怀耀਽燴Ȳ怀耀Ȳ怀耀.ttfЀ豈怀豈怀怒怀怒怀Ԁʼu怀࠼ʏȲ怀耀ޮﲠଃЅ̀Ȳ怀耀Ȳ怀耀.ttfЀ燎怀燎怀婢怀婢怀ԀƐu怀࠼ʏȲ怀耀ޮଃЈ̀Ȳ怀耀Ȳ怀耀.ttfЀ﫠怀﫠怀נּ怀נּ怀Ԁʼu怀࠼⻿쀀 ǿ Ȳ怀耀ꮅ튐ଂȅȄȄ̂Segoe UIࠀSegoe UIࠀ.ttfЀﮠ怀ﮠ怀ﱠ怀ﱠ怀ԀƐu怀࠼⻿쀀 ǿ Ȳ怀耀ꮅꈐଂȈȄȄ̂Segoe UIࠀȲ怀&#10;耀.ttfЀﳀ怀ﳀ怀ﴠ怀ﴠ怀Ԁʼu怀䵨悐繆ௐǷ怀皠繆   䈠則媠怀䌀˴怀磀繆䜠偎呚䵕₠呚䵕ｯﻷ鿿呚䵕呚䵕Ը赹ꤜ赹䵨딀港ꢀǴ怀㱠繇   䈠則媠怀⿰˷怀끐港䜠偎呚䵕₠呚䵕﹯ﻷ鿿呚䵕呚䵕Ը赹ꤜ赹᱀ҿ幸瑣牯耐㠔蜸ǠĲ怀耀㠔背㠔à譌㠔ɀ롌㠔ɉ⼠㠕*ば㠕よ㠕Ր嬈㠕㿌高㠖髸㠖汐ᗠʢ怀ᗸʢ怀ᗸʢ怀䶅ĀꞀËˆ怀쀀ᤎ梀Ɩ怀媠怀᧳㤀͠怀䀀䂙䀸萐ú怀ā耀㳀͠怀 &#10;&#10;#$%笐ﾘ鿿攠丯￼蓐끈鱢￼漐ﵹ鿿夘丯￼댨鱢￼䨨ﰄ鿿擨丯￼奐丯￼墨丯￼궈鱢￼堸丯￼堀丯￼塰丯￼ᾘ鱮￼ᾀ鱮￼壠丯￼ὸ鱮￼莀笘ﾘ鿿贆老顑퍲廊贆ȷꥁ퍲贆⹗齂퍲贆쀼髆퍲贆攆Ꙍ퍲ﯔ贆푓駬퍲贆老ꑟ퍲䵨梠ꔠǷ怀撐   䈠則媠怀變˴怀暰䜠偎呚䵕₠呚䵕ﻷ鿿呚䵕呚䵕Ը赹ꤜ赹⁌ၜ汱䙰핵‼ၜ遖穑ᅺ‬ၜ老蘜瘒펼㧜荵疴퍃᷸ၜ老ꐠ죤ᅻ“ၜ깤햶펴掄荵老眊퍃‴ၜ老╀ﮪᅶ⁘ၜ譵蝛퍃⁄ၜ簡ᢿ퐕䵨߰蔐Ǯ怀א   䈠則媠怀˫怀ॐ䜠偎呚䵕₠呚䵕ﻷ鿿呚䵕呚䵕Ը赹ꤜ赹AD◸莼老베퍃뵠޺䝔끤࠲껀莹老퐤륲퍃鵌莽老녚륔퍃䓀莸老痴퍃ᰌ莾띶뤵퍃ꔘ莾老䍲迆퍃莼ﶚ퍃퉨莽昹랬퍃作荵老큖痮퍃☄莼老㨅벮퍃᱀ҿ幮瑣牯耐㠔蜸ǠĲ怀耀㠔背㠔à譌㠔ɀ롌㠔ɉ⼠㠕*ば㠕よ㠕Ր嬈㠕㿌高㠖髸㠖汐ᕠʢ怀ᕸʢ怀ᕸʢ怀聠怀怀䀀怀넠d怀᪠怀怀ॠ怀怀꓀怀䃰Â怀말ú怀듐Ð怀钠¥怀ڐÂ怀烀Ï怀װ×怀귰ú怀藰ð怀㍸п㡐У탐ʊ怀ʊ怀ரe怀㍸п贐ͦ怀膐ͦ怀虀ǐ怀ͦ怀魀ρ怀欐Ι怀ͦ怀䚸蛡ᄐ퍓峄蛰老ᅴಁ퍙㣜蛡老ꈇ茣퍛尼蛰녿﹕퍗나蛩꘡㌆퍘藜蛸老腪స퍙㤨蛡ꙵ娘퍓䋴蛰老謹ಪ퍙㦨蛡┍ယ퍜䋰蛰鉵౛퍙䚐蛡老䉍栽퍛蚰蛠ल퍊ጀ筹⯯5䵨薰繌洀Ƿ怀翰繌   䈠則媠怀ᴠˣ怀菀繌䜠偎呚䵕₠呚䵕ﻷ鿿呚䵕呚䵕Ը赹ꤜ赹貨蔈ꌾ믂퍈뵠菈老似阒퍃T蒵鼭疴퍃Ẩ蒴娚퍉봀菈老䈪馇퍃ⷰ蒿老兀뼇퍉阔蒱老꽍띛퍃뵘菈老쥄슻퍃蒵老ꨘꂫ퍈부菈老脷钍퍃뵨菈老䄥齾퍃鍔荵̰瘵퍃ﳰ莺줕ꬢ퍃쓨荵老㜒瞲퍃딐荵㔪眅퍃莴老痴퍃畤莺老奛ꭅ퍃ⓔ莽老荡ﱶ퍃鍄荵老ݣ瞉퍃▌莹老灌ꩪ퍃䐰蓾老刴ꐏ퍃櫀蒯老ꡞ몟퍄嗠莺ᝅ肾퍃作荵ᵍ痮퍃ꨔ莻魻꬏퍃᱀ҿ幒瑣牯耐㠔蜸ǠĲ怀耀㠔背㠔à譌㠔ɀ롌㠔ɉ⼠㠕*ば㠕よ㠕Ր嬈㠕㿌高㠖髸㠖汐뗀Ì怀똈Ì怀똈Ì怀䵨砀繌悠Ƿ怀燠繌   䈠則媠怀ˤ怀璠繌䜠偎呚䵕₠呚䵕ﻷ鿿呚䵕呚䵕Ը赹ꤜ赹䵨ﴐ替ǲ怀ꌐ曼   䈠則媠怀朰˵怀聆替䜠偎呚䵕₠呚䵕ﻷ鿿呚䵕呚䵕Ը赹ꤜ赹䵨鶐蛀Ƿ怀魰   䈠則媠怀쭠˴怀鯠䜠偎呚䵕₠呚䵕ﻷ鿿呚䵕呚䵕Ը赹ꤜ赹䵨ꢀǮ怀   䈠則媠怀˫怀䜠偎呚䵕₠呚䵕ﻷ鿿呚䵕呚䵕Ը赹ꤜ赹誈蒮老䴮ǰ퍅ㇴ蒼老봩᠔퍇熼蒱ꡓ퍃橘蒱老ᱰ뗳퍃Ⅸ蒴቗疴퍃ᖔ蒹老ꑃ퍉샠蒮老ば鴶퍄媘蒳㸧ꮧ퍈柠蒱꜋퍉凘蒸老行眊퍃曠蒱老⨓⹊퍄曐蒱詺뗭퍃漉漉漉漉漉쟐漉쟐漉쟐漉쟐漉쟐漉쟐漉쟐漉쟐漉쟐漉쟐漉쟐漉쟐漉쟐漉规荵鰚硳퍃ΐ蒵⠺믤퍈橨荵嬏痴퍃딐荵卅眅퍃ᴀ荵老鼡ﱶ퍃竼荵謒碇퍃臠荵老錍磨퍃鍄荵老᜸瞉퍃폼荵睦眚퍃作荵老喙痮퍃␔蒲琧밍퍈ᴀ荵老靓퍙Ⲱ荵睥眏퍃ៀ筀˔怀꣰ú怀癳g̀睐˥怀睘˥怀睘˥怀휀͡怀휀͡怀ₐĈ怀䝅沈褏䀰욧蝋䀰᱀ҿ幨瑣牯耐㠔蜸ǠĲ怀耀㠔背㠔à譌㠔ɀ롌㠔ɉ⼠㠕*ば㠕よ㠕Ր嬈㠕㿌高㠖髸㠖汐㦀˯怀㦈˯怀㦈˯怀ៀ螀˒怀뎐ú怀癳g̀瓰˥怀瓸˥怀瓸˥怀͡怀͡怀⊐Ĉ怀⾃Ꙍ䀩맵諚䀩䵨ꄰ⫀ǥ怀鮰2 0䈠則媠怀㤠˯怀鷐䜠偎呚䵕₠呚䵕ﻷ鿿呚䵕呚䵕Ը赹ꤜ赹䞑Āᒅºº傉䝎਍ਚഀ䡉剄ఀ㈀؈栀㨅:琙塅却景睴牡e摁扯⁥浉条剥慥祤쥱㱥尀䑉呁ﱢ̿耩恩䘡辑쾏ꉿ‴␫ƨ瞻烯䁫ౖࡓ䰃鳸꺄꬘氆⛮ۊꙬ琓꣒円ꌍ䘚谵ᡪフ㒒泠墜奙ꟽඊĀꙬ鴥윒䕉䑎䊮艠䵨飰ݐǥ怀鍰 䈠則媠怀㨐˯怀閐䜠偎呚䵕₠呚䵕ﻷ鿿呚䵕呚䵕Ը赹ꤜ赹Ö怀㖘螇㕸螇䱬蒳䰐蒳䢀蒳ಔ蠻蠻䆬衊䆠衊棌ྦ椤ྦ琜蛮ﱔ蛾툰蜩퉰蜩퉤蜩튤蜩琘蛮筌蠹溔蠼ﳈ衚⳰蠽笨蠹衐衐匔莵ㆴ菈ꐴ蟐ꋴ蟐갸蒴궄蒴蛇⠀筹⯯6䵨ﯠ薠Ǯ怀   䈠則媠怀˫怀䜠偎呚䵕₠呚䵕홯ﻷ鿿呚䵕呚䵕Ը赹ꤜ赹䵨녠蝐Ƿ怀᧡   䈠則媠怀꫐˷怀글䜠偎呚䵕₠呚䵕핯ﻷ鿿呚䵕呚䵕Ը赹ꤜ赹䵨唐渮Ƿ怀渭   䈠則媠怀˩怀攰繂䜠偎呚䵕₠呚䵕푯ﻷ鿿呚䵕呚䵕Ը赹ꤜ赹䵨猀貎柰ǲ怀胀渮   䈠則媠怀ঠ˲怀❠貍䜠偎呚䵕₠呚䵕퍯ﻷ鿿呚䵕呚䵕Ը赹ꤜ赹┰ꂅ老桚疴퍃Ὤꂅ老靐쵥퍲♸ꂅ老✬啺퍣⚌ꂅ老밫⃫퍆᭄ꂅ豚퍔⼸ꂅ锲蝛퍃὘ꂅ뜿쭼퍲⚴ꂅἪ࠯퍳箰〖牐〖摀〖徐〖冀〖䍰〖㕠〖⊠〖ᷰ〖ᒐ〖ର〖〕〕칀〕ꐐ〕쓠〕扰〕ฐ〕朠〕蟰〕䬀〕酐〕䓐뾽ᙐ҅냨ࠌ囘郣䗨蔙킘虘裈譳躟굠觥ꖹ㸸躌뵀輢뢸䠠鎈闶霎镀雴䂈頍寠讶禀靻䝀鋙汰鐮ⅸ饡Ῐ騵ꭨꞌ珰痠碘ஂ錘鱯ꠄࡰ菔　筹⯯)䖱ĀސmMacintosh HD ‎» Users ‎» gsun20 ‎» Downloads ‎» autopipeline-benchmarks-main ‎» commercial-pipelines ‎» a06_0E&lt;resolutionId provider=&quot;None&quot;&gt;&lt;localId name=&quot;Author&quot;/&gt;&lt;/resolutionId&gt;䀠賶老쾠퍨誨贄♦퍆踼贄覨퍆覤贄老≟쓓퍨踬贄嘅쮄퍅ᷨ賵บ퍅詘贄老䭇ﶆ퍲䀌賶老顱쾷퍨謴贄이肸퍆᳐賵老푺眊퍃봔賵啲疴퍃㈰賵졈蕨퍆Ɒ賵浪퍆㐀筹⯯1㔀筹⯯߻뮴蝿⽢崣퍛竼荵老茶碇퍃뮨蝿ﹺ㰊퍏蛛老䔓杮퍛㜀筹⯯9㠀筹⯯&lt;ጘࣕⲰ࣓⨠࣓躸࣐摉瀀ﯓ㈙艚锡룕⊑Õ⯠࣓樠贆老ḝ퍅楀贆老륉퍅曬贆쥬疴퍃梸贆老ĩ빔퍱澀贆ꍪ퍅濘贆픉瀊퍲楈贆老뼸鏸퍆栔贆老怆砚퍃暈贆老ᙏ眊퍃槈贆老翋퍆栜贆䉑퍃樐贆老﨣Ꮞ퍄㬀筹⯯?朰贂老섧᪠퍆賵퍼恄퍆賵老硥ᙄ퍆ȼ賶Ⰹ疴퍃煜贂老䕺惤퍆掼賴ꁨ퍆浤賵老畫퍲泸賵㥝扇퍆煐贂똟愘퍆榘賵멗턙퍲濼贂㐼퍲棤贂老퍲ｰ賵덅抒퍆˼贃老ࡵ뜰퍲֐贃腝퍲ྔ贃老䱚箄퍲Δ贃뙘퍲Ҭ贃老⥯뙉퍲㙐贃댦筚퍲Ĥ贃๴׼퍳贃老ﰡ紭퍲贂籞퍲ﰰ贂䙘㜰퍳㸀筹⯯@㼀筹⯯ݼ莽ꤠ퍃获老ȼ꣣퍃获㨇땳퍃犔获礕컥퍃册莺老驎ﳘ퍃ش莸老ᤫ옙퍃获老뚋퍃ᘄ莽老둠﹍퍃樠丳￼ﰗ鿿ॸﭾ鿿≸ￆ鿿嬈丳￼ﰗ鿿槨丳￼잰嫐丳￼은媘丳￼孀丳￼Ｋ鿿우◨ﰖ鿿䵨∠ꇀǷ怀    䈠則媠怀훐˴怀迠䜠偎呚䵕₠呚䵕뵯ﻷ鿿呚䵕呚䵕Ը赹ꤜ赹졀妸丳￼짠Ｋ鿿쥀橘丳￼奈丳￼檐丳￼妀丳￼⚨ﰖ鿿죐≰ￆ鿿ﰗ鿿ﰗ鿿姰丳￼⇘ﭾ鿿샀؀Ȟ怀āऻ鸫嘏Ǫ怀䄀洁汵砭捰⠠灁汰⥥佟数卮整p쟸丳￼托﷩鿿␘ﭾ鿿㈐쑀丳￼㋰舰ﴣ鿿녰丳￼놨丳￼쟀丳￼쒰丳￼뾐ﲈ鿿㊀있丳￼Ř蛧老阗颁퍚Ą蛧老ￂ퍘⻜蛬㙨맫퍍팘蛤수ࠫ퍙ﶸ蛦老푢궬퍈Հ蛧老牽襭퍆ư蛧ﰘ퍑Ǥ蛧捋ሯ퍑https://arizonastateu-my.sharepoint.com/personal/gsun20_sundevils_asu_edu廈Ⅿ�燨➬�䙨傸忸䳘㇘姈Ⅿ�䊘Ⅿ�Ⳙ俈Ⅿ�么䞘Ⅿ�㺨䊈㦨哈Ⅿ�ៀ⧀ʨ怀ꃐ×怀癳g̀箐˪怀箘˪怀箘˪怀䥸Ĉ怀䦐Ĉ怀䀴䀴䀴䀴䵨繋姠Ƿ怀繋   䈠則媠怀擀ˣ怀繋䜠偎呚䵕₠呚䵕땯ﻷ鿿呚䵕呚䵕Ը赹ꤜ赹鵬護퍫灰護老鈯⊂퍫烠護팠疴퍃鵴護ꅔࡕ퍫礀護䠩粵퍎覜護֊퍫礌護老ꁙ๸퍫芈護᠊垉퍓꘸護老⌭퍫臨護老脽垛퍓韀護老娺☍퍫盠護큄癎퍃胠護뭈↮퍫ៀ혀ʨ怀ઠ×怀癳g̀䱰˪怀䱸˪怀䱸˪怀䵸Ĉ怀䶐Ĉ怀䀴䀴䀴䀴ៀʨ怀๠×怀癳g̀估˪怀伸˪怀伸˪怀乸Ĉ怀亐Ĉ怀䀴䀴䀴䀴ៀ䄀ʨ怀綐×怀癳g̀愠˪怀愨˪怀愨˪怀佸Ĉ怀侐Ĉ怀䀴䀴䀴䀴ៀʨ怀ዀ×怀癳g̀冀˪怀冈˪怀冈˪怀偸Ĉ怀傐Ĉ怀䀴䀴䀴䀴ៀﯠʨ怀⛀×怀癳g̀台˪怀司˪怀司˪怀典Ĉ怀冐Ĉ怀䀴䀴䀴䀴ៀ蟀ʨ怀⧠×怀癳g̀噐˪怀噘˪怀噘˪怀剸Ĉ怀劐Ĉ怀䀴䀴䀴䀴ꔴ莸碲퍃䟬菃률뙥퍃땈莿老氹眅퍃莸老尃疧퍃웤莸䝿벇퍃爜荵老脾瘗퍃⹠菅D퍃똠莿老蹜瞉퍃뿌莸老꜎퍃ꏤ莾老屸퍃ៀ鑀ʨ怀⯀×怀癳g̀声˪怀壸˪怀壸˪怀呸Ĉ怀咐Ĉ怀䀴䀴䀴䀴ៀꅠʨ怀ऐ×怀癳g̀宐˪怀官˪怀官˪怀啸Ĉ怀喐Ĉ怀䀴䀴䀴䀴嘀筹⯯߻띐뚀틸ﷴ鿿㢨혒또幐丳￼楀丳￼ㅠￇ鿿⑨ﰖ鿿觘ﭸ鿿巠丳￼쒐帘丳￼쐠쬰ﰗ鿿쎐庈丳￼쮐ﰗ鿿椈丳￼Ｋ鿿ៀʩ怀×怀癳g̀̐˪怀̘˪怀̘˪怀巀͌怀巀͌怀妐Ĉ怀풕栉尢䀶䁏愓σ䀰ៀꥠʨ怀ꎠ×怀癳g̀뷐˪怀뷘˪怀뷘˪怀넀͌怀넀͌怀媐Ĉ怀榭燞캊䀨뾱黬఼䀩쑰ﰗ鿿弰丳￼숐솀忘丳￼徠丳￼梘丳￼Ｋ鿿∨ￆ鿿棐丳￼쐐ﰗ鿿슀彨丳￼⾸ﭾ鿿⎨ﰖ鿿ៀ뇠ʨ怀竀×怀癳g̀幠˪怀幨˪怀幨˪怀屸Ĉ怀岐Ĉ怀䀴䀴䀴䀴劸丳￼勰丳￼矨丳￼㒘ﭾ鿿胠ﰗ鿿⩨ﰖ鿿탠텐匨丳￼砠丳￼⊀ￆ鿿占丳￼쬠Ｋ鿿큐肀ﰗ鿿帀筹⯯ៀ俠ʨ怀沰×怀癳g̀掰˪怀掸˪怀掸˪怀彸Ĉ怀徐Ĉ怀䀴䀴䀴䀴䵨易놀Ƿ怀뚐   䈠則媠怀펠˷怀䜠偎呚䵕₠呚䵕齯ﻷ鿿呚䵕呚䵕Ը赹ꤜ赹ៀ峀ʨ怀䒰×怀癳g̀晠˪怀晨˪怀晨˪怀慸Ĉ怀憐Ĉ怀䀴䀴䀴䀴紘譶疴퍃鄠譶老ᵯ찑퍈毰譶蔢̢퍫薠譶老愸ᚔ퍫Ꞙ譶ꝉⶕ퍫矨譶老瑪ㄕ퍫謄譶頂⛶퍗ꃠ譶崺㗜퍫ꐀ譶老樓퍉漴譶ꔃẜ퍫鄘譶ᜆ㶎퍙쫐Ｋ鿿喐丳￼췰眈丳￼啘丳￼着丳￼ㅀￇ鿿ﰗ鿿쳰嘀丳￼嗈丳￼酘ﭸ鿿⣨ﰖ鿿춀ﰗ鿿灰護老虊⊂퍫烠護瘴疴퍃鵴護老ᬅࡕ퍫礀護䍺粵퍎覜護老祭֊퍫礌護老๺๸퍫芈護老੨垉퍓Ꙑ護ꍧ⌭퍫臨護老‧垛퍓韀護老ꕧ☍퍫盠護癎퍃胠護老‍↮퍫긨丳￼鲘ﭸ鿿硘丳￼碐丳￼箰剈丳￼刐丳￼闠ﰗ鿿귰丳￼Ｋ鿿簠ㅸￇ鿿凘丳￼筰蕠ﰗ鿿⬨ﰖ鿿䵨⽀曹ﵐǲ怀替   䈠則媠怀巠˵怀ⵐ曹䜠偎呚䵕₠呚䵕饯ﻷ鿿呚䵕呚䵕Ը赹ꤜ赹傌蜀⥄ﱶ퍃鍔荵老脢瘵퍃며蛻老ŵﱗ퍘暐蛢퍗鳀蛶老帜嵆퍘蛜渂狅퍘꺬蛛老ࠝ㡧퍝꺜蛛獗脧퍛臠荵鄈磨퍃ﭼ蒲멪퍄눀蛜뽸ﰺ퍘Ҩ蛜鱁퍗核蛢ꝧﱭ퍘됈蛻땟술퍘Ｋ鿿呀丳￼衘ﭸ鿿ㅨￇ鿿쿀⦨ﰖ鿿咰丳￼合丳￼컀睸丳￼﷐ﰗ鿿ﵰﰗ鿿呸丳￼瞰丳￼콐馌蛺簐퍙똔蜷笘퍙ោ蜆老ṇ暧퍚蛺⌹疴퍃믌蜷쐨瞉퍃럜蜷老ብ㲚퍚뙜蜷老䩷㰗퍚뗰蜷੮軉퍃ូ蜆老䠞ᚩ퍅뢘蜷老缝㴊퍚렰蜷絎﫫퍑뛄蜷老뵺㰬퍚쯰坐丳￼團丳￼因丳￼챠嚨丳￼쭠⠨ﰖ鿿쪀Ｋ鿿ㅐￇ鿿盐丳￼ﰗ鿿皘丳￼聸ﭸ鿿ﰗ鿿ᥨ丳￼මｶ鿿聰丳￼胠丳￼䕰辘ﰕ鿿䔀ධｶ鿿䡰肨丳￼ᤰ丳￼ᄨ蛜老蝺쓠퍑贀蛢꧂퍏螁깛時퍛螁ﬡᧃ퍏賸蛢老䥘旵퍛뒀蛰老퍐ྜ蛜老遶뿇퍎釘蛟퍊ޜ蛜䥖駉퍝鉀蛟〞砚퍃亐蒱老蕫辋퍅ƨ蛜老葑瘼퍎蛛罟ﲝ퍎蛛ᠠԠ퍍거譴﹚㈀퍫ꯄ譴렧謱퍚ꯌ譴ଛ疴퍃걌譴攨㉸퍫뢬譴䕩퍃뛸譴앁﹙퍪겤譴老訽眊퍃갰譴礊퍃겔譴老䄁㉞퍫갼譴老︐¿퍞㧜荵疴퍃⸌ਦ老硼뵵આ노ਬ漚ყ퍗됸ਬଦ䛩퍗커ਦ老̊蝛퍃댰ਬᘙ쀋અ땐ਬ洂‼퍚둄ਬ老켷䜎퍗둈ਬ褯અݸਦ饡粟퍙ៀ틠ʩ怀×怀癳g̀閠˭怀閨˭怀閨˭怀䭀͌怀䭀͌怀澐Ĉ怀酨糭锿䀱뾱黬఼䀩ៀʩ怀터×怀癳g̀ ˪怀¨˪怀¨˪怀侀͌怀侀͌怀炐Ĉ怀ᑻ䞮뫡䀯䁏愓σ䀰ៀʩ怀틀×怀癳g̀Ѐ˪怀Ј˪怀Ј˪怀往͌怀往͌怀熐Ĉ怀沋ﯧ솩䀹䁏愓σ䀰ៀʩ怀쀀×怀癳g̀Ԑ˪怀Ԙ˪怀Ԙ˪怀技͌怀技͌怀犐Ĉ怀抷㤽䀴뾱黬఼䀩ᴨ﹯鿿↨﹯鿿Ὠ﹯鿿⏨﹯鿿欸丳￼᫨﹯鿿짐墠丳￼塨丳￼쩠쨰Ｋ鿿ﰗ鿿埸丳￼∈ￆ鿿櫈丳￼쫐❨ﰖ鿿ᤸﭾ鿿ﰗ鿿欀丳￼堰丳￼逸◶�ڰܠ耸丳￼ᖰ迸ﰕ鿿䵨ጀ朦삐Ǽ怀變漎   䈠則媠怀씐˱怀鄰䜠偎呚䵕₠呚䵕襯ﻷ鿿呚䵕呚䵕Ը赹ꤜ赹ﴨਨ湴阱આﴰਨ角અ뻜ਨ谄责અ뵘ਨ老詗쿃આ㧜荵老逽疴퍃뻤ਨ老됹讅઄뵠ਨ老ܭ馦આﯸਨ老瞉퍃뻬ਨ赤쫚઄뵐ਨ꤭쾯આ벤ਨ༨અ䵨瑐Ǯ怀菐ǌ( ܰ䈠則媠怀鼀˯怀䜠偎呚䵕₠呚䵕蝯ﻷ鿿呚䵕呚䵕Ը赹ꤜ赹愨丳￼⋨ﰖ鿿数ﰗ鿿≘ￆ鿿뿰惰丳￼Ｋ鿿旐ﰗ鿿삀桠丳￼▘ﭾ鿿栨丳￼샰悸丳￼悀丳￼潐ऌ繣啣ऒऍ老凕ऒ杠ऌ老者嗕ऒ牴ऌ老艹퉸펔ऍ戫凊ऒ暴ऌꩈ姛ऒ湜ऌ老驍姽ऒ㋐ऍ䘾᤯퍄牼ऌꕔ嫟ऒ﷡鿿扸丳￼빠所丳￼戈丳￼ﵗ鿿懐丳￼ㄈￇ鿿뻰뽠枸丳￼ꜘﭸ鿿Ｋ鿿ፀﰗ鿿∨ﰖ鿿柰丳￼Ⅽ�겘Ⅽ�볐Ⅽ�Ⅽ�ݘⅮ�Ⅽ�煸Ⅾ�ౠ◰�뵠ﶨⅭ�뱸Ⅽ�츈Ⅽ�헸Ⅽ�뒈Ⅽ�⭘ﰖ鿿쓈Ⅽ�뷐폐ﰖ鿿ﰖ鿿ꘀ臐﵉鿿瑨丳￼⎸ﭾ鿿ꕰ攘丳￼￈ﰞ鿿ꥰＬ鿿甐丳￼瓘丳￼璠丳￼꙰敐丳￼ﲳ鿿炰丳￼昰丳￼꣠꬀Ｌ鿿ﰞ鿿灸丳￼烨丳￼辰ﰉ鿿ﲳ鿿麀ﰉ鿿焠丳￼ؘﭾ鿿旸丳￼ꥐꨠ䵨ៀ曼瓠ǲ怀Ȁ綳   䈠則媠怀櫰˴怀ૠ綹䜠偎呚䵕₠呚䵕聯ﻷ鿿呚䵕呚䵕Ը赹ꤜ赹䖱ĀސoMacintosh HD ‎» Users ‎» gsun20 ‎» Downloads ‎» autopipeline-benchmarks-main ‎» commercial-pipelines ‎» adf02_1Ā搁潬数⡮甯牳氯扩氯扩瑳捤⬫㘮搮汹扩‬砰〰〱㨩 ៀ䄀ʪ怀蠠Ê怀癳g̀˪怀˪怀˪怀艸Ĉ怀芐Ĉ怀䀴䀴䀴䀴Љì吀礀瀀攀昀愀挀攀 搀愀琀愀 䌀漀瀀礀爀椀最栀琀 ꤀ ㄀㤀㤀㈀ⴀ㤀㐀 吀栀攀 䴀漀渀漀琀礀瀀攀 䌀漀爀瀀漀爀愀琀椀漀渀⸀ 䌀漀瀀礀爀椀最栀琀 ㄀㤀㤀㐀 䴀椀挀爀漀猀漀昀琀 䌀漀爀瀀漀爀愀琀椀漀渀⸀ 䄀氀氀 爀椀最栀琀猀 爀攀猀攀爀瘀攀搀⸀sun20@sundevils.asu.edu䖱ĀސtDesign and data by The Monotype Corporation. © 1993. Portions copyright Microsoft Corporation.  All rights reserved.憌蒲鴚퍆爜荵老饹瘗퍃℀蒵老ţ疧퍃쬰蒶嬛絨퍃怠蒲老ɿ鏩퍅ఔ蒵簌퍃縰蒲老摍ጿ퍆徬蒲堻홏퍃Python provided by Anaconda䵨繋溰Ƿ怀械繌   䈠則媠怀虐ˣ怀픐繋䜠偎呚䵕₠呚䵕睯ﻷ鿿呚䵕呚䵕Ը赹ꤜ赹ៀ皀ʯ怀ꓠÊ怀癳g̀˪怀˪怀˪怀襸Ĉ怀覐Ĉ怀䀴䀴䀴䀴䖱ĀސoMacintosh HD ‎» Users ‎» gsun20 ‎» Downloads ‎» autopipeline-benchmarks-main ‎» commercial-pipelines ‎» adf02_0sun20@sundevils.asu.edu䖱ĀސmMacintosh HD ‎» Users ‎» gsun20 ‎» Downloads ‎» autopipeline-benchmarks-main ‎» commercial-pipelines ‎» a06_1ៀ乀ʪ怀교Ê怀癳g̀˪怀˪怀˪怀赸Ĉ怀趐Ĉ怀䀨䀨䀨䀨https://www.anaconda.com/excel䵨粰鰠Ƿ怀眰   䈠則媠怀샀˴怀祐䜠偎呚䵕₠呚䵕灯ﻷ鿿呚䵕呚䵕Ը赹ꤜ赹䵨䬀㬐ǡ怀䓐ǌ, ܰ䈠則媠怀읰˪怀䤐䜠偎呚䵕₠呚䵕潯ﻷ鿿呚䵕呚䵕Ը赹ꤜ赹䵨㧐㥠ǡ怀ムǌ) ܰ䈠則媠怀욠˪怀㟠䜠偎呚䵕₠呚䵕湯ﻷ鿿呚䵕呚䵕Ը赹ꤜ赹䵨睐᧻ǡ怀禠᧻   䈠則媠怀˪怀㺠᧽䜠偎呚䵕₠呚䵕浯ﻷ鿿呚䵕呚䵕Ը赹ꤜ赹 MapRibbon䵨鳐᧽ǡ怀繀᧻   䈠則媠怀˪怀錀᧽䜠偎呚䵕₠呚䵕歯ﻷ鿿呚䵕呚䵕Ը赹ꤜ赹䖱ĀސoMacintosh HD ‎» Users ‎» gsun20 ‎» Downloads ‎» autopipeline-benchmarks-main ‎» commercial-pipelines ‎» adf02_1䵨蔰᧻֠ǡ怀奀᧾   䈠則媠怀˪怀᧰䜠偎呚䵕₠呚䵕楯ﻷ鿿呚䵕呚䵕Ը赹ꤜ赹䵨觐᧻Ԑǡ怀᧰   䈠則媠怀˪怀盰᧼䜠偎呚䵕₠呚䵕桯ﻷ鿿呚䵕呚䵕Ը赹ꤜ赹⨏⥤侨⨯ᩍ䵨ၰហǡ怀᧻ǌ4 ܰ䈠則媠怀쟠˪怀퉀᧹䜠偎呚䵕₠呚䵕敯ﻷ鿿呚䵕呚䵕Ը赹ꤜ赹ᴀ荵老縛礲퍃ᴀ荵汕퍚ה蒰ꠖ碲퍃镴蜱깝疴퍃μ蒰老踅疧퍃鍨蒶쨤瘗퍃陬蜱盨퍃ᴀ荵老邚퍘ᴀ荵㝣퍚ᴀ荵礘퍑ᴀ荵老탞퍌ᴀ荵老㥬멁퍏䵨췰᧿だǡ怀졀᧿ 䈠則媠怀퐠˪怀찀᧿䜠偎呚䵕₠呚䵕捯ﻷ鿿呚䵕呚䵕Ը赹ꤜ赹file:///Users/gsun20/Desktop/projects/cactus/ChatGPTwithSQLscript/react/github-pipelines/length1_6/Target1_6_result.csv䵨䎰㏀ǡ怀㫰ǌ) ܰ䈠則媠怀웰˪怀䇀䜠偎呚䵕₠呚䵕慯ﻷ鿿呚䵕呚䵕Ը赹ꤜ赹䵨攐㜠ǡ怀廀ǌ( ܰ䈠則媠怀쒰˪怀挠䜠偎呚䵕₠呚䵕息ﻷ鿿呚䵕呚䵕Ը赹ꤜ赹䵨坐㡀ǡ怀什ǌ( ܰ䈠則媠怀쓐˪怀啠䜠偎呚䵕₠呚䵕彯ﻷ鿿呚䵕呚䵕Ը赹ꤜ赹䵨훀ꙀǠ怀텀ǌ( ܰ䈠則媠怀࿰˭怀퍠䜠偎呚䵕₠呚䵕幯ﻷ鿿呚䵕呚䵕Ը赹ꤜ赹䵨蘐㘀ǡ怀結ǌ( ܰ䈠則媠怀쏐˪怀萠䜠偎呚䵕₠呚䵕嵯ﻷ鿿呚䵕呚䵕Ը赹ꤜ赹䵨簰㳀ǡ怀獀ǌ( ܰ䈠則媠怀썐˪怀穀䜠偎呚䵕₠呚䵕屯ﻷ鿿呚䵕呚䵕Ը赹ꤜ赹䵨爠ⴀǡ怀棐ǌ( ܰ䈠則媠怀슐˪怀滀䜠偎呚䵕₠呚䵕孯ﻷ鿿呚䵕呚䵕Ը赹ꤜ赹䵨䂀㌰ǡ怀᧿4 䈠則媠怀틠˪怀᧿䜠偎呚䵕₠呚䵕婯ﻷ鿿呚䵕呚䵕Ը赹ꤜ赹샀䏀ȟ怀ā뀫幣ǶǶǶѴ蚦૝Ǫ怀䄀持浯愮灰敬渮瑡牵污慬杮慵敧d䵨踠㞰ǡ怀蜰ǌ( ܰ䈠則媠怀숀˪怀諀䜠偎呚䵕₠呚䵕塯ﻷ鿿呚䵕呚䵕Ը赹ꤜ赹䵨᧿㊠ǡ怀᧿ 䈠則媠怀티˪怀᧿䜠偎呚䵕₠呚䵕坯ﻷ鿿呚䵕呚䵕Ը赹ꤜ赹䵨冰᧾⿐ǡ怀᧻ǌ( ܰ䈠則媠怀솠˪怀緀᧴䜠偎呚䵕₠呚䵕噯ﻷ鿿呚䵕呚䵕Ը赹ꤜ赹䵨휠᧿ヰǡ怀킰᧿4  䈠則媠怀푀˪怀폀᧿䜠偎呚䵕₠呚䵕啯ﻷ鿿呚䵕呚䵕Ը赹ꤜ赹䵨᧿㈐ǡ怀᧿4  䈠則媠怀폐˪怀᧿䜠偎呚䵕₠呚䵕呯ﻷ鿿呚䵕呚䵕Ը赹ꤜ赹䵨᧿ㆀǡ怀᧿ 䈠則媠怀펀˪怀᧿䜠偎呚䵕₠呚䵕卯ﻷ鿿呚䵕呚䵕Ը赹ꤜ赹䵨죀⒐ǡ怀썀   䈠則媠怀˪怀애䜠偎呚䵕₠呚䵕副ﻷ鿿呚䵕呚䵕Ը赹ꤜ赹䵨⿀⟰ǡ怀Ẑǌ( ܰ䈠則媠怀연˪怀Ⱡ䜠偎呚䵕₠呚䵕兯ﻷ鿿呚䵕呚䵕Ը赹ꤜ赹䵨헠⢀ǡ怀큠   䈠則媠怀쵐˪怀튀䜠偎呚䵕₠呚䵕偯ﻷ鿿呚䵕呚䵕Ը赹ꤜ赹䵨❀⍰ǡ怀ᥐǌ( ܰ䈠則媠怀앰˪怀⏠䜠偎呚䵕₠呚䵕佯ﻷ鿿呚䵕呚䵕Ը赹ꤜ赹䵨⨰ǡ怀   䈠則媠怀촀˪怀䜠偎呚䵕₠呚䵕乯ﻷ鿿呚䵕呚䵕Ը赹ꤜ赹䵨ᕠǡ怀   䈠則媠怀첐˪怀䜠偎呚䵕₠呚䵕䵯ﻷ鿿呚䵕呚䵕Ը赹ꤜ赹䵨薐᧼㕰ǡ怀砰ǌ( ܰ䈠則媠怀삐˪怀ⷐ᧾䜠偎呚䵕₠呚䵕䱯ﻷ鿿呚䵕呚䵕Ը赹ꤜ赹䵨兠㓠ǡ怀ꪀ᧵ǌ( ܰ䈠則媠怀섐˪怀譀䜠偎呚䵕₠呚䵕䭯ﻷ鿿呚䵕呚䵕Ը赹ꤜ赹HID_DataTypesCurrency䖱ĀސoMacintosh HD ‎» Users ‎» gsun20 ‎» Downloads ‎» autopipeline-benchmarks-main ‎» commercial-pipelines ‎» adf02_0䖱ĀސoMacintosh HD ‎» Users ‎» gsun20 ‎» Downloads ‎» autopipeline-benchmarks-main ‎» commercial-pipelines ‎» adf02_1䵨遐Ǡ怀ǌ( ܰ䈠則媠怀ᠰ˭怀ퟠ䜠偎呚䵕₠呚䵕䝯ﻷ鿿呚䵕呚䵕Ը赹ꤜ赹䵨鵀Ǡ怀ǌ( ܰ䈠則媠怀ྐ˭怀䜠偎呚䵕₠呚䵕䙯ﻷ鿿呚䵕呚䵕Ը赹ꤜ赹䵨뮠Ǡ怀ǌ) ܰ䈠則媠怀᐀˭怀䜠偎呚䵕₠呚䵕䕯ﻷ鿿呚䵕呚䵕Ը赹ꤜ赹䵨꼰爐Ǯ怀鍰ǌ( ܰ䈠則媠怀鿐ˬ怀ꯐ䜠偎呚䵕₠呚䵕䑯ﻷ鿿呚䵕呚䵕Ը赹ꤜ赹䵨֠꺰Ǡ怀ﯠǌ@ ܰ䈠則媠怀ᝰ˭怀ɀ䜠偎呚䵕₠呚䵕䍯ﻷ鿿呚䵕呚䵕Ը赹ꤜ赹䵨ྐꨰǠ怀İǌ( ܰ䈠則媠怀ሰ˭怀ర䜠偎呚䵕₠呚䵕䉯ﻷ鿿呚䵕呚䵕Ը赹ꤜ赹䵨᪐艀Ǡ怀Ⴐǌ( ܰ䈠則媠怀ฐ˭怀ᜰ䜠偎呚䵕₠呚䵕䅯ﻷ鿿呚䵕呚䵕Ը赹ꤜ赹䵨⚐거Ǡ怀ᴐǌ( ܰ䈠則媠怀໐˭怀⌰䜠偎呚䵕₠呚䵕䁯ﻷ鿿呚䵕呚䵕Ը赹ꤜ赹᱀ҿ樘瑣牯耐䀎洫ǠĲ怀耀䀎背䀎Ę跬䀎ł꜔䀎ł䀎$䀎䀎ʖ﹨䀎븐뱸䀏벘䀏ィ䝀˭怀䝈˭怀䝈˭怀᱀ҿ樞瑣牯耐䀎洫ǠĲ怀耀䀎背䀎Ę跬䀎ł꜔䀎ł䀎$䀎䀎ʖ﹨䀎븐뱸䀏벘䀏ィ䝠˭怀䝨˭怀䝨˭怀᱀ҿ樤瑣牯耐䀎洫ǠĲ怀耀䀎背䀎Ę跬䀎ł꜔䀎ł䀎$䀎䀎ʖ﹨䀎븐뱸䀏벘䀏ィ䞀˭怀䞈˭怀䞈˭怀᱀ҿ横瑣牯耐䀎洫ǠĲ怀耀䀎背䀎Ę跬䀎ł꜔䀎ł䀎$䀎䀎ʖ﹨䀎븐뱸䀏벘䀏ィ䞠˭怀䞨˭怀䞨˭怀᱀ҿ樰瑣牯耐䀎洫ǠĲ怀耀䀎背䀎Ę跬䀎ł꜔䀎ł䀎$䀎䀎ʖ﹨䀎븐뱸䀏벘䀏ィ䟀˭怀䟈˭怀䟈˭怀᱀ҿ樶瑣牯耐䀎洫ǠĲ怀耀䀎背䀎Ę跬䀎ł꜔䀎ł䀎$䀎䀎ʖ﹨䀎븐뱸䀏벘䀏ィ䟠˭怀䟨˭怀䟨˭怀᱀ҿ樼瑣牯耐䀎洫ǠĲ怀耀䀎背䀎Ę跬䀎ł꜔䀎ł䀎$䀎䀎ʖ﹨䀎븐뱸䀏벘䀏ィ䠀˭怀䠈˭怀䠈˭怀᱀ҿ橂瑣牯耐䀎洫ǠĲ怀耀䀎背䀎Ę跬䀎ł꜔䀎ł䀎$䀎䀎ʖ﹨䀎븐뱸䀏벘䀏ィ䠠˭怀䠨˭怀䠨˭怀᱀ҿ橈瑣牯耐䀎洫ǠĲ怀耀䀎背䀎Ę跬䀎ł꜔䀎ł䀎$䀎䀎ʖ﹨䀎븐뱸䀏벘䀏ィ䡀˭怀䡈˭怀䡈˭怀᱀ҿ橎瑣牯耐䀎洫ǠĲ怀耀䀎背䀎Ę跬䀎ł꜔䀎ł䀎$䀎䀎ʖ﹨䀎븐뱸䀏벘䀏ィ䡠˭怀䡨˭怀䡨˭怀᱀ҿ橔瑣牯耐䀎洫ǠĲ怀耀䀎背䀎Ę跬䀎ł꜔䀎ł䀎$䀎䀎ʖ﹨䀎븐뱸䀏벘䀏ィ䢀˭怀䢈˭怀䢈˭怀᱀ҿ橚瑣牯耐䀎洫ǠĲ怀耀䀎背䀎Ę跬䀎ł꜔䀎ł䀎$䀎䀎ʖ﹨䀎븐뱸䀏벘䀏ィ䢠˭怀䢨˭怀䢨˭怀᱀ҿ橠瑣牯耐䀎洫ǠĲ怀耀䀎背䀎Ę跬䀎ł꜔䀎ł䀎$䀎䀎ʖ﹨䀎븐뱸䀏벘䀏ィ䣀˭怀䣈˭怀䣈˭怀᱀ҿ橦瑣牯耐䀎洫ǠĲ怀耀䀎背䀎Ę跬䀎ł꜔䀎ł䀎$䀎䀎ʖ﹨䀎븐뱸䀏벘䀏ィ䣠˭怀䣨˭怀䣨˭怀᱀ҿ橬瑣牯耐䀎洫ǠĲ怀耀䀎背䀎Ę跬䀎ł꜔䀎ł䀎$䀎䀎ʖ﹨䀎븐뱸䀏벘䀏ィ䤀˭怀䤐˭怀䤐˭怀᱀ҿ橴瑣牯耐䀎洫ǠĲ怀耀䀎背䀎Ę跬䀎ł꜔䀎ł䀎$䀎䀎ʖ﹨䀎븐뱸䀏벘䀏ィ䤠˭怀䤰˭怀䤰˭怀᱀ҿ橼瑣牯耐䀎洫ǠĲ怀耀䀎背䀎Ę跬䀎ł꜔䀎ł䀎$䀎䀎ʖ﹨䀎븐뱸䀏벘䀏ィ풠ʬ怀퓀ʬ怀퓀ʬ怀᱀ҿ檈瑣牯耐䀎洫ǠĲ怀耀䀎背䀎Ę跬䀎ł꜔䀎ł䀎$䀎䀎ʖ﹨䀎븐뱸䀏벘䀏ィ픠ʬ怀핀ʬ怀핀ʬ怀᱀ҿ檔瑣牯耐䀎洫ǠĲ怀耀䀎背䀎Ę跬䀎ł꜔䀎ł䀎$䀎䀎ʖ﹨䀎븐뱸䀏벘䀏ィ䤰˭怀䤸˭怀䤸˭怀᱀ҿ檚瑣牯耐䀎洫ǠĲ怀耀䀎背䀎Ę跬䀎ł꜔䀎ł䀎$䀎䀎ʖ﹨䀎븐뱸䀏벘䀏ィ䥀˭怀䥐˭怀䥐˭怀᱀ҿ檢瑣牯耐䀎洫ǠĲ怀耀䀎背䀎Ę跬䀎ł꜔䀎ł䀎$䀎䀎ʖ﹨䀎븐뱸䀏벘䀏ィ瞀͂怀瞸͂怀瞸͂怀᱀ҿ檴瑣牯耐䀎洫ǠĲ怀耀䀎背䀎Ę跬䀎ł꜔䀎ł䀎$䀎䀎ʖ﹨䀎븐뱸䀏벘䀏ィ홀ʬ怀홠ʬ怀홠ʬ怀᱀ҿ櫀瑣牯耐䀎洫ǠĲ怀耀䀎背䀎Ę跬䀎ł꜔䀎ł䀎$䀎䀎ʖ﹨䀎븐뱸䀏벘䀏ィ䥠˭怀䥨˭怀䥨˭怀᱀ҿ櫆瑣牯耐䀎洫ǠĲ怀耀䀎背䀎Ę跬䀎ł꜔䀎ł䀎$䀎䀎ʖ﹨䀎븐뱸䀏벘䀏ィ䥰˭怀䥸˭怀䥸˭怀᱀ҿ櫌瑣牯耐䀎洫ǠĲ怀耀䀎背䀎Ę跬䀎ł꜔䀎ł䀎$䀎䀎ʖ﹨䀎븐뱸䀏벘䀏ィ䦐˭怀䦘˭怀䦘˭怀᱀ҿ櫒瑣牯耐䀎洫ǠĲ怀耀䀎背䀎Ę跬䀎ł꜔䀎ł䀎$䀎䀎ʖ﹨䀎븐뱸䀏벘䀏ィ䦰˭怀䦸˭怀䦸˭怀᱀ҿ櫘瑣牯耐䀎洫ǠĲ怀耀䀎背䀎Ę跬䀎ł꜔䀎ł䀎$䀎䀎ʖ﹨䀎븐뱸䀏벘䀏ィ䧐˭怀䧘˭怀䧘˭怀᱀ҿ櫞瑣牯耐䀎洫ǠĲ怀耀䀎背䀎Ę跬䀎ł꜔䀎ł䀎$䀎䀎ʖ﹨䀎븐뱸䀏벘䀏ィ훀ʬ怀훠ʬ怀훠ʬ怀᱀ҿ櫪瑣牯耐䀎洫ǠĲ怀耀䀎背䀎Ę跬䀎ł꜔䀎ł䀎$䀎䀎ʖ﹨䀎븐뱸䀏벘䀏ィᒠϠ怀ᓈϠ怀ᓈϠ怀᱀ҿ櫸瑣牯耐䀎洫ǠĲ怀耀䀎背䀎Ę跬䀎ł꜔䀎ł䀎$䀎䀎ʖ﹨䀎븐뱸䀏벘䀏ィ힠ʬ怀ힸʬ怀ힸʬ怀㍸п㡐Уʹ怀연ʹ怀鬐怀㍸п蒐̮怀覐̮怀虀ǐ怀蛐̮怀困ϋ怀茐̮怀鰐̮怀䵨쉰ᬙ蔐ǥ怀颰ᬙǌ( ܰ䈠則媠怀䡰˭怀㔐ᬔ䜠偎呚䵕₠呚䵕⁯ﻷ鿿呚䵕呚䵕Ը赹ꤜ赹䖱ĀސoTwentieth Century™ is a trademark of The Monotype Corporation which may be registered in certain jurisdictions.ៀʬ怀ꛀÒ怀癳g̀䳐˭怀䳘˭怀䳘˭怀Ĉ怀Ĉ怀䀴䀴䀴䀴䖱ĀސmMacintosh HD ‎» Users ‎» gsun20 ‎» Downloads ‎» autopipeline-benchmarks-main ‎» commercial-pipelines ‎» a06_0kcountries/regions or cities, like &quot;London&quot;, to get current world statistics like population, area, and more邐÷怀ô怀鿠ô怀릀×怀剰Â怀숰Í怀쨀õ怀笐÷怀䁐Ë怀睐ñ怀ŀô怀᮰菃老ᐞ퍃蹼莾老쉣碲퍃轈莾老똧疧퍃ф莿老礙퍃਌莿⸀꼸퍃ݤ莿䵲섖퍃ࢸ莿餒퍃Ɉ莿老桫ﶹ퍃జ莿老驔뢉퍃鉜莾老畱뉪퍃莾老≝쭌퍃׬莿老쒭퍃鸞莾老㹉퍃Bing䵨ð渤Ƿ怀뫐暘   䈠則媠怀읐˩怀㗀繁䜠偎呚䵕₠呚䵕ᝯﻷ鿿呚䵕呚䵕Ը赹ꤜ赹䖱ĀސoMacintosh HD ‎» Users ‎» gsun20 ‎» Downloads ‎» autopipeline-benchmarks-main ‎» commercial-pipelines ‎» adf02_1xConvert cells with countries/regions or cities, like &quot;London&quot;, to get current world statistics like population and more.MapConvert to Geography맔Õག꒐ϧ름Õㆱ퐋볼Õ老ꡩ턓ϨⳤÝ셦疴퍃볤Õ䁖톉Ϩ숤Õ댗툙Ϩ쇼Õ럺Ϩ삀Õ老猛텊ϨߘǸ昊ﯜϨ먠Õ䰈㿌Ϩ뻔Õⴽ퇍Ϩ싘Õꍰ렏Ϩ⣸ﭺ鿿⩸ｬ鿿嶐딠丰￼⿘ﷱ鿿륈﹘鿿셨ﺌ鿿诀◽�퇰톀뾈ᮡ�뎘丰￼䖱ĀސmMacintosh HD ‎» Users ‎» gsun20 ‎» Downloads ‎» autopipeline-benchmarks-main ‎» commercial-pipelines ‎» a05_1⦌઀齳붒퍃ᱴ઀耂⨲﫣헎㧜荵ᕩ疴퍃⠌઀ﴆ헎ᴴ઀䝜헎⾜઀␕蝛퍃㧌蒱老荴낫퍃㤨蒱老谽耾퍇♤蒰䥫傮퍅䖱ĀސmMacintosh HD ‎» Users ‎» gsun20 ‎» Downloads ‎» autopipeline-benchmarks-main ‎» commercial-pipelines ‎» a04_0䖱ĀސmMacintosh HD ‎» Users ‎» gsun20 ‎» Downloads ‎» autopipeline-benchmarks-main ‎» commercial-pipelines ‎» a04_1䖱ĀސmMacintosh HD ‎» Users ‎» gsun20 ‎» Downloads ‎» autopipeline-benchmarks-main ‎» commercial-pipelines ‎» a06_0获老큕Ｐ퍃﮼获老汣볁퍃㒬莺老奏땳퍃﹬获밞轕퍃ࢠ莸긋옙퍃获老≟뛷퍃到莺鸯ﳘ퍃痐荵老霒瞉퍃获老뚋퍃交莸ꭐꢬ퍃䶸莸老땻퍃ﹴ获老锉댟퍃䖱ĀސmMacintosh HD ‎» Users ‎» gsun20 ‎» Downloads ‎» autopipeline-benchmarks-main ‎» commercial-pipelines ‎» a06_1욨Õ老荃탰ϨÕ쭉疴퍃쓤Õ옹쫔ϧ쓈Õ≰ധϧ왘Õ老푌Ϧ쏴Õ卌砚퍃썜Õ⤸﫛ϧ쏬Õ큢ូϧ예Õ老쌓ઍϧ䵨羐櫏ǵ怀矐櫋   䈠則媠怀꟰˰怀變櫃䜠偎呚䵕₠呚䵕࡯ﻷ鿿呚䵕呚䵕Ը赹ꤜ赹ꅴ蟌老᡿ﻰ퍞ꊘ蟌ᵜ戢퍞뗠蟐笳疴퍃ꖬ蟌ꜳ剪퍟ꍜ蟌老ѓ唹퍟荵老阙碹퍃ई蟍흩쟚퍇ꅀ蟌䬨㚞퍟ꎄ蟌老땆⫼퍟꓌蟌핒⬾퍟烘蟍쵳뎞퍞ꘀ蟌騟劏퍟뷬證퍩뙐證ᘑ⿳퍩땤證☜咄퍩댐證老뤖韦퍩봬證篖퍩뚸證㼜竷퍩譊눀귺퍩뛐證␾헟퍩뱐證蘢箿퍩䖱ĀސmMacintosh HD ‎» Users ‎» gsun20 ‎» Downloads ‎» autopipeline-benchmarks-main ‎» commercial-pipelines ‎» a05_1뮴蝿老睘崣퍛녔蛠⡇ᖣ퍚ﻐ蛨老夯ᔤ퍚竼荵ፅ碇퍃挤Æ阑ཙϧ넼蛠老딚ᕉ퍚뮨蝿啽㰊퍏녈蛠老瀪ᓻ퍚ᡰ螀茮ۭ퍚蛛老敏杮퍛灀蛡霑魤퍏潘蛡걡鮂퍏녔蛠ḷᖣ퍚뮴蝿老䵟崣퍛ﻐ蛨老扁ᔤ퍚竼荵老踧碇퍃佈蛤⯨퍓넼蛠老ꀸᕉ퍚뮨蝿老Ļ㰊퍏녈蛠老䡮ᓻ퍚灌蛡老㥸퍏ᡰ螀老㍊ۭ퍚蛛杮퍛ꄰჇﵵ먡퍗ᕔ菎넢遀퍃횈莼餾슑퍃ꉴ莺鄲퍃ꕼ莺ቔꌓ퍃ᭈ莼老Ⰳ퍃莺老㴗ꀊ퍃좤莺퍃뭼莺荫瞉퍃눠莺老쭔쇩퍃뀤莺쌜鞺퍃ꈠ莺⬨込퍃✼莿老꼼駯퍃ꙴ莺ज़衰퍃䵨ⷠ貃솰ǳ怀አ貃   䈠則媠怀ឰ˴怀⻐貇䜠偎呚䵕₠呚䵕ůﻷ鿿呚䵕呚䵕Ը赹ꤜ赹䖱ĀސmMacintosh HD ‎» Users ‎» gsun20 ‎» Downloads ‎» autopipeline-benchmarks-main ‎» commercial-pipelines ‎» a04_1䵨ꐠᑧ頰Ƿ怀㛠   䈠則媠怀뗐˭怀䣠䜠偎呚䵕₠呚䵕ｯﻶ鿿呚䵕呚䵕Ը赹ꤜ赹䵨솠繀鞠Ǵ怀訐繈   䈠則媠怀㱀˩怀洐測䜠偎呚䵕₠呚䵕﹯ﻶ鿿呚䵕呚䵕Ը赹ꤜ赹䵨Ꝑ銐Ƿ怀폐   䈠則媠怀㻰˯怀遰䜠偎呚䵕₠呚䵕ﵯﻶ鿿呚䵕呚䵕Ը赹ꤜ赹뮴蝿老줈崣퍛㴨荵腱瘣퍃녔蛠老섂ᖣ퍚ﻐ蛨老党ᔤ퍚竼荵老䠱碇퍃넼蛠꜏ᕉ퍚뮨蝿老른㰊퍏녈蛠ᓻ퍚ᡰ螀ۭ퍚蛛老섄杮퍛錀贆뽩癑퍲胼荵ꑊ瞡퍃的荵똜瘣퍃錘贆ꅿ퍱贐荵뜧瘵퍃鋰贆老쉆燚퍲掄荵吘眊퍃鋸贆老尳ோ퍳錐贆쬦蘜퍲錈贆老﬛౞퍳Ԁ筸⯯0䵨剀鹠Ƿ怀奐掝   䈠則媠怀㯀˯怀髐䜠偎呚䵕₠呚䵕說ﻶ鿿呚䵕呚䵕Ը赹ꤜ赹用ӎ老逸먡퍗灀蛡老褍魤퍏潘蛡老ﱻ鮂퍏녔蛠琴ᖣ퍚ﻐ蛨老䀱ᔤ퍚竼荵老䭃碇퍃佈蛤老需⯨퍓넼蛠老ْᕉ퍚뮨蝿老穭㰊퍏녈蛠老ꔏᓻ퍚灌蛡老젟퍏ᡰ螀⹋ۭ퍚蛛老䬨杮퍛뮴蝿Ԁ崣퍛䵨베掖肐Ƿ怀   䈠則媠怀벐ˢ怀ꖰ䜠偎呚䵕₠呚䵕ﻶ鿿呚䵕呚䵕Ը赹ꤜ赹䵨蒀Ƿ怀뾠   䈠則媠怀ˤ怀ሰ䜠偎呚䵕₠呚䵕ﻶ鿿呚䵕呚䵕Ը赹ꤜ赹Author䵨掑酰Ƿ怀   䈠則媠怀䡠ˡ怀䜠偎呚䵕₠呚䵕ﻶ鿿呚䵕呚䵕Ը赹ꤜ赹&#10;Failed-syntaxowledgeet5!B$1:AA$613,25,FALSE)ഀ筸⯯߻Author쓨荵老刜瞲퍃딐荵老됲眅퍃鍄荵老윭瞉퍃폼荵眚퍃ƈ菀癭퍃运贆孨᫠퍆胼荵老礑瞡퍃迀贆老虍꼒퍲的荵〩瘣퍃赘贆老栿疴퍃还贆老襕鰈퍆迨贆老ፋ这퍆貴贆老镙眊퍃述贆ᴌᏎ퍄迠贆老⍉퍅迈贆⼺ᗯ퍳怀怀怀婢怀怀怀怀怀怀怀怀怀怀怀횀怀힠怀툀怀胼荵퀿瞡퍃臰贆老퀃틢퍲的荵瘣퍃萤贆老။疴퍃贐荵瘵퍃螀贆老퐐羘퍲苀贆꘡瞉퍃蝠贆老蜄砚퍃蝰贆꽰퍅࿼趨ꦰ퍨碬趪老䄽疴퍃隆趧큦眊퍃稠趪老缉උ퍴﨨趧睦ᭊ퍜亐蒱䙘辋퍅ᑀ趨老響퍃㍸п㡐У胐ɣ怀뇐ɣ怀鹰l怀㍸п흐̵怀훐̵怀虀ǐ怀ퟐ̵怀ꑰϚ怀̵怀힐̵怀䵨쫀냰Ƿ怀좠   䈠則媠怀薠˷怀흰䜠偎呚䵕₠呚䵕ﻶ鿿呚䵕呚䵕Ը赹ꤜ赹㍸п螀М@㍸п!㍸п!㍸п!㍸п!㍸п䵨ﱀ繈⺰Ƿ怀＀暔   䈠則媠怀ݰ˫怀繈䜠偎呚䵕₠呚䵕ﻶ鿿呚䵕呚䵕Ը赹ꤜ赹䵨鶠殪꽀Ƿ怀연殪   䈠則媠怀㯠˩怀鮰殪䜠偎呚䵕₠呚䵕ﻶ鿿呚䵕呚䵕Ը赹ꤜ赹䵨靠渮Ƿ怀ᷰ暑   䈠則媠怀ⷠ˪怀镰渮䜠偎呚䵕₠呚䵕ﻶ鿿呚䵕呚䵕Ը赹ꤜ赹䵨᭐漎඀ǲ怀ᗐ漎   䈠則媠怀㬐˲怀៰漎䜠偎呚䵕₠呚䵕ﻶ鿿呚䵕呚䵕Ը赹ꤜ赹䵨薠Ƿ怀맠   䈠則媠怀涰ˤ怀᧡䜠偎呚䵕₠呚䵕ﻶ鿿呚䵕呚䵕Ը赹ꤜ赹䵨弐᧠黰Ƿ怀貐   䈠則媠怀ꆀ˭怀餠᧭䜠偎呚䵕₠呚䵕ﻶ鿿呚䵕呚䵕Ը赹ꤜ赹е 4　⨗еྠ䵨깐艀Ƿ怀鑐   䈠則媠怀淰ˤ怀㭀掗䜠偎呚䵕₠呚䵕ﻶ鿿呚䵕呚䵕Ը赹ꤜ赹䵨ꄰǷ怀児ᑠ   䈠則媠怀꬐˭怀䌠ᑠ䜠偎呚䵕₠呚䵕ﻶ鿿呚䵕呚䵕Ը赹ꤜ赹䵨掝ꀐǷ怀   䈠則媠怀㇐˯怀䑠殠䜠偎呚䵕₠呚䵕ﻶ鿿呚䵕呚䵕Ը赹ꤜ赹㍸пꈈТꮧ㊪놻㲰놻㲰⇐ĉ怀㍸п㍸п䵨嬠掙鈀Ƿ怀嶰掞   䈠則媠怀浀ˤ怀굠䜠偎呚䵕₠呚䵕ﻶ鿿呚䵕呚䵕Ը赹ꤜ赹25et5!B$1:AA$613䵨渨Ƿ怀泐   䈠則媠怀ޠ˪怀᪐暑䜠偎呚䵕₠呚䵕ﻶ鿿呚䵕呚䵕Ը赹ꤜ赹䵨墀᧠遐Ƿ怀䚠掙   䈠則媠怀춐˭怀筠掗䜠偎呚䵕₠呚䵕ﻶ鿿呚䵕呚䵕Ը赹ꤜ赹䵨㍰貉ǡ怀ⷰ貉   䈠則媠怀㒠˯怀【貉䜠偎呚䵕₠呚䵕ﻶ鿿呚䵕呚䵕Ը赹ꤜ赹䵨꟰Ƿ怀鏰   䈠則媠怀饰˷怀Ꮀ䜠偎呚䵕₠呚䵕ﻶ鿿呚䵕呚䵕Ը赹ꤜ赹䵨掗ꐀǷ怀휰   䈠則媠怀ˮ怀ꌠ䜠偎呚䵕₠呚䵕흯ﻶ鿿呚䵕呚䵕Ը赹ꤜ赹䵨㉠掗镠Ƿ怀껐   䈠則媠怀뿰˭怀㛐掗䜠偎呚䵕₠呚䵕홯ﻶ鿿呚䵕呚䵕Ը赹ꤜ赹䵨掕ꍰǷ怀쀰掛   䈠則媠怀ƀ˧怀䜠偎呚䵕₠呚䵕핯ﻶ鿿呚䵕呚䵕Ը赹ꤜ赹ៀ䵀ʽ怀䀀Ð怀癳g̀ﾐ˴怀ﾘ˴怀ﾘ˴怀⭸ĉ怀⮐ĉ怀䀴䀴䀴䀴䵨龀Ƿ怀䊰   䈠則媠怀᷐˯怀澠䜠偎呚䵕₠呚䵕퍯ﻶ鿿呚䵕呚䵕Ը赹ꤜ赹㍸п饐Є끘⩐끠ʷ怀㍸п鸸ψ净ࣗĀ麚ψ净ࣗĀ㍸п&#10;禐Ó怀㍸п䵨贠鞠Ƿ怀雠   䈠則媠怀裐˭怀迀掖䜠偎呚䵕₠呚䵕텯ﻶ鿿呚䵕呚䵕Ը赹ꤜ赹⼀筸⯯@䵨渮Ƿ怀袰   䈠則媠怀ॐ˪怀晐䜠偎呚䵕₠呚䵕콯ﻶ鿿呚䵕呚䵕Ը赹ꤜ赹䵨ी譀Ƿ怀᭠᧭   䈠則媠怀꽰˷怀ര䜠偎呚䵕₠呚䵕칯ﻶ鿿呚䵕呚䵕Ը赹ꤜ赹䵨፰ঐǷ怀ꝰ繆   䈠則媠怀扰˴怀ቀ渭䜠偎呚䵕₠呚䵕쵯ﻶ鿿呚䵕呚䵕Ը赹ꤜ赹᧬蛜老畚鲠퍈ᯠ蛜老⩞뵒퍏ᩤ蛜老摞僣퍎길蛴老茡෶퍐韠蒱晙ᔗ퍄Ӵ蛡¨퍘帴蛩ȏ儊퍎灌蛟老ࠃ਋퍍蒮먪씠퍉澔蛟老㌛㈿퍏嶼蛩걞퍉掴蛻⩠퍙掼蛻老ȶϡ퍞掬蛻뼴⬤퍙ᫌ螀權疴퍃錜荵老㵢癉퍃掄荵老艙眊퍃雴蜃老ὺ癎퍃揄蛻故̮퍞掤蛻老蝛퍜요蛢老％碲퍃牨蛣煀迴퍉ɤ蛿뼹疴퍃욤蛢⭙疧퍃䁬蝜㜗퍒ɘ蛿老昈粨퍄쁐蛢老ᐨ眊퍃큐蛢老嬒ﻋ퍃욌蛢老൫逝퍉䵨႐鑀Ƿ怀쉰殠   䈠則媠怀櫐ˤ怀愠渻䜠偎呚䵕₠呚䵕졯ﻶ鿿呚䵕呚䵕Ը赹ꤜ赹䵨婢掚覐Ƿ怀㵀   䈠則媠怀祀ˠ怀ᴀ䜠偎呚䵕₠呚䵕읯ﻶ鿿呚䵕呚䵕Ը赹ꤜ赹5䵨匀ꨰǷ怀竐   䈠則媠怀괠˷怀럠䜠偎呚䵕₠呚䵕앯ﻶ鿿呚䵕呚䵕Ը赹ꤜ赹㏈ꪨ丳￼묘ﷵ鿿ꩰ丳￼迀죈꨸丳￼邰좨轐䵨嚐殠耀Ƿ怀߰   䈠則媠怀퍰˥怀䜠偎呚䵕₠呚䵕썯ﻶ鿿呚䵕呚䵕Ը赹ꤜ赹䵨㷀替ǲ怀㡀替   䈠則媠怀䈀˵怀㩠替䜠偎呚䵕₠呚䵕쉯ﻶ鿿呚䵕呚䵕Ը赹ꤜ赹䵨霰菰Ƿ怀䡐   䈠則媠怀馀˦怀栠䜠偎呚䵕₠呚䵕셯ﻶ鿿呚䵕呚䵕Ը赹ꤜ赹㼀筸⯯䵨믐繁蒀Ƕ怀늀港   䈠則媠怀颐ˮ怀⢀䜠偎呚䵕₠呚䵕뽯ﻶ鿿呚䵕呚䵕Ը赹ꤜ赹ꈤ蜷老ਔꛑ퍘ꈴ蜷峂퍗ꅴ蜷썵柲퍛ꎜ蜷老㬤玤퍛ꎌ蜷老樂櫄퍘ꆄ蜷橫挈퍔ꈔ蜷老率暻퍘꣈蜷筗멋퍝Ꞩ蜷몁퍝麰蜷䞽퍘ꁄ蜷老㘟弢퍛꒰蜷됪 퍘䵨볐渡ᾀǶ怀띐渡   䈠則媠怀굠˴怀륰渡䜠偎呚䵕₠呚䵕뵯ﻶ鿿呚䵕呚䵕Ը赹ꤜ赹䵨꾰Ƿ怀䪰暑   䈠則媠怀˨怀䜠偎呚䵕₠呚䵕뱯ﻶ鿿呚䵕呚䵕Ը赹ꤜ赹䵨䌐掗霐Ƿ怀撰   䈠則媠怀배˭怀㟐掛䜠偎呚䵕₠呚䵕뭯ﻶ鿿呚䵕呚䵕Ը赹ꤜ赹䵨쇐驰Ƿ怀憀   䈠則媠怀帠˭怀ㇰ䜠偎呚䵕₠呚䵕멯ﻶ鿿呚䵕呚䵕Ը赹ꤜ赹䵨捠繅ꛐǴ怀詠渮   䈠則媠怀ᜐ˷怀港䜠偎呚䵕₠呚䵕륯ﻶ鿿呚䵕呚䵕Ը赹ꤜ赹ᴀ荵렏쭀͙怀쫄荵老ꑌ痁퍃㴨荵伴瘣퍃规荵老笄硳퍃딐荵老친眅퍃臠荵老䅺磨퍃竼荵ਨ碇퍃蒮老ꩡ퍇핤蛛老琺퍗ᴀ荵老㡷隌퍇蒮老笍膬퍉鏄荵老∖碞퍃䵨耀Ƿ怀潀渠   䈠則媠怀슰˨怀縐䜠偎呚䵕₠呚䵕띯ﻶ鿿呚䵕呚䵕Ը赹ꤜ赹礀͘怀ὀͫ怀㇀Ι怀䶀ͮ怀簀̠怀捀͙怀䵨娠温꒐Ǵ怀だ   䈠則媠怀Ⱀ˷怀ᶠ䜠偎呚䵕₠呚䵕땯ﻶ鿿呚䵕呚䵕Ը赹ꤜ赹䵨ｐ繀ꙀǴ怀仠港   䈠則媠怀඀˷怀쨐繇䜠偎呚䵕₠呚䵕둯ﻶ鿿呚䵕呚䵕Ը赹ꤜ赹蜣老㌎⋠퍍鿌蜀줒瓱퍙蛽硼쭥퍍蜣老鑳ℓ퍏橬荵老텟眅퍃⫬蛴ӥ퍍痐荵Ꙃ瞉퍃✘蛴婲虹퍃⠠蛴턞汫퍓῔蛜老걱賬퍑蜉ᕖᅎ퍛䵨㴰渮ǩ怀☰渮   䈠則媠怀줰˴怀㧐渮䜠偎呚䵕₠呚䵕뉯ﻶ鿿呚䵕呚䵕Ը赹ꤜ赹䵨൰槭㮠ǰ怀܀槭   䈠則媠怀ꈀ˩怀ਐ槭䜠偎呚䵕₠呚䵕녯ﻶ鿿呚䵕呚䵕Ը赹ꤜ赹䵨ዠ渮싐ǩ怀渭   䈠則媠怀준˴怀ྀ渮䜠偎呚䵕₠呚䵕끯ﻶ鿿呚䵕呚䵕Ը赹ꤜ赹䵨㻐繄藺Ƿ怀㥐繄   䈠則媠怀絀˥怀㭰繄䜠偎呚䵕₠呚䵕꽯ﻶ鿿呚䵕呚䵕Ը赹ꤜ赹䵨曻ذǵ怀曻   䈠則媠怀ᴰ˵怀曻䜠偎呚䵕₠呚䵕깯ﻶ鿿呚䵕呚䵕Ը赹ꤜ赹䵨髠渡ਠǶ怀渧   䈠則媠怀뭐˴怀譐渧䜠偎呚䵕₠呚䵕굯ﻶ鿿呚䵕呚䵕Ը赹ꤜ赹琠謰ᑬⳐ஡ἰ᧵䧐ጂ⁀掖䵨풠渧ᅰǶ怀켠渧   䈠則媠怀뎐˴怀텀渧䜠偎呚䵕₠呚䵕꭯ﻶ鿿呚䵕呚䵕Ը赹ꤜ赹䵨헐曹ːǵ怀큐曹   䈠則媠怀⛰˵怀퉰曹䜠偎呚䵕₠呚䵕ꩯﻶ鿿呚䵕呚䵕Ը赹ꤜ赹ᴀ荵老ꤠᧀ퍄枠萞老뀝뺑퍄曘萞老ṇ網퍅仐萙老Ｒ疴퍃猄萞堦읨퍃榌萞老繕໇퍅擌萞ፅ睈퍄梀萞老ꉌ㧈퍅猔萞老씏蝛퍃棐萞老꜐㦿퍅챰蛝老ᕱ퍚鶰蛝⠉葃퍜껄蛲捕疴퍃ஔ蛲汆ﲪ퍙뇰蛝㍐ᳪ퍘譔蛝╚퍄讜蛝老퍙즼蛝í퍞싈蛝老Ꙗើ퍛눌蛝衞擾퍇䵨۠繄﬐Ƿ怀퀰繁   䈠則媠怀堰˩怀΀繄䜠偎呚䵕₠呚䵕ꝯﻶ鿿呚䵕呚䵕Ը赹ꤜ赹䵨⃠繄ﮠǷ怀᭠繄   䈠則媠怀딐ˢ怀ᶀ繄䜠偎呚䵕₠呚䵕꙯ﻶ鿿呚䵕呚䵕Ը赹ꤜ赹䵨אּ渦‐Ƕ怀渦   䈠則媠怀뚠˴怀渦䜠偎呚䵕₠呚䵕ꕯﻶ鿿呚䵕呚䵕Ը赹ꤜ赹䵨儀渡ݐǶ怀䮀渡   䈠則媠怀븰˴怀䶠渡䜠偎呚䵕₠呚䵕ꑯﻶ鿿呚䵕呚䵕Ը赹ꤜ赹䵨渭䝐ǩ怀渭   䈠則媠怀˴怀渭䜠偎呚䵕₠呚䵕ꍯﻶ鿿呚䵕呚䵕Ը赹ꤜ赹䵨ቐ┠Ǧ怀됀   䈠則媠怀䚀˪怀侀温䜠偎呚䵕₠呚䵕ꉯﻶ鿿呚䵕呚䵕Ը赹ꤜ赹䵨䙐綿Ǵ怀ؠ綺   䈠則媠怀䫐˲怀䋰綿䜠偎呚䵕₠呚䵕ꅯﻶ鿿呚䵕呚䵕Ը赹ꤜ赹䵨펰港Ƿ怀趐渮   䈠則媠怀꿀˴怀グ䜠偎呚䵕₠呚䵕ꁯﻶ鿿呚䵕呚䵕Ը赹ꤜ赹䵨蠐繂Ƿ怀씰繀   䈠則媠怀폐˫怀ꏀ繀䜠偎呚䵕₠呚䵕齯ﻶ鿿呚䵕呚䵕Ը赹ꤜ赹䵨䁰놀ǩ怀龠   䈠則媠怀ݐˣ怀뻀䜠偎呚䵕₠呚䵕鹯ﻶ鿿呚䵕呚䵕Ը赹ꤜ赹䵨結港Ƿ怀㗠港   䈠則媠怀됰˴怀笠䜠偎呚䵕₠呚䵕鵯ﻶ鿿呚䵕呚䵕Ը赹ꤜ赹䵨懀渤ꔠǴ怀ᾐ   䈠則媠怀㣐˷怀꾰䜠偎呚䵕₠呚䵕鱯ﻶ鿿呚䵕呚䵕Ը赹ꤜ赹䵨錠渮Ƿ怀඀   䈠則媠怀냐˴怀ᩀ䜠偎呚䵕₠呚䵕魯ﻶ鿿呚䵕呚䵕Ը赹ꤜ赹䵨Ð港Ƿ怀ﭐ渮   䈠則媠怀뗀˭怀ﵰ渮䜠偎呚䵕₠呚䵕驯ﻶ鿿呚䵕呚䵕Ը赹ꤜ赹䵨⥐繈ꝠǴ怀港   䈠則媠怀ې˷怀ﭐ港䜠偎呚䵕₠呚䵕饯ﻶ鿿呚䵕呚䵕Ը赹ꤜ赹䵨㯠繃쀀Ƿ怀쮠繀   䈠則媠怀듀˴怀탠䜠偎呚䵕₠呚䵕顯ﻶ鿿呚䵕呚䵕Ը赹ꤜ赹䵨둀繁Ƿ怀繀   䈠則媠怀ꮠ˴怀릐䜠偎呚䵕₠呚䵕靯ﻶ鿿呚䵕呚䵕Ը赹ꤜ赹䵨몀Ƿ怀崐   䈠則媠怀˴怀᳀港䜠偎呚䵕₠呚䵕陯ﻶ鿿呚䵕呚䵕Ը赹ꤜ赹䵨港ꖰǴ怀ꉐ   䈠則媠怀ീ˷怀猀䜠偎呚䵕₠呚䵕镯ﻶ鿿呚䵕呚䵕Ը赹ꤜ赹䵨ඐǷ怀짐繁   䈠則媠怀˴怀怰繃䜠偎呚䵕₠呚䵕鑯ﻶ鿿呚䵕呚䵕Ը赹ꤜ赹䵨买渮ǩ怀䣰渮   䈠則媠怀˴怀䬐渮䜠偎呚䵕₠呚䵕鍯ﻶ鿿呚䵕呚䵕Ը赹ꤜ赹䵨扰渮ǩ怀峰渮   䈠則媠怀˴怀弐渮䜠偎呚䵕₠呚䵕鉯ﻶ鿿呚䵕呚䵕Ը赹ꤜ赹䵨Ɛ渮ǩ怀ﰐ渭   䈠則媠怀˴怀︰渭䜠偎呚䵕₠呚䵕酯ﻶ鿿呚䵕呚䵕Ը赹ꤜ赹䵨䌰港Ƿ怀攰港   䈠則媠怀뷠˭怀材港䜠偎呚䵕₠呚䵕遯ﻶ鿿呚䵕呚䵕Ը赹ꤜ赹ϭŚƚŝǁ;ƉŵWǇĂƌĐϮĚŶƵŽZǆĞKD'zůŐͺ/^΁ď͕ƐΖ΀Ϳdǀǌ͘Ƌϳ&amp;ϲŬϬϱĨ&gt;ϯs&lt;ͬhE,͊ΎхͲϴ䵨逰繀Ƿ怀紀繀   䈠則媠怀론˴怀ﲀ䜠偎呚䵕₠呚䵕蹯ﻶ鿿呚䵕呚䵕Ը赹ꤜ赹䵨⇰渮ǩ怀ᱰ渮   䈠則媠怀˴怀Ẑ渮䜠偎呚䵕₠呚䵕赯ﻶ鿿呚䵕呚䵕Ը赹ꤜ赹䵨䱀繄Ƿ怀䛀繄   䈠則媠怀˩怀䣠繄䜠偎呚䵕₠呚䵕豯ﻶ鿿呚䵕呚䵕Ը赹ꤜ赹䵨판渭だǩ怀牀渠   䈠則媠怀˴怀쾰渭䜠偎呚䵕₠呚䵕譯ﻶ鿿呚䵕呚䵕Ը赹ꤜ赹⦀ހ산耀㿰㿰䁆က삇䊐䀀䊐䀀㿰㿰䁆က삇䀀䀀䁆က삇⭀Δ怀鳐ᗀΔ怀￼䵨譀槣ᩰǰ怀藀槣   䈠則媠怀᱀˲怀蟠槣䜠偎呚䵕₠呚䵕襯ﻶ鿿呚䵕呚䵕Ը赹ꤜ赹䵨渭ǩ怀渭   䈠則媠怀퐐˴怀渭䜠偎呚䵕₠呚䵕衯ﻶ鿿呚䵕呚䵕Ը赹ꤜ赹䵨䗰渮Ƿ怀Ð   䈠則媠怀ᩀ˫怀얐䜠偎呚䵕₠呚䵕蝯ﻶ鿿呚䵕呚䵕Ը赹ꤜ赹䵨뜀繂幠Ǩ怀弐繂   䈠則媠怀ﷰ˶怀愰繂䜠偎呚䵕₠呚䵕虯ﻶ鿿呚䵕呚䵕Ը赹ꤜ赹䵨걐渡ưǶ怀ꊠ渡   䈠則媠怀鞰˴怀꣰渡䜠偎呚䵕₠呚䵕蕯ﻶ鿿呚䵕呚䵕Ը赹ꤜ赹䵨港쒀Ƕ怀Ǡ渭   䈠則媠怀䫰ˠ怀졐䜠偎呚䵕₠呚䵕葯ﻶ鿿呚䵕呚䵕Ը赹ꤜ赹䵨毰測변ǩ怀봰暘   䈠則媠怀ˠ怀㸀䜠偎呚䵕₠呚䵕药ﻶ鿿呚䵕呚䵕Ը赹ꤜ赹䵨嵰渠撐Ƕ怀埰渠   䈠則媠怀˴怀娐渠䜠偎呚䵕₠呚䵕良ﻶ鿿呚䵕呚䵕Ը赹ꤜ赹䵨技繁Ƿ怀럀繃   䈠則媠怀˨怀悐繁䜠偎呚䵕₠呚䵕腯ﻶ鿿呚䵕呚䵕Ը赹ꤜ赹䵨ꪀ繇꟰Ǵ怀혐繈   䈠則媠怀Ꭰ˷怀溠港䜠偎呚䵕₠呚䵕聯ﻶ鿿呚䵕呚䵕Ը赹ꤜ赹䵨Ự᧺䆰ǲ怀鞀᧵   䈠則媠怀돠ˤ怀ᴀ᧺䜠偎呚䵕₠呚䵕罯ﻶ鿿呚䵕呚䵕Ը赹ꤜ赹䵨䩠ᬞ嗰Ǫ怀ᬝ   䈠則媠怀㋰˵怀駰搀䜠偎呚䵕₠呚䵕繯ﻶ鿿呚䵕呚䵕Ը赹ꤜ赹Macintosh HD ‎» Users ‎» gsun20 ‎» Desktop ‎» projects ‎» autopipeline-benchmarks-main ‎» github-pipelines ‎» length9_41䵨䕠᧾劐ǲ怀⒐᧻   䈠則媠怀ꍠˤ怀袠᧾䜠偎呚䵕₠呚䵕籯ﻶ鿿呚䵕呚䵕Ը赹ꤜ赹9Microsoft.Office.Excel.UpdateConnectionOnlyQueryOnRefreshGeneric蘀筸⯯ ㍸п㡐У⃐ʹ怀ᥰʹ怀귐怀㍸п敐ʹ怀桐ʹ怀虀ǐ怀旐ʹ怀ઐϧ怀暐ʹ怀擐ʹ怀蠀筸⯯܌赆老挝䤠퍳赅ﴽਂ퍛ꐘ赅老㕣牲퍳Մ赆老矜퍳ಸ赆砷睚퍳赅꡺䍛퍳ꉬ赅㜲䤋퍳棄赧셭纜퍳Ȉ赆ⅷ睾퍳䵨靐槣ᠰǰ怀釐槣   䈠則媠怀Ⲡ˲怀鏰槣䜠偎呚䵕₠呚䵕畯ﻶ鿿呚䵕呚䵕Ը赹ꤜ赹ˈ婐ꁉ쀱殁ᘮ卼併䴸,,谠ᒘ谠ᒘ虠ʂ怀⡖Ʒ怀呚䵕₠呚䵕瑿ﻶ鿿呚䵕呚䵕乄䍏耀䵨鯀ᬘ涐Ǫ怀㏰ᬔ   䈠則媠怀㖰˵怀覠ᬞ䜠偎呚䵕₠呚䵕獯ﻶ鿿呚䵕呚䵕Ը赹ꤜ赹CS::ashar236@sundevils.asu.edu::b455b38d-9bbc-4afe-9b2d-22e62aa05ef2䵨"/>
        <Anchor>
          <Comment id="{AE306B4E-E2E8-F944-8BC3-90BBD950787A}"/>
        </Anchor>
        <Create/>
      </Event>
      <Event time="2024-01-12T21:39:49.29" id="{49D6B302-54C3-430F-BECD-5487B143C23C}">
        <Attribution userId="婐ꁉ쀱殁ᘮ卼併䴸,,0ᖊ0ᖊ쨀ʄ怀⡑ƶ怀呚䵕₠呚䵕みﻸ鿿呚䵕呚䵕乄䍏耀ڻ婹䣀y怀ā⽀y怀ڻ⼰ڽĀ㌀Δ怀ć怀팀ć怀￦￦￦￦￦￦￦￦￦￦￦￦￦￦￦￦㍸п㡐У蹐ˌ怀蹰ˌ怀嚐怀㍸пᆐͫ怀ᇐͫ怀虀ǐ怀ᔐͫ怀硐Ȃ怀ᕐͫ怀๐ͫ怀䡰ڻ婹一y怀ā⽀y怀䶈ڻ!⼰ڽĀ!퀀ć怀ڻ婹儐y怀ā⽀y怀ڻ⼰ڽĀ" userName="筵⯯#䵨ꫀᒔ▰ǳ怀뷀ᒖ   䈠則媠怀䦐˷怀ꍐᒘ䜠偎呚䵕₠呚䵕瑯ﻻ鿿呚䵕呚䵕Ը赹ꤜ赹Author࠼ÿꀀ匿 Ɠ怀췔糀Ȱ怀耀Bꌈ粐Ȱ怀耀籠Ȱ怀耀.ttfЀ跈Ą怀跠Ą怀Ԁ̠܀u怀E&lt;resolutionId provider=&quot;None&quot;&gt;&lt;localId name=&quot;Author&quot;/&gt;&lt;/resolutionId&gt;'Microsoft.Office.Excel.PowerQueryCoauthPython provided by Anaconda䖨⨁䆨⨗ᦨ⨙嶨⨙ꆨ⨙⨁⨙⨙᱀ҿ庬瑣牯耐㠔蜸ǠĲ怀耀㠔背㠔à譌㠔ɀ롌㠔ɉ⼠㠕*ば㠕よ㠕Ր嬈㠕㿌高㠖髸㠖汐ᡠ怀ᣀ怀ᣀ怀https://www.anaconda.com/excel᱀ҿ廤瑣牯耐㠔蜸ǠĲ怀耀㠔背㠔à譌㠔ɀ롌㠔ɉ⼠㠕*ば㠕よ㠕Ր嬈㠕㿌高㠖髸㠖汐토ˠ怀톨ˠ怀톨ˠ怀᱀ҿ廈瑣牯耐㠔蜸ǠĲ怀耀㠔背㠔à譌㠔ɀ롌㠔ɉ⼠㠕*ば㠕よ㠕Ր嬈㠕㿌高㠖髸㠖汐ૠ怀ୀ怀ୀ怀䵨첰握᧠Ǵ怀揠   䈠則媠怀ム˴怀揠䜠偎呚䵕₠呚䵕楯ﻻ鿿呚䵕呚䵕Ը赹ꤜ赹䵨蘠繁新Ƿ怀繀   䈠則媠怀셰˶怀苀繁䜠偎呚䵕₠呚䵕桯ﻻ鿿呚䵕呚䵕Ը赹ꤜ赹᱀ҿ廰瑣牯耐㠔蜸ǠĲ怀耀㠔背㠔à譌㠔ɀ롌㠔ɉ⼠㠕*ば㠕よ㠕Ր嬈㠕㿌高㠖髸㠖汐ˠ怀ˠ怀ˠ怀E/Users/gsun20/Desktop/projects/cactus/ChatGPTwithSQLscript/react/log/䵨嚰ᒘ⽀ǳ怀儰ᒘ   䈠則媠怀䮐˷怀卐ᒘ䜠偎呚䵕₠呚䵕敯ﻻ鿿呚䵕呚䵕Ը赹ꤜ赹䵨럐ᒘĠǳ怀떰ᒘ   䈠則媠怀弰˷怀군ᒖ䜠偎呚䵕₠呚䵕摯ﻻ鿿呚䵕呚䵕Ը赹ꤜ赹䵨绀஥䔐ǳ怀祀஥   䈠則媠怀텰˲怀筠஥䜠偎呚䵕₠呚䵕捯ﻻ鿿呚䵕呚䵕Ը赹ꤜ赹䵨쿀땰Ǵ怀㨠   䈠則媠怀⣠ˢ怀繀䜠偎呚䵕₠呚䵕扯ﻻ鿿呚䵕呚䵕Ը赹ꤜ赹᱀ҿ庂瑣牯耐㠔蜸ǠĲ怀耀㠔背㠔à譌㠔ɀ롌㠔ɉ⼠㠕*ば㠕よ㠕Ր嬈㠕㿌高㠖髸㠖汐푰ˠ怀풀ˠ怀풀ˠ怀鼀筵⯯&amp;䵨㯰஥䱠ǳ怀蕐஥   䈠則媠怀˲怀蝰஥䜠偎呚䵕₠呚䵕彯ﻻ鿿呚䵕呚䵕Ը赹ꤜ赹ꄀ筵⯯ꈀ筵⯯,菃鉩뺴퍃莸⌵뺑퍃莸숨碲퍃菊老㘨뗳퍃절莶Q鄕퍃菊ꁰ矹퍃菊老眳瘗퍃⋀莹ꍰ疧퍃菊ꨕ퍃菊老㸑諉퍃祈莻刦퍃並莸㈎뗭퍃婢莸쏪퍃틌莶Ṥ쏖퍃謋갑魴퍨場謋紹痴퍃袰謋老፜碇퍃堌謋振‼퍚作荵갳痮퍃ꔀ筵⯯߻蒳쁚遐퍇蒳〳썒퍈蒳摣疴퍃蒳ㅤ䪕퍇ࣰ蒳純䛼퍉倀蔁쌽퍈᱀ҿ庐瑣牯耐㠔蜸ǠĲ怀耀㠔背㠔à譌㠔ɀ롌㠔ɉ⼠㠕*ば㠕よ㠕Ր嬈㠕㿌高㠖髸㠖汐ហ怀᠀怀᠀怀଀蛠㥇퍑앐蛮老虈퍝䲔蛣老앋ꝷ퍑ᦀ蛠老♄哦퍑蛟老逮퍘竼荵靡碇퍃아蛮ᵍ￪퍔ਸ蛠畴幉퍖수蛮老읦ᔺ퍝蛛老㵘杮퍛蛟썈퍘謋老稢魴퍨場謋老殺痴퍃堌謋‼퍚作荵老䠳痮퍃ៀ˚怀ǠÁ怀癳g̀ˠ怀ˠ怀ˠ怀⫀͵怀⫀͵怀ꪐĄ怀텎岑쏾䀧쏉ൂ䀦꬀筵⯯-가筵⯯ w怀w怀䟸s怀䟠s怀s怀s怀惨s怀惐s怀閈p怀镰p怀ﳨ{怀ﳐ{怀䇘怀䇀怀剸y怀剠y怀ೈy怀ರy怀뱸G怀뱠G怀W怀W怀䵨ꍠ஥䛀ǳ怀鷠஥   䈠則媠怀첰˲怀ꀀ஥䜠偎呚䵕₠呚䵕兯ﻻ鿿呚䵕呚䵕Ը赹ꤜ赹᱀ҿ弢瑣牯耐㠔蜸ǠĲ怀耀㠔背㠔à譌㠔ɀ롌㠔ɉ⼠㠕*ば㠕よ㠕Ր嬈㠕㿌高㠖髸㠖汐ˠ怀ˠ怀ˠ怀뜜證老朜箑퍩㏬證老＿ﺑ퍃ⷀ證老ᄇ笅퍜ⶸ證老픽츶퍩뉌證老簷⯶퍩뛘證䔜퍩댈證老ࡠꔁ퍩⺀證륾⹝퍩Ⲕ證老☔⼝퍩挸譓精⯝퍩ⷈ證ⳑ퍩⴬證⳰퍩䵨攠祠ǣ怀啐ǌ( ܰ䈠則媠怀愰˯怀懀䜠偎呚䵕₠呚䵕乯ﻻ鿿呚䵕呚䵕Ը赹ꤜ赹᱀ҿ廪瑣牯耐㠔蜸ǠĲ怀耀㠔背㠔à譌㠔ɀ롌㠔ɉ⼠㠕*ば㠕よ㠕Ր嬈㠕㿌高㠖髸㠖汐ˠ怀ˠ怀ˠ怀᱀ҿ延瑣牯耐㠔蜸ǠĲ怀耀㠔背㠔à譌㠔ɀ롌㠔ɉ⼠㠕*ば㠕よ㠕Ր嬈㠕㿌高㠖髸㠖汐ˠ怀ˠ怀ˠ怀䳀헸丳￼했丳￼핐丳￼픘丳￼䳸퓠丳￼ꯐ⎨ﷳ鿿헀丳￼鿸ﭸ鿿ꢰꭠ꫐㙘酩ĀƠʰ怀ᴀ荵老뜗鷣퍈忸蒰老숸疴퍃襜蒰퍉쪸荵老괎盨퍃瑈蒰老뱃❸퍉Ӭ蒰⸱퍇掄荵⨤眊퍃猐蒰艊鞌퍃ᘠ蒰老鑣ꕬ퍃ذ蒰老輶矝퍃襜蒰老똖퍉䵨ᔀ஥䒀ǳ怀␀ண   䈠則媠怀연˲怀鎰஥䜠偎呚䵕₠呚䵕䝯ﻻ鿿呚䵕呚䵕Ը赹ꤜ赹᱀ҿ异瑣牯耐㠔蜸ǠĲ怀耀㠔背㠔à譌㠔ɀ롌㠔ɉ⼠㠕*ば㠕よ㠕Ր嬈㠕㿌高㠖髸㠖汐ˠ怀ˠ怀ˠ怀᱀ҿ廼瑣牯耐㠔蜸ǠĲ怀耀㠔背㠔à譌㠔ɀ롌㠔ɉ⼠㠕*ば㠕よ㠕Ր嬈㠕㿌高㠖髸㠖汐ˠ怀ˠ怀ˠ怀᱀ҿ弈瑣牯耐㠔蜸ǠĲ怀耀㠔背㠔à譌㠔ɀ롌㠔ɉ⼠㠕*ば㠕よ㠕Ր嬈㠕㿌高㠖髸㠖汐ˠ怀ˠ怀ˠ怀᱀ҿ弎瑣牯耐㠔蜸ǠĲ怀耀㠔背㠔à譌㠔ɀ롌㠔ɉ⼠㠕*ば㠕よ㠕Ր嬈㠕㿌高㠖髸㠖汐ˠ怀ˠ怀ˠ怀場謋老渍痴퍃謋졊魴퍨作荵痮퍃᱀ҿ弔瑣牯耐㠔蜸ǠĲ怀耀㠔背㠔à譌㠔ɀ롌㠔ɉ⼠㠕*ば㠕よ㠕Ր嬈㠕㿌高㠖髸㠖汐ˠ怀ˠ怀ˠ怀᱀ҿ弚瑣牯耐㠔蜸ǠĲ怀耀㠔背㠔à譌㠔ɀ롌㠔ɉ⼠㠕*ば㠕よ㠕Ր嬈㠕㿌高㠖髸㠖汐ˠ怀ˠ怀ˠ怀TableStyleMedium3PivotStyleLight251868_01_01_明治_明_Meiji_M|1912_07_30_大正_大_Taisho_T|1926_12_25_昭和_昭_Showa_S|1989_01_08_平成_平_Heisei_H|2019_05_01_令和_令_Reiwa_RTableStyleMedium4TableStyleMedium5TableStyleMedium6TableStyleMedium7TableStyleMedium8TableStyleMedium9TableStyleMedium10TableStyleMedium11TableStyleMedium12TableStyleMedium13TableStyleMedium14TableStyleMedium15TableStyleMedium16TableStyleMedium17TableStyleMedium18TableStyleMedium19TableStyleMedium20TableStyleMedium21TableStyleMedium22TableStyleMedium23TableStyleMedium24TableStyleMedium25TableStyleMedium26TableStyleMedium27TableStyleMedium28TableStyleDark1TableStyleDark2TableStyleDark3TableStyleDark4TableStyleDark5TableStyleDark6TableStyleDark7TableStyleDark8TableStyleDark9࠼ï耀&#10; ∠ȷ怀耀≌ԃȅ̄܅Ѕ⇰ȷ怀耀똀ͧ怀 耀.ttfЀ怀怀怀怀ԁƐ뉐u怀TableStyleDark10TableStyleDark11PivotStyleLight1PivotStyleLight2PivotStyleLight3PivotStyleLight4PivotStyleLight5PivotStyleLight6PivotStyleLight7PivotStyleLight8PivotStyleLight9PivotStyleLight10PivotStyleLight11PivotStyleLight12PivotStyleLight13PivotStyleLight14PivotStyleLight15PivotStyleLight16PivotStyleLight17PivotStyleLight18PivotStyleLight19PivotStyleLight20PivotStyleLight21PivotStyleLight22PivotStyleLight23PivotStyleLight24࠼ʯ耀 ȣ怀耀♦ᬬЂ؇Ѕȅ̃썀ͧ怀 耀쉀ͧ怀 耀.ttfЀ傀怀傀怀僠怀僠怀̀ɘ뱠u怀࠼ʯ耀 締ȷ怀耀♦⚘Ђ؇Ѕअ̃엀ͧ怀 耀ꄠñ怀 (耀.ttfЀ兀怀兀怀冠怀冠怀̂ɘ뱠u怀࠼ʯ耀 䁠ȴ怀耀♦㐴ЂȅЅअ̃䀰ȴ怀耀繀ȷ怀耀.ttfЀ刀怀刀怀剠怀剠怀ԂƐ뱠u怀࠼ʯ耀 䅐ȴ怀耀♦莰ЂȃЅȅ̃䃰ȴ怀耀䃀ȴ怀耀.ttfЀ勀怀勀怀匠怀匠怀ԀĬ뱠u怀࠼ʯ耀 䇠ȴ怀耀♦㞼ЂȃЅअ̃䆰ȴ怀耀였ͧ怀 耀.ttfЀ厀怀厀怀叠怀叠怀ԂĬ뱠u怀࠼ʯ耀 䌀ȴ怀耀♦☘ЂȅЅȅ̃䊠ȴ怀耀䉰ȴ怀耀.ttfЀ呀怀呀怀咠怀咠怀ԀƐ뱠u怀࠼ʯ耀 䏰ȴ怀耀♦⻼ЂȇЅȅ̃䎐ȴ怀耀䍠ȴ怀耀.ttfЀ唀怀唀怀啠怀啠怀Ԁɘ뱠u怀࠼ʯ耀 䒀ȴ怀耀♦㎰ЂȇЅअ̃䑐ȴ怀耀욀ͧ怀 耀.ttfЀ嗀怀嗀怀嘠怀嘠怀Ԃɘ뱠u怀࠼ 䔐ȴ怀耀ཛྷូЄЅȇȍGigiЀGigiЀ.ttfЀ嚀怀嚀怀址怀址怀ԀƐ볐u怀࠼ 䖠ȴ怀耀ꣵ直ଂȈĂऄ̂䗐ȴ怀耀졀ͧ怀 耀.ttfЀ垠怀垠怀塠怀塠怀Ԃʼ뵀u怀࠼ 䛰ȴ怀耀ꣵଂȈĂȄ̂䚐ȴ怀耀䙠ȴ怀耀.ttfЀ壀怀壀怀夠怀夠怀Ԁʼ뵀u怀࠼ 䟠ȴ怀耀ꣵ홈ଂ؅ĂȄ̂䞀ȴ怀耀䝐ȴ怀耀.ttfЀ妀怀妀怀姠怀姠怀̀Ɛ뵀u怀࠼ 䣐ȴ怀耀ꣵଂȅĂऄ̂䡰ȴ怀耀䡀ȴ怀耀.ttfЀ婀怀婀怀媠怀媠怀ԂƐ뵀u怀࠼ 䧀ȴ怀耀ꣵଂȅĂȄ̂䥠ȴ怀耀䤰ȴ怀耀.ttfЀ嬀怀嬀怀孠怀孠怀ԀƐ뵀u怀࠼ʇ耀䩐ȴ怀耀ԟଂȈĂऄ̂䪀ȴ怀耀즀ͧ怀 耀.ttfЀ寀怀寀怀岀怀岀怀Ԃʼ붰u怀࠼ʇ耀䮠ȴ怀耀ԟ࣠ଂȈĂȄ̂䭀ȴ怀耀䬐ȴ怀耀.ttfЀ峠怀峠怀嵀怀嵀怀Ԁʼ붰u怀࠼ʇ耀䰰ȴ怀耀ԟიଂ؈Ăऄ̂䰀ȴ怀耀지ͧ怀 耀.ttfЀ嶠怀嶠怀帀怀帀怀̂ʼ붰u怀࠼ʇ耀䳰ȴ怀耀ԟ೘ଂ؈ĂȄ̂䳀ȴ怀耀쭀ͧ怀 耀.ttfЀ幠怀幠怀廀怀廀怀̀ʼ붰u怀࠼ʇ耀䶀ȴ怀耀ԟ೔ଂ؊Ăऄ̂䵐ȴ怀耀쳀ͧ怀 耀.ttfЀ张怀张怀往怀往怀̠̂붰u怀࠼ʇ耀亠ȴ怀耀ԟைଂ؊ĂȄ̂乀ȴ怀耀丐ȴ怀耀.ttfЀ忠怀忠怀恀怀恀怀̠̀붰u怀࠼ʇ耀估ȴ怀耀ԟૌଂ؆Ăऄ̂伀ȴ怀耀쵀ͧ怀 耀.ttfЀ悠怀悠怀愀怀愀怀̂Ǵ붰u怀࠼ʇ耀俰ȴ怀耀ԟ௜ଂ؃Ăऄ̂俀ȴ怀耀폀ͧ怀 耀.ttfЀ慠怀慠怀懀怀懀怀̂Ĭ붰u怀࠼ʇ耀儐ȴ怀耀ԟҔଂ؃ĂȄ̂傰ȴ怀耀傀ȴ怀耀.ttfЀ戠怀戠怀技怀技怀̀Ĭ붰u怀࠼ʇ耀刀ȴ怀耀ԟրଂ؆ĂȄ̂冠ȴ怀耀兰ȴ怀耀.ttfЀ拠怀拠怀捀怀捀怀̀Ǵ붰u怀࠼ʇ耀剠ȴ怀耀ԟଂЋĂȄ̂타ͧ怀 耀튀ͧ怀 耀.ttfЀ掠怀掠怀搀怀搀怀̀΄붰u怀࠼ʇ耀厀ȴ怀耀ԟଂȆĂऄ̂匠ȴ怀耀勰ȴ怀耀.ttfЀ摠怀摠怀擀怀擀怀ԂǴ붰u怀࠼ʇ耀吐ȴ怀耀ԟ梅ଂȃĂऄ̂叠ȴ怀耀훀ͧ怀 耀.ttfЀ攠怀攠怀斀怀斀怀ԂĬ붰u怀࠼ʇ耀唰ȴ怀耀ԟ◈ଂȃĂȄ̂哐ȴ怀耀咠ȴ怀耀.ttfЀ无怀无怀晀怀晀怀ԀĬ붰u怀࠼ʇ耀嘠ȴ怀耀ԟଡ଼ଂȆĂȄ̂嗀ȴ怀耀喐ȴ怀耀.ttfЀ暠怀暠怀最怀最怀ԀǴ붰u怀࠼ʇ耀嚀ȴ怀耀ԟଂȋĂȄ̂힀ͧ怀 耀ͧ怀 耀.ttfЀ杠怀杠怀柀怀柀怀Ԁ΄붰u怀࠼ࠇ耀B䀀!因ȴ怀耀ʏ呂ଂȅȄȄ̂GishaԀGishaԀ.ttfЀ栠怀栠怀棠怀棠怀ԀƐ븠u怀࠼ࠇ耀B䀀!址ȴ怀耀ʏﻼଂȈȄȄ̂GishaԀGisha Bold਀.ttfЀ楀怀楀怀榠怀榠怀Ԁʼ븠u怀࠼ 堀ȴ怀耀蔞ࠐ̂ࠈ؂āāͧ怀 耀ͧ怀 耀.ttfЀ樀怀樀怀櫀怀櫀怀ȀƐ뺐u怀࠼ʇ 夠ȴ怀耀尩ଂȅȂȂЂ墐ȴ怀耀壀ȴ怀耀.ttfЀ欠怀欠怀毠怀毠怀ԀƐ뼀u怀࠼ʇ 娐ȴ怀耀尩쌜ଂȇȂȂЂ妰ȴ怀耀妀ȴ怀耀.ttfЀ汀怀汀怀沠怀沠怀Ԁʼ뼀u怀࠼ʇ 媠ȴ怀耀尩ଂȆȂंЂ婰ȴ怀耀ͧ怀 耀.ttfЀ洀怀洀怀浠怀浠怀Ԃʼ뼀u怀࠼ʇ 寀ȴ怀耀尩௼ଂȅȂंЂ孠ȴ怀耀嬰ȴ怀耀.ttfЀ淀怀淀怀渠怀渠怀ԂƐ뼀u怀࠼ 峠ȴ怀耀蔞⥼Ȃȅ̅ȅ̃屐ȴ怀耀岀ȴ怀耀.ttfЀ満怀満怀潀怀潀怀؀Ɛ뽰u怀࠼ 巐ȴ怀耀蔞⺰ȂȆ̆ȅ̃嵰ȴ怀耀嵀ȴ怀耀.ttfЀ澠怀澠怀瀀怀瀀怀؀ʼ뽰u怀࠼ 廀ȴ怀耀蔞␘Ȃȅ̅अ̃幠ȴ怀耀帰ȴ怀耀.ttfЀ灠怀灠怀烀怀烀怀ԂƐ뽰u怀࠼ 彐ȴ怀耀A叨Goudy Type਀张ȴ怀耀.ttfЀ焠怀焠怀燠怀燠怀Ԁʼ嗠w怀࠼ 怐ȴ怀耀AㅌGoudy Type਀忠ȴ怀耀.ttfЀ牀怀牀怀犠怀犠怀Ԃʼ嗠w怀࠼ 愀ȴ怀耀A㊠Goudy Type਀惐ȴ怀耀.ttfЀ猀怀猀怀獠怀獠怀ԂƐ嗠w怀࠼ 憐ȴ怀耀A䮄Goudy Type਀Goudy Type਀.ttfЀ珀怀珀怀琠怀琠怀ԀƐ嗠w怀࠼ˇꀀƟ 戠ȴ怀耀਽롸ଂȅȄȄ̂Grandviewऀ懰ȴ怀耀.ttfЀ璀怀璀怀畀怀畀怀ԀƐ啰w怀࠼ˇꀀƟ 拠ȴ怀耀਽띰ଂȅȄȄ̂Grandviewऀ抰ȴ怀耀.ttfЀ疠怀疠怀瘀怀瘀怀Ԁʼ啰w怀࠼ˇꀀƟ 掠ȴ怀耀਽퐰ଂȅȄȄ̂Grandviewऀ捰ȴ怀耀.ttfЀ癠怀癠怀盀怀盀怀ԂƐ啰w怀࠼ˇꀀƟ 摠ȴ怀耀਽퓀ଂȅȄȄ̂Grandviewऀ搰ȴ怀耀.ttfЀ眠怀眠怀瞀怀瞀怀Ԃʼ啰w怀࠼ˇꀀƟ 晀ȴ怀耀뻄ଂȅȄȄ̂无ȴ怀耀斀ȴ怀耀.ttfЀ矠怀矠怀碠怀碠怀ԀƐ傠w怀࠼ˇꀀƟ 曐ȴ怀耀ଂȅȄȄ̂暠ȴ怀耀ͧ怀 耀.ttfЀ礀怀礀怀祠怀祠怀ԂƐ傠w怀࠼耀杠ȴ怀耀ʏ邸ଂЅȂȂЂGrotesqueऀGrotesqueऀ.ttfЀ秀怀秀怀窀怀窀怀ԀƐ淰w怀࠼耀柰ȴ怀耀ʏ邔ଂЈȂȂЂGrotesqueऀ柀ȴ怀耀.ttfЀ章怀章怀筀怀筀怀Ԁʼ淰w怀࠼耀椐ȴ怀耀ʏ郄ଂЃȂȂЂ械ȴ怀耀梀ȴ怀耀.ttfЀ箠怀箠怀簀怀簀怀ԀĬ淰w怀࠼ʯ뀀系槗0䀈楰ȴ怀耀਽ᓸÌଂĀāāGulimԀGulimԀ.ttfЀ糀怀籠怀繀怀締怀ԀƐ䴠w怀࠼ʯ뀀系槗0䀈槐ȴ怀耀਽᡼ÌଂआĀāāGulimCheࠀGulimCheࠀ.ttfЀÀ怀`怀ƀ怀Ġ怀ԀƐ䫰w怀࠼ʯ뀀系槗0䀈樰ȴ怀耀਽ᔤÌଂĀāāDotumԀDotumԀ.ttfЀɀ怀Ǡ怀π怀͠怀ԀƐ䯐w怀࠼ʯ뀀系槗0䀈檐ȴ怀耀਽᡼ÌଂआĀāāDotumCheࠀDotumCheࠀ.ttfЀҀ怀Р怀؀怀֠怀ԀƐ凰w怀࠼ࠃ! 氐ȴ怀耀옠Ȃ̆ЅȅЃ殰ȴ怀耀歐ȴ怀耀.ttfЀ٠怀٠怀ܠ怀ܠ怀ԀƐ涀w怀࠼ࠃ! 沠ȴ怀耀욘Ȃ̈ԇȅЃ汰ȴ怀耀呂ͧ怀 耀.ttfЀހ怀ހ怀ߠ怀ߠ怀Ԁʼ涀w怀࠼ 洰ȴ怀耀蔞４ЄԅȂȇHarrington਀Harrington਀.ttfЀࡀ怀ࡀ怀ऀ怀ऀ怀ԀƐ澰w怀࠼˿⫇涐ȴ怀耀㌳ଂउHGGothicEऀHGGothicEऀ.ttfЀী怀ॠ怀ୀ怀ૠ怀ԀƐ曰w怀࠼˿⫇淰ȴ怀耀㌳ଂ HGPGothicE਀HGPGothicE਀.ttfЀఀ怀஠怀඀怀ഠ怀ԀƐ滐w怀࠼˿⫇湐ȴ怀耀㌳ଂ HGSGothicE਀HGSGothicE਀.ttfЀเ怀෠怀࿀怀འ怀ԀƐ桀w怀࠼˿⫇溰ȴ怀耀㌳렬¢ȂईHGMinchoEऀHGMinchoEऀ.ttfЀႀ怀ဠ怀ሀ怀ᆠ怀ԀƐ歐w怀࠼茀⊰ȷ怀耀ཛྷḄଂІȂȂЂDokChampaऀDokChampaऀ.ttfЀ怀怀怀怀ԀƐ닀u怀࠼ï耀&#10; ⌐ȷ怀耀԰ԃȅ̄ԄЇ럀ͧ怀 耀诠ñ怀#(耀.ttfЀ怀怀怀怀ԀƐ댰u怀࠼ï耀&#10; ⍰ȷ怀耀⽰ԃȅ̄ԇЇ례ͧ怀 耀賐ñ怀&quot;(耀.ttfЀ怀怀怀怀ԁƐ댰u怀࠼⁧耀耀A ⏐ȷ怀耀᧛ꀈଂ̈Ѓ̃ЂDubaiԀDubai Bold਀.ttfЀ怀怀怀怀Ԁʼ뎠u怀࠼⃯耀⁊쀀A ①ȷ怀耀B餠ଂЈāāЁDubaiԀ␰ȷ怀耀.ttfЀ怀怀怀怀Ԃʼ뎠u怀࠼⃯耀⁊쀀A ═ȷ怀耀B韨ଂЅāāЁDubaiԀ┠ȷ怀耀.ttfЀ怀怀怀怀ԂƐ뎠u怀࠼⁧耀耀A ♰ȷ怀耀᧛ꆈଂ̃Ѓ̃Ђ☐ȷ怀耀◠ȷ怀耀.ttfЀ怀怀怀怀ԀĬ뎠u怀࠼⃯耀⁊쀀A ❠ȷ怀耀B鲼ଂЄāāЁ✀ȷ怀耀⛐ȷ怀耀.ttfЀ怀怀怀怀ԂĬ뎠u怀࠼⁧耀耀A ⢀ȷ怀耀᧛ꂰଂ̆Ѓ̃Ђ⠠ȷ怀耀⟰ȷ怀耀.ttfЀ怀怀怀怀ԀǴ뎠u怀࠼⃯耀⁊쀀A ⥰ȷ怀耀B骜ଂІāāЁ⤐ȷ怀耀⣠ȷ怀耀.ttfЀ怀怀怀怀ԂǴ뎠u怀࠼⁧耀耀A ⨰ȷ怀耀᧛ꢰଂ̅Ѓ̃ЂDubaiԀ⨀ȷ怀&#10;耀.ttfЀ怀怀怀怀ԀƐ뎠u怀࠼偟ꀀAȀࠀЄ⫀ȷ怀耀イ地Ebrima؀Ebrima؀.ttfЀ怀怀怀怀ԀƐ됐u怀࠼偟ꀀAȀࠀЄ⭐ȷ怀耀イ萔Ebrima؀⬠ȷ怀耀.ttfЀ怀怀怀怀Ԁʼ됐u怀࠼ʇ Ɵ Ⲡȷ怀耀B빰Ⱀȷ怀耀ⱀȷ怀耀.ttfЀ怀怀怀怀ԀƐ뒀u怀࠼ʇ Ɵ ⶐȷ怀耀Bⴰȷ怀耀ⴀȷ怀耀.ttfЀ怀怀怀怀ԂƐ뒀u怀࠼ ⺀ȷ怀耀Ԟ우ଂ܉ԃȄЂ⸠ȷ怀&#10;耀ⷰȷ怀&#10;耀.ttfЀ怀怀怀怀Ԁʼ듰u怀࠼ ⽰ȷ怀耀Ԟ큨ଂԈԃȄЈ⼐ȷ怀&#10;耀⻠ȷ怀&#10;耀.ttfЀ怀怀怀怀Ԁɘ듰u怀࠼ だȷ怀耀ԞଂȄԃȄЈ　ȷ怀耀⿐ȷ怀耀.ttfЀ怀怀怀怀ԀĬ듰u怀࠼ ㅐȷ怀耀Ԟ퍤ଂȆԃȄЈヰȷ怀耀ダȷ怀耀.ttfЀ怀怀怀怀ԀƐ듰u怀࠼o耀J ㆰȷ怀耀ᜊ專ଂ̅ĄȂЁEuphemiaࠀEuphemiaࠀ.ttfЀ怀怀怀怀ԀƐ땠u怀࠼/ꀀKက㌰ȷ怀耀宀&#10;܈Ȁ̀㋐ȷ怀耀㉰ȷ怀耀.ttfЀ怀怀怀怀Ԁʼ뗐u怀࠼/ꀀKက㐠ȷ怀耀ᗸ܅Ȁ̀㏀ȷ怀耀㎐ȷ怀耀.ttfЀ怀怀怀怀ԀĬ뗐u怀࠼/ꀀKက㒰ȷ怀耀攨&#10;܅Ȁ̀㒀ȷ怀耀멀ͧ怀 耀.ttfЀ怀怀怀怀ԀƐ뗐u怀࠼/耀J倀Ɠ 㘀ȷ怀耀A喘㕰ȷ怀耀㖠ȷ怀耀.ttfЀ怀怀怀怀Ԁʼ뙀u怀࠼ 㜠ȷ怀耀蔞齘؄ԅȆȂЊ㚐ȷ怀&#10;耀㛀ȷ怀&#10;耀.ttfЀ怀怀怒怀怒怀ԀƐ뚰u怀࠼ 㞀ȷ怀耀鰩؃ȉԄ܂̂ForteԀForteԀ.ttfЀ燎怀燎怀婢怀婢怀ԀƐ뜠u怀࠼ÿꀀ恋倀 㢠ȷ怀耀B㞴㠐ȷ怀&#10;耀㡀ȷ怀&#10;耀.ttfЀ﫠怀﫠怀ﮠ怀ﮠ怀ԀƐ랐u怀࠼ʇ 㨠ȷ怀耀Ԟⶨଂ̅ĂȂЂ㧀ȷ怀耀㥠ȷ怀耀.ttfЀﰀ怀ﰀ怀ﳀ怀ﳀ怀ԀƐ렀u怀࠼ʇ 㪰ȷ怀耀Ԟ満ଂ̅ĂंЂ㪀ȷ怀耀밀ͧ怀 耀.ttfЀﴠ怀ﴠ怀ﶀ怀ﶀ怀ԂƐ렀u怀࠼ʇ 㰀ȷ怀耀ʏࠠଂ̇ĂȂЂ㭰ȷ怀耀㮠ȷ怀耀.ttfЀ﷠怀﷠怀ﺠ怀ﺠ怀Ԁɘ롰u怀࠼ʇ 㱠ȷ怀耀ʏ魼ଂ؇ЃȂЂ봀ͧ怀 耀변ͧ怀 耀.ttfЀ＀怀＀怀｠怀｠怀̀ɘ롰u怀࠼ʇ 㳰ȷ怀耀ʏଂ̇ĂंЂ㳀ȷ怀耀부ͧ怀 耀.ttfЀ糀怀糀怀締怀締怀Ԃɘ롰u怀࠼ʇ 㸐ȷ怀耀ʏ難ଂ̉ĂȂЂ㶰ȷ怀耀㶀ȷ怀耀.ttfЀ籠怀籠怀纠怀纠怀Ԁ΄롰u怀࠼ʇ 㺠ȷ怀耀ʏ☴ଂ̉ĂंЂ㹰ȷ怀耀뷀ͧ怀 耀.ttfЀ素怀素怀罠怀罠怀Ԃ΄롰u怀࠼ʇ 㿀ȷ怀耀ԟଂ̆ĂȂЂ㽠ȷ怀耀㼰ȷ怀耀.TTFЀ簀怀簀怀缀怀缀怀ԀƐ롰u怀࠼ʇ ︐ȣ怀耀ʏଂ؆ЃȂЂ뻀ͧ怀 耀빀ͧ怀 耀.ttfЀ怀怀＀怀＀怀̀Ɛ롰u怀࠼ʇ ﳰȣ怀耀ʏ⥴ଂ̆ĂंЂȣ怀耀뽀ͧ怀 耀.TTFЀ怀怀怀怀ԂƐ롰u怀࠼ࠃ! ȣ怀耀ʏᓈข̅ĆāāFrankRuehl਀FrankRuehl਀.ttfЀ怀怀怀怀ԀƐ룠u怀࠼ ȣ怀耀ཛྷ﷜ࠃȄȃଅЄȣ怀耀Ｐȣ怀耀.ttfЀ怀怀ﺠ怀ﺠ怀ԀƐ륐u怀࠼ 칀ȣ怀耀蔞㈸ЂȆ̆ȊЃ쳰ȣ怀耀ȣ怀耀.ttfЀ怀怀﹀怀﹀怀ԀĬ맀u怀࠼˯⁋倀 ȣ怀耀煀ЄԆစȂȍGabriolaࠀGabriolaࠀ.ttfЀ怀怀怀怀ԀƐ먰u怀࠼耀Ȁ　ȣ怀耀ⅈ錐ଂȅȄȄ̂Gadugi؀Gadugi؀.ttfЀ怀怀怀怀ԀƐ몠u怀࠼耀Ȁ　ȣ怀耀ⅈ곌ଂȈȄȄ̂Gadugi؀ȣ怀耀.ttfЀ怀怀怀怀Ԁʼ몠u怀࠼ʇȣ怀耀棵쾸ȂЄ̃ā̈GaramondࠀGaramondࠀ.ttfЀ怀怀䀀怀䀀怀ԀƐ묐u怀࠼ʇ좠ȣ怀耀棵큼ȂЈ̃ć̈Garamondࠀȣ怀&#10;耀.ttfЀ䁠怀䁠怀䃀怀䃀怀Ԁʼ묐u怀࠼ʇ ȣ怀耀棵ꠘȂЄ̃ā̈Garamondࠀ삐ȣ怀耀.ttfЀ䄠怀䄠怀䆀怀䆀怀ԂƐ묐u怀࠼ ȣ怀耀궬ଂȅȄȄ̂Gautami܀Gautami܀.TTFЀ䇠怀䇠怀䊠怀䊠怀ԀƐ뮀u怀࠼ 툰ȣ怀耀⡴ଂȈȄȄ̂Gautami܀퐐ȣ怀耀.ttfЀ䌀怀䌀怀䍠怀䍠怀Ԁʼ뮀u怀࠼ʇ ȣ怀耀霊㲐ЂȅЅȅ̃Georgia܀Georgia܀.ttfЀ䏀怀䏀怀䒀怀䒀怀ԀƐ믰u怀࠼ʇ ﯐ȣ怀耀霊ഐЂȈЅȅ̂Georgia܀ȣ怀耀.ttfЀ䓠怀䓠怀䕀怀䕀怀Ԁʼ믰u怀࠼ʇ ȣ怀耀霊ჀЂȅЅअ̃Georgia܀ﹰȣ怀耀.ttfЀ䖠怀䖠怀䘀怀䘀怀ԂƐ믰u怀࠼ʇ 퓐ȣ怀耀霊ᷘЂȈЅअ̂Georgia܀ȣ怀耀.ttfЀ䙠怀䙠怀䛀怀䛀怀Ԃʼ믰u怀࠼ʯ耀 푰ȣ怀耀♦㡐ЂȊЅȅ̂ȣ怀耀ȣ怀耀.ttfЀ䜠怀䜠怀䟠怀䟠怀Ԁ΄뱠u怀࠼ʯ耀 練ȣ怀耀♦㍀ЂȊЅअ̂퍐ȣ怀耀쀀ͧ怀 耀.ttfЀ䡀怀䡀怀䢠怀䢠怀Ԃ΄뱠u怀࠼ʯ耀 ﵐȣ怀耀♦⩨ЂȈЅȅ̂ȣ怀耀ȣ怀耀.ttfЀ䤀怀䤀怀䥠怀䥠怀Ԁʼ뱠u怀࠼ʯ耀 ȣ怀耀♦㣴ЂȈЅअ̂ȣ怀耀ﭰȣ怀耀.ttfЀ䧀怀䧀怀䨠怀䨠怀Ԃʼ뱠u怀࠼ʯ耀 지ȣ怀耀♦⊄Ђ؊Ѕȅ̂ȣ怀耀ȣ怀耀.ttfЀ䪀怀䪀怀䫠怀䫠怀̀΄뱠u怀࠼ʯ耀 ȣ怀耀♦㔈Ђ؊Ѕअ̂횀ȣ怀耀쁀ͧ怀 耀.ttfЀ䭀怀䭀怀䮠怀䮠怀̂΄뱠u怀࠼ʯ耀 ȣ怀耀♦⛸Ђ؈Ѕȅ̂ȣ怀耀ȣ怀耀.ttfЀ䰀怀䰀怀䱠怀䱠怀̀ʼ뱠u怀࠼ʯ耀 ȣ怀耀♦㉨Ђ؈Ѕअ̂ȣ怀耀솀ͧ怀 耀.ttfЀ䳀怀䳀怀䴠怀䴠怀̂ʼ뱠u怀࠼ʯ耀 ȣ怀耀♦䐄Ђ؅Ѕअ̃ȣ怀耀ȣ怀耀.ttfЀ䶀怀䶀怀䷠怀䷠怀̂Ɛ뱠u怀࠼ʯ耀 擄ȣ怀耀♦┸Ђ؃Ѕȅ̃픰ȣ怀耀ȣ怀耀.ttfЀ乀怀乀怀亠怀亠怀̀Ĭ뱠u怀࠼ʯ耀 ﾐȣ怀耀♦㰈Ђ؃Ѕअ̃텰ȣ怀耀싀ͧ怀 耀.ttfЀ伀怀伀怀你怀你怀̂Ĭ뱠u怀࠼ʯ耀 ﰰȣ怀耀♦㪸Ђ؅Ѕȅ̃ȣ怀耀ȣ怀耀.ttfЀ俀怀俀怀倠怀倠怀̀Ɛ뱠u怀࠼ʇ 낐ȷ怀耀尩䓈ЂІԅअЃ끠ȷ怀耀ꮀͧ怀 耀.ttfЀ⠠怀⠠怀⢀怀⢀怀ԂƐꦐu怀࠼ʇ 넠ȷ怀耀㗂亰ЂІԅȅЃCentury܀Century܀.ttfЀ⣠怀⣠怀⦠怀⦠怀ԀƐꨀu怀࠼ 뉀ȷ怀耀琄Ђ̅Ԉȅ̃뇠ȷ怀耀곀ͧ怀 耀.ttfЀ⨀怀⨀怀⫀怀⫀怀ԀƐꩰu怀࠼ 닐ȷ怀耀ཛྷ斸ȄЄဃȇȆChiller܀Chiller܀.ttfЀ⬠怀⬠怀⯠怀⯠怀؀Ɛꫠu怀࠼¯ꀀJ倀 댰ȷ怀耀ꑜ̅Ȁ̀껀ͧ怀 耀김ͧ怀 耀.ttfЀⱀ怀ⱀ怀ⴀ怀ⴀ怀ԀƐꭐu怀࠼ 뎐ȷ怀耀蔞슠ȄԈȆ̂̂Colonna MT਀Colonna MT਀.ttfЀⵠ怀ⵠ怀⸠怀⸠怀ԀƐꯀu怀࠼ڇ 뒰ȷ怀耀♦Δ༃ȇ̃ȂЂ될ȷ怀&#10;耀두ȷ怀&#10;耀.ttfЀ⺀怀⺀怀⽀怀⽀怀ԀƐ갰u怀࠼ڇ 떠ȷ怀耀♦시༃ȉ̃ȂЂ땀ȷ怀&#10;耀딐ȷ怀耀.ttfЀ⾠怀⾠怀　怀　怀Ԁʼ갰u怀࠼ڇ 뚐ȷ怀耀♦숀༃ȇ̃؂Ђ똰ȷ怀&#10;耀똀ȷ怀耀.ttfЀだ怀だ怀ダ怀ダ怀ԂƐ갰u怀࠼ڇ 뜠ȷ怀耀♦럼༃ȉ̃؂Ђ뛰ȷ怀&#10;耀뀀ͧ怀 耀.ttfЀㄠ怀ㄠ怀ㆀ怀ㆀ怀Ԃʼ갰u怀࠼/耀⁛က례ȷ怀耀̅ȀЀ럠ȷ怀耀랰ȷ怀耀.ttfЀ㇠怀㇠怀㊠怀㊠怀Ԁ΄겠u怀࠼/耀⁛က뤰ȷ怀耀ក̅ऀЀ룐ȷ怀耀뢠ȷ怀耀.ttfЀ㌀怀㌀怀㍠怀㍠怀Ԃ΄겠u怀࠼/耀⁛က맰ȷ怀耀̈ȀЀCongenialऀ맀ȷ怀耀.ttfЀ㏀怀㏀怀㐠怀㐠怀Ԁʼ겠u怀࠼/耀⁛က몰ȷ怀耀ៜ̈ऀЀCongenialऀ몀ȷ怀耀.ttfЀ㒀怀㒀怀㓠怀㓠怀Ԃʼ겠u怀࠼/耀⁛က뮠ȷ怀耀႔̅ऀЀCongenialऀ뭰ȷ怀耀.ttfЀ㕀怀㕀怀㖠怀㖠怀ԂƐ겠u怀࠼/耀⁛က변ȷ怀耀磻̅ȀЀ뱠ȷ怀耀배ȷ怀耀.ttfЀ㘀怀㘀怀㙠怀㙠怀ԀĬ겠u怀࠼/耀⁛က붰ȷ怀耀ຸ̅ऀЀ뵐ȷ怀耀봠ȷ怀耀.ttfЀ㛀怀㛀怀㜠怀㜠怀ԂĬ겠u怀࠼/耀⁛က빰ȷ怀耀琉̅ȀЀCongenialऀ빀ȷ怀耀.ttfЀ㞀怀㞀怀㟠怀㟠怀ԀƐ겠u怀࠼/耀⁛က뾐ȷ怀耀⠔̅ȀЀ뼰ȷ怀耀뼀ȷ怀耀.ttfЀ㡀怀㡀怀㢠怀㢠怀Ԁɘ겠u怀࠼/耀⁛က纠Ȩ怀耀ᙰ̅ऀЀ绐Ȩ怀耀냀ͧ怀 耀.ttfЀ㤀怀㤀怀㥠怀㥠怀Ԃɘ겠u怀࠼/耀⁛ကȷ怀耀ᰰ̅ȀЀ盰Ȩ怀耀瞰Ȩ怀耀.ttfЀ㧀怀㧀怀㨠怀㨠怀Ԁú겠u怀࠼/耀⁛ကȷ怀耀݈̅ऀЀ`ȷ怀耀넀ͧ怀 耀.ttfЀ㪀怀㪀怀㫠怀㫠怀Ԃú겠u怀࠼ۿﳿƟ怀Ġȷ怀耀ଂआȂ̄ЂConsolasࠀConsolasࠀ.ttfЀ㭀怀㭀怀㰀怀㰀怀ԀƐ괐u怀࠼ۿﳿƟ怀ưȷ怀耀ଂइȂ̄ЂConsolasࠀƀȷ怀&#10;耀.ttfЀ㱠怀㱠怀㳀怀㳀怀Ԁʼ괐u怀࠼ۿﳿƟ怀ɰȷ怀耀ԸଂआȂ਄ЂConsolasࠀɀȷ怀耀.ttfЀ㴠怀㴠怀㶀怀㶀怀ԂƐ괐u怀࠼ۿﳿƟ怀̰ȷ怀耀᱘ଂइȂ਄ЂConsolasࠀ̀ȷ怀耀.ttfЀ㷠怀㷠怀㹀怀㹀怀Ԃʼ괐u怀࠼˯ꀀ⁋䀀Ɵ ϰȷ怀耀먄̂Ȇ̅̆̃Constantia਀Constantia਀.TTFЀ㺠怀㺠怀㽠怀㽠怀ԀƐ궀u怀࠼˯ꀀ⁋䀀Ɵ Ҁȷ怀耀잨̂ȇ̆̆̃Constantia਀ѐȷ怀耀.TTFЀ쀀怀쀀怀쁠怀쁠怀Ԁʼ궀u怀࠼˯ꀀ⁋䀀Ɵ Հȷ怀耀뮨̂Ȇ̅ਆ̃Constantia਀Ԑȷ怀耀.TTFЀ샀怀샀怀선怀선怀ԂƐ궀u怀࠼˯ꀀ⁋䀀Ɵ ؀ȷ怀耀환̂ȇ̆ਆ̃Constantia਀אȷ怀耀.TTFЀ솀怀솀怀쇠怀쇠怀Ԃʼ궀u怀" userProvider="筶⯯߻䵨읐嬀ǡ怀   䈠則媠怀ᨐ˪怀쏐䜠偎呚䵕₠呚䵕⑯ﻸ鿿呚䵕呚䵕Ը赹ꤜ赹ڻ婹䱀y怀ā⽀y怀ڻ⼰ڽĀ%㷀Δ怀ą怀ą怀䵨촰港啠Ƿ怀잰港   䈠則媠怀⾠˶怀짐港䜠偎呚䵕₠呚䵕≯ﻸ鿿呚䵕呚䵕Ը赹ꤜ赹繀͘怀繀͘怀繀͘怀繀͘怀繀͘怀繀͘怀繀͘怀繀͘怀繀͘怀繀͘怀繀͘怀繀͘怀繀͘怀繀͘怀繀͘怀繀͘怀繀͘怀繀͘怀繀͘怀繀͘怀繀͘怀繀͘怀繀͘怀繀͘怀繀͘怀繀͘怀繀͘怀繀͘怀繀͘怀繀͘怀繀͘怀繀͘怀ˈ婐ꁉ쀱殁ᘮ卼併䴸,,0ꀀᖁ0ꀀᖁ쉠ʄ怀⡟ƶ怀呚䵕₠呚䵕ⁿﻸ鿿呚䵕呚䵕乄䍏耀䵨⼰繁捰Ƿ怀ⴐ繁   䈠則媠怀쎠˶怀掠繁䜠偎呚䵕₠呚䵕Ὧﻸ鿿呚䵕呚䵕Ը赹ꤜ赹https://odc.officeapps.live.com/odc/servicemanager/serviceremove࠼⛿ꄕ퀀Ɵ 챠Ȳ怀耀ཛྷ찀Ȳ怀&#10;耀쯐Ȳ怀耀.ttfЀ怀怀怀怀Ԁʼu怀࠼⛿ꄕ퀀Ɵ 쭰Ȳ怀耀ཛྷ쭀Ȳ怀&#10;耀燀ͦ怀 耀.ttfЀ怀怀怀怀Ԃʼu怀https://odc.officeapps.live.com/odc/servicemanager/userconnectedhttps://odc.officeapps.live.com/odc/servicemanager/servicedetailsˈ婐ꁉ쀱殁ᘮ卼併䴸((((ŀ怀ᖅŀ怀ᖅʄ怀͙챠ƶ怀呚䵕₠呚䵕᥿ﻸ鿿呚䵕呚䵕乄䍏耀https://excelcs.officeapps.live.com/xlauto/excelautomation.svc/resthttps://excelcs.officeapps.live.com/exlps/excelprint.svc/exlPrint࠼⛿ꄕ퀀Ɵ 칀Ȳ怀耀ཛྷ樂췠Ȳ怀&#10;耀춰Ȳ怀&#10;耀.ttfЀ怀怀怀怀ԀƐu怀࠼/耀&#10;콠Ȳ怀耀ˑ渰Ȃ̈ԅȅЂ컐Ȳ怀耀케Ȳ怀耀.ttfЀ怀怀怀怀Ԁʼu怀࠼/耀&#10;큐Ȳ怀耀ˑꄐȂ̈ԅअЂ쿰Ȳ怀耀쿀Ȳ怀耀.ttfЀ怀怀怀怀Ԃʼu怀࠼/耀&#10;텰Ȳ怀耀ˑ搜Ȃ̅ԅȅЂ턐Ȳ怀耀탠Ȳ怀耀.ttfЀ怀怀怀怀ԀƐu怀࠼/耀&#10;퉠Ȳ怀耀ˑ裄Ȃ̅ԅअЂ툀Ȳ怀耀퇐Ȳ怀耀.ttfЀ횀怀횀怀챠怀챠怀ԂƐu怀࠼/耀&#10;퍐Ȳ怀耀ˑ斤Ȃ̃ԅȅЂ티Ȳ怀耀틀Ȳ怀耀.ttfЀ怀怀怀怀ԀĬu怀࠼/耀&#10;폠Ȳ怀耀ˑ迄Ȃ̃ԅअЂ펰Ȳ怀耀纀ͦ怀 耀.ttfЀ怀怀怀怀ԂĬu怀࠼/耀&#10;풠Ȳ怀耀B퉬ĂЀĄā́Sagona؀푰Ȳ怀&#10;耀.ttfЀ怀怀怀怀ԂƐu怀࠼/耀&#10;할Ȳ怀耀B鲼ĂЀĄā́Sagona؀픰Ȳ怀耀.ttfЀ怀怀怀怀ԀƐu怀࠼聇ꀀ횰Ȳ怀耀ޮ獨Ȃ̅ЅȅЃ혠Ȳ怀&#10;耀홐Ȳ怀&#10;耀.ttfЀ怀怀怀怀ԀƐu怀࠼ 힠Ȳ怀耀ޮ쓰ЃȆ؄ࠇЉ흀Ȳ怀耀휐Ȳ怀耀.ttfЀ怀怀怀怀Ԁʼu怀࠼耀Ȳ怀耀਽蘔Seaford܀Ȳ怀耀.ttfЀ怀怀怀怀ԀƐu怀࠼耀Ȳ怀耀਽蘘Seaford܀Ȳ怀耀.ttfЀ怀怀怀怀Ԁʼu怀࠼耀Ȳ怀耀਽阌Seaford܀Ȳ怀耀.ttfЀ怀怀怀怀ԂƐu怀࠼耀Ȳ怀耀਽鍌Seaford܀Ȳ怀耀.ttfЀ怀怀怀怀Ԃʼu怀࠼耀Ȳ怀耀਽飰쨠Ȳ怀耀쪰Ȳ怀耀.ttfЀ쟠怀쟠怀怀怀ԀƐu怀࠼耀Ȳ怀耀਽錸Ȳ怀耀Ȳ怀耀.ttfЀ怀怀怀怀ԂƐu怀࠼ʏ 䜁Ȳ怀耀਽瑌Ȳ怀耀Ȳ怀耀.ttfЀ怀怀怀怀ԀƐu怀࠼ʏ 䜁Ȳ怀耀਽燴Ȳ怀耀Ȳ怀耀.ttfЀ豈怀豈怀怒怀怒怀Ԁʼu怀࠼ʏȲ怀耀ޮﲠଃЅ̀Ȳ怀耀Ȳ怀耀.ttfЀ燎怀燎怀婢怀婢怀ԀƐu怀࠼ʏȲ怀耀ޮଃЈ̀Ȳ怀耀Ȳ怀耀.ttfЀ﫠怀﫠怀נּ怀נּ怀Ԁʼu怀࠼⻿쀀 ǿ Ȳ怀耀ꮅ튐ଂȅȄȄ̂Segoe UIࠀSegoe UIࠀ.ttfЀﮠ怀ﮠ怀ﱠ怀ﱠ怀ԀƐu怀࠼⻿쀀 ǿ Ȳ怀耀ꮅꈐଂȈȄȄ̂Segoe UIࠀȲ怀&#10;耀.ttfЀﳀ怀ﳀ怀ﴠ怀ﴠ怀Ԁʼu怀䵨悐繆ௐǷ怀皠繆   䈠則媠怀䌀˴怀磀繆䜠偎呚䵕₠呚䵕ｯﻷ鿿呚䵕呚䵕Ը赹ꤜ赹䵨딀港ꢀǴ怀㱠繇   䈠則媠怀⿰˷怀끐港䜠偎呚䵕₠呚䵕﹯ﻷ鿿呚䵕呚䵕Ը赹ꤜ赹᱀ҿ幸瑣牯耐㠔蜸ǠĲ怀耀㠔背㠔à譌㠔ɀ롌㠔ɉ⼠㠕*ば㠕よ㠕Ր嬈㠕㿌高㠖髸㠖汐ᗠʢ怀ᗸʢ怀ᗸʢ怀䶅ĀꞀËˆ怀쀀ᤎ梀Ɩ怀媠怀᧳㤀͠怀䀀䂙䀸萐ú怀ā耀㳀͠怀 &#10;&#10;#$%笐ﾘ鿿攠丯￼蓐끈鱢￼漐ﵹ鿿夘丯￼댨鱢￼䨨ﰄ鿿擨丯￼奐丯￼墨丯￼궈鱢￼堸丯￼堀丯￼塰丯￼ᾘ鱮￼ᾀ鱮￼壠丯￼ὸ鱮￼莀笘ﾘ鿿贆老顑퍲廊贆ȷꥁ퍲贆⹗齂퍲贆쀼髆퍲贆攆Ꙍ퍲ﯔ贆푓駬퍲贆老ꑟ퍲䵨梠ꔠǷ怀撐   䈠則媠怀變˴怀暰䜠偎呚䵕₠呚䵕ﻷ鿿呚䵕呚䵕Ը赹ꤜ赹⁌ၜ汱䙰핵‼ၜ遖穑ᅺ‬ၜ老蘜瘒펼㧜荵疴퍃᷸ၜ老ꐠ죤ᅻ“ၜ깤햶펴掄荵老眊퍃‴ၜ老╀ﮪᅶ⁘ၜ譵蝛퍃⁄ၜ簡ᢿ퐕䵨߰蔐Ǯ怀א   䈠則媠怀˫怀ॐ䜠偎呚䵕₠呚䵕ﻷ鿿呚䵕呚䵕Ը赹ꤜ赹AD◸莼老베퍃뵠޺䝔끤࠲껀莹老퐤륲퍃鵌莽老녚륔퍃䓀莸老痴퍃ᰌ莾띶뤵퍃ꔘ莾老䍲迆퍃莼ﶚ퍃퉨莽昹랬퍃作荵老큖痮퍃☄莼老㨅벮퍃᱀ҿ幮瑣牯耐㠔蜸ǠĲ怀耀㠔背㠔à譌㠔ɀ롌㠔ɉ⼠㠕*ば㠕よ㠕Ր嬈㠕㿌高㠖髸㠖汐ᕠʢ怀ᕸʢ怀ᕸʢ怀聠怀怀䀀怀넠d怀᪠怀怀ॠ怀怀꓀怀䃰Â怀말ú怀듐Ð怀钠¥怀ڐÂ怀烀Ï怀װ×怀귰ú怀藰ð怀㍸п㡐У탐ʊ怀ʊ怀ரe怀㍸п贐ͦ怀膐ͦ怀虀ǐ怀ͦ怀魀ρ怀欐Ι怀ͦ怀䚸蛡ᄐ퍓峄蛰老ᅴಁ퍙㣜蛡老ꈇ茣퍛尼蛰녿﹕퍗나蛩꘡㌆퍘藜蛸老腪స퍙㤨蛡ꙵ娘퍓䋴蛰老謹ಪ퍙㦨蛡┍ယ퍜䋰蛰鉵౛퍙䚐蛡老䉍栽퍛蚰蛠ल퍊ጀ筹⯯5䵨薰繌洀Ƿ怀翰繌   䈠則媠怀ᴠˣ怀菀繌䜠偎呚䵕₠呚䵕ﻷ鿿呚䵕呚䵕Ը赹ꤜ赹貨蔈ꌾ믂퍈뵠菈老似阒퍃T蒵鼭疴퍃Ẩ蒴娚퍉봀菈老䈪馇퍃ⷰ蒿老兀뼇퍉阔蒱老꽍띛퍃뵘菈老쥄슻퍃蒵老ꨘꂫ퍈부菈老脷钍퍃뵨菈老䄥齾퍃鍔荵̰瘵퍃ﳰ莺줕ꬢ퍃쓨荵老㜒瞲퍃딐荵㔪眅퍃莴老痴퍃畤莺老奛ꭅ퍃ⓔ莽老荡ﱶ퍃鍄荵老ݣ瞉퍃▌莹老灌ꩪ퍃䐰蓾老刴ꐏ퍃櫀蒯老ꡞ몟퍄嗠莺ᝅ肾퍃作荵ᵍ痮퍃ꨔ莻魻꬏퍃᱀ҿ幒瑣牯耐㠔蜸ǠĲ怀耀㠔背㠔à譌㠔ɀ롌㠔ɉ⼠㠕*ば㠕よ㠕Ր嬈㠕㿌高㠖髸㠖汐뗀Ì怀똈Ì怀똈Ì怀䵨砀繌悠Ƿ怀燠繌   䈠則媠怀ˤ怀璠繌䜠偎呚䵕₠呚䵕ﻷ鿿呚䵕呚䵕Ը赹ꤜ赹䵨ﴐ替ǲ怀ꌐ曼   䈠則媠怀朰˵怀聆替䜠偎呚䵕₠呚䵕ﻷ鿿呚䵕呚䵕Ը赹ꤜ赹䵨鶐蛀Ƿ怀魰   䈠則媠怀쭠˴怀鯠䜠偎呚䵕₠呚䵕ﻷ鿿呚䵕呚䵕Ը赹ꤜ赹䵨ꢀǮ怀   䈠則媠怀˫怀䜠偎呚䵕₠呚䵕ﻷ鿿呚䵕呚䵕Ը赹ꤜ赹誈蒮老䴮ǰ퍅ㇴ蒼老봩᠔퍇熼蒱ꡓ퍃橘蒱老ᱰ뗳퍃Ⅸ蒴቗疴퍃ᖔ蒹老ꑃ퍉샠蒮老ば鴶퍄媘蒳㸧ꮧ퍈柠蒱꜋퍉凘蒸老行眊퍃曠蒱老⨓⹊퍄曐蒱詺뗭퍃漉漉漉漉漉쟐漉쟐漉쟐漉쟐漉쟐漉쟐漉쟐漉쟐漉쟐漉쟐漉쟐漉쟐漉쟐漉规荵鰚硳퍃ΐ蒵⠺믤퍈橨荵嬏痴퍃딐荵卅眅퍃ᴀ荵老鼡ﱶ퍃竼荵謒碇퍃臠荵老錍磨퍃鍄荵老᜸瞉퍃폼荵睦眚퍃作荵老喙痮퍃␔蒲琧밍퍈ᴀ荵老靓퍙Ⲱ荵睥眏퍃ៀ筀˔怀꣰ú怀癳g̀睐˥怀睘˥怀睘˥怀휀͡怀휀͡怀ₐĈ怀䝅沈褏䀰욧蝋䀰᱀ҿ幨瑣牯耐㠔蜸ǠĲ怀耀㠔背㠔à譌㠔ɀ롌㠔ɉ⼠㠕*ば㠕よ㠕Ր嬈㠕㿌高㠖髸㠖汐㦀˯怀㦈˯怀㦈˯怀ៀ螀˒怀뎐ú怀癳g̀瓰˥怀瓸˥怀瓸˥怀͡怀͡怀⊐Ĉ怀⾃Ꙍ䀩맵諚䀩䵨ꄰ⫀ǥ怀鮰2 0䈠則媠怀㤠˯怀鷐䜠偎呚䵕₠呚䵕ﻷ鿿呚䵕呚䵕Ը赹ꤜ赹䞑Āᒅºº傉䝎਍ਚഀ䡉剄ఀ㈀؈栀㨅:琙塅却景睴牡e摁扯⁥浉条剥慥祤쥱㱥尀䑉呁ﱢ̿耩恩䘡辑쾏ꉿ‴␫ƨ瞻烯䁫ౖࡓ䰃鳸꺄꬘氆⛮ۊꙬ琓꣒円ꌍ䘚谵ᡪフ㒒泠墜奙ꟽඊĀꙬ鴥윒䕉䑎䊮艠䵨飰ݐǥ怀鍰 䈠則媠怀㨐˯怀閐䜠偎呚䵕₠呚䵕ﻷ鿿呚䵕呚䵕Ը赹ꤜ赹Ö怀㖘螇㕸螇䱬蒳䰐蒳䢀蒳ಔ蠻蠻䆬衊䆠衊棌ྦ椤ྦ琜蛮ﱔ蛾툰蜩퉰蜩퉤蜩튤蜩琘蛮筌蠹溔蠼ﳈ衚⳰蠽笨蠹衐衐匔莵ㆴ菈ꐴ蟐ꋴ蟐갸蒴궄蒴蛇⠀筹⯯6䵨ﯠ薠Ǯ怀   䈠則媠怀˫怀䜠偎呚䵕₠呚䵕홯ﻷ鿿呚䵕呚䵕Ը赹ꤜ赹䵨녠蝐Ƿ怀᧡   䈠則媠怀꫐˷怀글䜠偎呚䵕₠呚䵕핯ﻷ鿿呚䵕呚䵕Ը赹ꤜ赹䵨唐渮Ƿ怀渭   䈠則媠怀˩怀攰繂䜠偎呚䵕₠呚䵕푯ﻷ鿿呚䵕呚䵕Ը赹ꤜ赹䵨猀貎柰ǲ怀胀渮   䈠則媠怀ঠ˲怀❠貍䜠偎呚䵕₠呚䵕퍯ﻷ鿿呚䵕呚䵕Ը赹ꤜ赹┰ꂅ老桚疴퍃Ὤꂅ老靐쵥퍲♸ꂅ老✬啺퍣⚌ꂅ老밫⃫퍆᭄ꂅ豚퍔⼸ꂅ锲蝛퍃὘ꂅ뜿쭼퍲⚴ꂅἪ࠯퍳箰〖牐〖摀〖徐〖冀〖䍰〖㕠〖⊠〖ᷰ〖ᒐ〖ର〖〕〕칀〕ꐐ〕쓠〕扰〕ฐ〕朠〕蟰〕䬀〕酐〕䓐뾽ᙐ҅냨ࠌ囘郣䗨蔙킘虘裈譳躟굠觥ꖹ㸸躌뵀輢뢸䠠鎈闶霎镀雴䂈頍寠讶禀靻䝀鋙汰鐮ⅸ饡Ῐ騵ꭨꞌ珰痠碘ஂ錘鱯ꠄࡰ菔　筹⯯)䖱ĀސmMacintosh HD ‎» Users ‎» gsun20 ‎» Downloads ‎» autopipeline-benchmarks-main ‎» commercial-pipelines ‎» a06_0E&lt;resolutionId provider=&quot;None&quot;&gt;&lt;localId name=&quot;Author&quot;/&gt;&lt;/resolutionId&gt;䀠賶老쾠퍨誨贄♦퍆踼贄覨퍆覤贄老≟쓓퍨踬贄嘅쮄퍅ᷨ賵บ퍅詘贄老䭇ﶆ퍲䀌賶老顱쾷퍨謴贄이肸퍆᳐賵老푺眊퍃봔賵啲疴퍃㈰賵졈蕨퍆Ɒ賵浪퍆㐀筹⯯1㔀筹⯯߻뮴蝿⽢崣퍛竼荵老茶碇퍃뮨蝿ﹺ㰊퍏蛛老䔓杮퍛㜀筹⯯9㠀筹⯯&lt;ጘࣕⲰ࣓⨠࣓躸࣐摉瀀ﯓ㈙艚锡룕⊑Õ⯠࣓樠贆老ḝ퍅楀贆老륉퍅曬贆쥬疴퍃梸贆老ĩ빔퍱澀贆ꍪ퍅濘贆픉瀊퍲楈贆老뼸鏸퍆栔贆老怆砚퍃暈贆老ᙏ眊퍃槈贆老翋퍆栜贆䉑퍃樐贆老﨣Ꮞ퍄㬀筹⯯?朰贂老섧᪠퍆賵퍼恄퍆賵老硥ᙄ퍆ȼ賶Ⰹ疴퍃煜贂老䕺惤퍆掼賴ꁨ퍆浤賵老畫퍲泸賵㥝扇퍆煐贂똟愘퍆榘賵멗턙퍲濼贂㐼퍲棤贂老퍲ｰ賵덅抒퍆˼贃老ࡵ뜰퍲֐贃腝퍲ྔ贃老䱚箄퍲Δ贃뙘퍲Ҭ贃老⥯뙉퍲㙐贃댦筚퍲Ĥ贃๴׼퍳贃老ﰡ紭퍲贂籞퍲ﰰ贂䙘㜰퍳㸀筹⯯@㼀筹⯯ݼ莽ꤠ퍃获老ȼ꣣퍃获㨇땳퍃犔获礕컥퍃册莺老驎ﳘ퍃ش莸老ᤫ옙퍃获老뚋퍃ᘄ莽老둠﹍퍃樠丳￼ﰗ鿿ॸﭾ鿿≸ￆ鿿嬈丳￼ﰗ鿿槨丳￼잰嫐丳￼은媘丳￼孀丳￼Ｋ鿿우◨ﰖ鿿䵨∠ꇀǷ怀    䈠則媠怀훐˴怀迠䜠偎呚䵕₠呚䵕뵯ﻷ鿿呚䵕呚䵕Ը赹ꤜ赹졀妸丳￼짠Ｋ鿿쥀橘丳￼奈丳￼檐丳￼妀丳￼⚨ﰖ鿿죐≰ￆ鿿ﰗ鿿ﰗ鿿姰丳￼⇘ﭾ鿿샀؀Ȟ怀āऻ鸫嘏Ǫ怀䄀洁汵砭捰⠠灁汰⥥佟数卮整p쟸丳￼托﷩鿿␘ﭾ鿿㈐쑀丳￼㋰舰ﴣ鿿녰丳￼놨丳￼쟀丳￼쒰丳￼뾐ﲈ鿿㊀있丳￼Ř蛧老阗颁퍚Ą蛧老ￂ퍘⻜蛬㙨맫퍍팘蛤수ࠫ퍙ﶸ蛦老푢궬퍈Հ蛧老牽襭퍆ư蛧ﰘ퍑Ǥ蛧捋ሯ퍑https://arizonastateu-my.sharepoint.com/personal/gsun20_sundevils_asu_edu廈Ⅿ�燨➬�䙨傸忸䳘㇘姈Ⅿ�䊘Ⅿ�Ⳙ俈Ⅿ�么䞘Ⅿ�㺨䊈㦨哈Ⅿ�ៀ⧀ʨ怀ꃐ×怀癳g̀箐˪怀箘˪怀箘˪怀䥸Ĉ怀䦐Ĉ怀䀴䀴䀴䀴䵨繋姠Ƿ怀繋   䈠則媠怀擀ˣ怀繋䜠偎呚䵕₠呚䵕땯ﻷ鿿呚䵕呚䵕Ը赹ꤜ赹鵬護퍫灰護老鈯⊂퍫烠護팠疴퍃鵴護ꅔࡕ퍫礀護䠩粵퍎覜護֊퍫礌護老ꁙ๸퍫芈護᠊垉퍓꘸護老⌭퍫臨護老脽垛퍓韀護老娺☍퍫盠護큄癎퍃胠護뭈↮퍫ៀ혀ʨ怀ઠ×怀癳g̀䱰˪怀䱸˪怀䱸˪怀䵸Ĉ怀䶐Ĉ怀䀴䀴䀴䀴ៀʨ怀๠×怀癳g̀估˪怀伸˪怀伸˪怀乸Ĉ怀亐Ĉ怀䀴䀴䀴䀴ៀ䄀ʨ怀綐×怀癳g̀愠˪怀愨˪怀愨˪怀佸Ĉ怀侐Ĉ怀䀴䀴䀴䀴ៀʨ怀ዀ×怀癳g̀冀˪怀冈˪怀冈˪怀偸Ĉ怀傐Ĉ怀䀴䀴䀴䀴ៀﯠʨ怀⛀×怀癳g̀台˪怀司˪怀司˪怀典Ĉ怀冐Ĉ怀䀴䀴䀴䀴ៀ蟀ʨ怀⧠×怀癳g̀噐˪怀噘˪怀噘˪怀剸Ĉ怀劐Ĉ怀䀴䀴䀴䀴ꔴ莸碲퍃䟬菃률뙥퍃땈莿老氹眅퍃莸老尃疧퍃웤莸䝿벇퍃爜荵老脾瘗퍃⹠菅D퍃똠莿老蹜瞉퍃뿌莸老꜎퍃ꏤ莾老屸퍃ៀ鑀ʨ怀⯀×怀癳g̀声˪怀壸˪怀壸˪怀呸Ĉ怀咐Ĉ怀䀴䀴䀴䀴ៀꅠʨ怀ऐ×怀癳g̀宐˪怀官˪怀官˪怀啸Ĉ怀喐Ĉ怀䀴䀴䀴䀴嘀筹⯯߻띐뚀틸ﷴ鿿㢨혒또幐丳￼楀丳￼ㅠￇ鿿⑨ﰖ鿿觘ﭸ鿿巠丳￼쒐帘丳￼쐠쬰ﰗ鿿쎐庈丳￼쮐ﰗ鿿椈丳￼Ｋ鿿ៀʩ怀×怀癳g̀̐˪怀̘˪怀̘˪怀巀͌怀巀͌怀妐Ĉ怀풕栉尢䀶䁏愓σ䀰ៀꥠʨ怀ꎠ×怀癳g̀뷐˪怀뷘˪怀뷘˪怀넀͌怀넀͌怀媐Ĉ怀榭燞캊䀨뾱黬఼䀩쑰ﰗ鿿弰丳￼숐솀忘丳￼徠丳￼梘丳￼Ｋ鿿∨ￆ鿿棐丳￼쐐ﰗ鿿슀彨丳￼⾸ﭾ鿿⎨ﰖ鿿ៀ뇠ʨ怀竀×怀癳g̀幠˪怀幨˪怀幨˪怀屸Ĉ怀岐Ĉ怀䀴䀴䀴䀴劸丳￼勰丳￼矨丳￼㒘ﭾ鿿胠ﰗ鿿⩨ﰖ鿿탠텐匨丳￼砠丳￼⊀ￆ鿿占丳￼쬠Ｋ鿿큐肀ﰗ鿿帀筹⯯ៀ俠ʨ怀沰×怀癳g̀掰˪怀掸˪怀掸˪怀彸Ĉ怀徐Ĉ怀䀴䀴䀴䀴䵨易놀Ƿ怀뚐   䈠則媠怀펠˷怀䜠偎呚䵕₠呚䵕齯ﻷ鿿呚䵕呚䵕Ը赹ꤜ赹ៀ峀ʨ怀䒰×怀癳g̀晠˪怀晨˪怀晨˪怀慸Ĉ怀憐Ĉ怀䀴䀴䀴䀴紘譶疴퍃鄠譶老ᵯ찑퍈毰譶蔢̢퍫薠譶老愸ᚔ퍫Ꞙ譶ꝉⶕ퍫矨譶老瑪ㄕ퍫謄譶頂⛶퍗ꃠ譶崺㗜퍫ꐀ譶老樓퍉漴譶ꔃẜ퍫鄘譶ᜆ㶎퍙쫐Ｋ鿿喐丳￼췰眈丳￼啘丳￼着丳￼ㅀￇ鿿ﰗ鿿쳰嘀丳￼嗈丳￼酘ﭸ鿿⣨ﰖ鿿춀ﰗ鿿灰護老虊⊂퍫烠護瘴疴퍃鵴護老ᬅࡕ퍫礀護䍺粵퍎覜護老祭֊퍫礌護老๺๸퍫芈護老੨垉퍓Ꙑ護ꍧ⌭퍫臨護老‧垛퍓韀護老ꕧ☍퍫盠護癎퍃胠護老‍↮퍫긨丳￼鲘ﭸ鿿硘丳￼碐丳￼箰剈丳￼刐丳￼闠ﰗ鿿귰丳￼Ｋ鿿簠ㅸￇ鿿凘丳￼筰蕠ﰗ鿿⬨ﰖ鿿䵨⽀曹ﵐǲ怀替   䈠則媠怀巠˵怀ⵐ曹䜠偎呚䵕₠呚䵕饯ﻷ鿿呚䵕呚䵕Ը赹ꤜ赹傌蜀⥄ﱶ퍃鍔荵老脢瘵퍃며蛻老ŵﱗ퍘暐蛢퍗鳀蛶老帜嵆퍘蛜渂狅퍘꺬蛛老ࠝ㡧퍝꺜蛛獗脧퍛臠荵鄈磨퍃ﭼ蒲멪퍄눀蛜뽸ﰺ퍘Ҩ蛜鱁퍗核蛢ꝧﱭ퍘됈蛻땟술퍘Ｋ鿿呀丳￼衘ﭸ鿿ㅨￇ鿿쿀⦨ﰖ鿿咰丳￼合丳￼컀睸丳￼﷐ﰗ鿿ﵰﰗ鿿呸丳￼瞰丳￼콐馌蛺簐퍙똔蜷笘퍙ោ蜆老ṇ暧퍚蛺⌹疴퍃믌蜷쐨瞉퍃럜蜷老ብ㲚퍚뙜蜷老䩷㰗퍚뗰蜷੮軉퍃ូ蜆老䠞ᚩ퍅뢘蜷老缝㴊퍚렰蜷絎﫫퍑뛄蜷老뵺㰬퍚쯰坐丳￼團丳￼因丳￼챠嚨丳￼쭠⠨ﰖ鿿쪀Ｋ鿿ㅐￇ鿿盐丳￼ﰗ鿿皘丳￼聸ﭸ鿿ﰗ鿿ᥨ丳￼මｶ鿿聰丳￼胠丳￼䕰辘ﰕ鿿䔀ධｶ鿿䡰肨丳￼ᤰ丳￼ᄨ蛜老蝺쓠퍑贀蛢꧂퍏螁깛時퍛螁ﬡᧃ퍏賸蛢老䥘旵퍛뒀蛰老퍐ྜ蛜老遶뿇퍎釘蛟퍊ޜ蛜䥖駉퍝鉀蛟〞砚퍃亐蒱老蕫辋퍅ƨ蛜老葑瘼퍎蛛罟ﲝ퍎蛛ᠠԠ퍍거譴﹚㈀퍫ꯄ譴렧謱퍚ꯌ譴ଛ疴퍃걌譴攨㉸퍫뢬譴䕩퍃뛸譴앁﹙퍪겤譴老訽眊퍃갰譴礊퍃겔譴老䄁㉞퍫갼譴老︐¿퍞㧜荵疴퍃⸌ਦ老硼뵵આ노ਬ漚ყ퍗됸ਬଦ䛩퍗커ਦ老̊蝛퍃댰ਬᘙ쀋અ땐ਬ洂‼퍚둄ਬ老켷䜎퍗둈ਬ褯અݸਦ饡粟퍙ៀ틠ʩ怀×怀癳g̀閠˭怀閨˭怀閨˭怀䭀͌怀䭀͌怀澐Ĉ怀酨糭锿䀱뾱黬఼䀩ៀʩ怀터×怀癳g̀ ˪怀¨˪怀¨˪怀侀͌怀侀͌怀炐Ĉ怀ᑻ䞮뫡䀯䁏愓σ䀰ៀʩ怀틀×怀癳g̀Ѐ˪怀Ј˪怀Ј˪怀往͌怀往͌怀熐Ĉ怀沋ﯧ솩䀹䁏愓σ䀰ៀʩ怀쀀×怀癳g̀Ԑ˪怀Ԙ˪怀Ԙ˪怀技͌怀技͌怀犐Ĉ怀抷㤽䀴뾱黬఼䀩ᴨ﹯鿿↨﹯鿿Ὠ﹯鿿⏨﹯鿿欸丳￼᫨﹯鿿짐墠丳￼塨丳￼쩠쨰Ｋ鿿ﰗ鿿埸丳￼∈ￆ鿿櫈丳￼쫐❨ﰖ鿿ᤸﭾ鿿ﰗ鿿欀丳￼堰丳￼逸◶�ڰܠ耸丳￼ᖰ迸ﰕ鿿䵨ጀ朦삐Ǽ怀變漎   䈠則媠怀씐˱怀鄰䜠偎呚䵕₠呚䵕襯ﻷ鿿呚䵕呚䵕Ը赹ꤜ赹ﴨਨ湴阱આﴰਨ角અ뻜ਨ谄责અ뵘ਨ老詗쿃આ㧜荵老逽疴퍃뻤ਨ老됹讅઄뵠ਨ老ܭ馦આﯸਨ老瞉퍃뻬ਨ赤쫚઄뵐ਨ꤭쾯આ벤ਨ༨અ䵨瑐Ǯ怀菐ǌ( ܰ䈠則媠怀鼀˯怀䜠偎呚䵕₠呚䵕蝯ﻷ鿿呚䵕呚䵕Ը赹ꤜ赹愨丳￼⋨ﰖ鿿数ﰗ鿿≘ￆ鿿뿰惰丳￼Ｋ鿿旐ﰗ鿿삀桠丳￼▘ﭾ鿿栨丳￼샰悸丳￼悀丳￼潐ऌ繣啣ऒऍ老凕ऒ杠ऌ老者嗕ऒ牴ऌ老艹퉸펔ऍ戫凊ऒ暴ऌꩈ姛ऒ湜ऌ老驍姽ऒ㋐ऍ䘾᤯퍄牼ऌꕔ嫟ऒ﷡鿿扸丳￼빠所丳￼戈丳￼ﵗ鿿懐丳￼ㄈￇ鿿뻰뽠枸丳￼ꜘﭸ鿿Ｋ鿿ፀﰗ鿿∨ﰖ鿿柰丳￼Ⅽ�겘Ⅽ�볐Ⅽ�Ⅽ�ݘⅮ�Ⅽ�煸Ⅾ�ౠ◰�뵠ﶨⅭ�뱸Ⅽ�츈Ⅽ�헸Ⅽ�뒈Ⅽ�⭘ﰖ鿿쓈Ⅽ�뷐폐ﰖ鿿ﰖ鿿ꘀ臐﵉鿿瑨丳￼⎸ﭾ鿿ꕰ攘丳￼￈ﰞ鿿ꥰＬ鿿甐丳￼瓘丳￼璠丳￼꙰敐丳￼ﲳ鿿炰丳￼昰丳￼꣠꬀Ｌ鿿ﰞ鿿灸丳￼烨丳￼辰ﰉ鿿ﲳ鿿麀ﰉ鿿焠丳￼ؘﭾ鿿旸丳￼ꥐꨠ䵨ៀ曼瓠ǲ怀Ȁ綳   䈠則媠怀櫰˴怀ૠ綹䜠偎呚䵕₠呚䵕聯ﻷ鿿呚䵕呚䵕Ը赹ꤜ赹䖱ĀސoMacintosh HD ‎» Users ‎» gsun20 ‎» Downloads ‎» autopipeline-benchmarks-main ‎» commercial-pipelines ‎» adf02_1Ā搁潬数⡮甯牳氯扩氯扩瑳捤⬫㘮搮汹扩‬砰〰〱㨩 ៀ䄀ʪ怀蠠Ê怀癳g̀˪怀˪怀˪怀艸Ĉ怀芐Ĉ怀䀴䀴䀴䀴Љì吀礀瀀攀昀愀挀攀 搀愀琀愀 䌀漀瀀礀爀椀最栀琀 ꤀ ㄀㤀㤀㈀ⴀ㤀㐀 吀栀攀 䴀漀渀漀琀礀瀀攀 䌀漀爀瀀漀爀愀琀椀漀渀⸀ 䌀漀瀀礀爀椀最栀琀 ㄀㤀㤀㐀 䴀椀挀爀漀猀漀昀琀 䌀漀爀瀀漀爀愀琀椀漀渀⸀ 䄀氀氀 爀椀最栀琀猀 爀攀猀攀爀瘀攀搀⸀sun20@sundevils.asu.edu䖱ĀސtDesign and data by The Monotype Corporation. © 1993. Portions copyright Microsoft Corporation.  All rights reserved.憌蒲鴚퍆爜荵老饹瘗퍃℀蒵老ţ疧퍃쬰蒶嬛絨퍃怠蒲老ɿ鏩퍅ఔ蒵簌퍃縰蒲老摍ጿ퍆徬蒲堻홏퍃Python provided by Anaconda䵨繋溰Ƿ怀械繌   䈠則媠怀虐ˣ怀픐繋䜠偎呚䵕₠呚䵕睯ﻷ鿿呚䵕呚䵕Ը赹ꤜ赹ៀ皀ʯ怀ꓠÊ怀癳g̀˪怀˪怀˪怀襸Ĉ怀覐Ĉ怀䀴䀴䀴䀴䖱ĀސoMacintosh HD ‎» Users ‎» gsun20 ‎» Downloads ‎» autopipeline-benchmarks-main ‎» commercial-pipelines ‎» adf02_0sun20@sundevils.asu.edu䖱ĀސmMacintosh HD ‎» Users ‎» gsun20 ‎» Downloads ‎» autopipeline-benchmarks-main ‎» commercial-pipelines ‎» a06_1ៀ乀ʪ怀교Ê怀癳g̀˪怀˪怀˪怀赸Ĉ怀趐Ĉ怀䀨䀨䀨䀨https://www.anaconda.com/excel䵨粰鰠Ƿ怀眰   䈠則媠怀샀˴怀祐䜠偎呚䵕₠呚䵕灯ﻷ鿿呚䵕呚䵕Ը赹ꤜ赹䵨䬀㬐ǡ怀䓐ǌ, ܰ䈠則媠怀읰˪怀䤐䜠偎呚䵕₠呚䵕潯ﻷ鿿呚䵕呚䵕Ը赹ꤜ赹䵨㧐㥠ǡ怀ムǌ) ܰ䈠則媠怀욠˪怀㟠䜠偎呚䵕₠呚䵕湯ﻷ鿿呚䵕呚䵕Ը赹ꤜ赹䵨睐᧻ǡ怀禠᧻   䈠則媠怀˪怀㺠᧽䜠偎呚䵕₠呚䵕浯ﻷ鿿呚䵕呚䵕Ը赹ꤜ赹 MapRibbon䵨鳐᧽ǡ怀繀᧻   䈠則媠怀˪怀錀᧽䜠偎呚䵕₠呚䵕歯ﻷ鿿呚䵕呚䵕Ը赹ꤜ赹䖱ĀސoMacintosh HD ‎» Users ‎» gsun20 ‎» Downloads ‎» autopipeline-benchmarks-main ‎» commercial-pipelines ‎» adf02_1䵨蔰᧻֠ǡ怀奀᧾   䈠則媠怀˪怀᧰䜠偎呚䵕₠呚䵕楯ﻷ鿿呚䵕呚䵕Ը赹ꤜ赹䵨觐᧻Ԑǡ怀᧰   䈠則媠怀˪怀盰᧼䜠偎呚䵕₠呚䵕桯ﻷ鿿呚䵕呚䵕Ը赹ꤜ赹⨏⥤侨⨯ᩍ䵨ၰហǡ怀᧻ǌ4 ܰ䈠則媠怀쟠˪怀퉀᧹䜠偎呚䵕₠呚䵕敯ﻷ鿿呚䵕呚䵕Ը赹ꤜ赹ᴀ荵老縛礲퍃ᴀ荵汕퍚ה蒰ꠖ碲퍃镴蜱깝疴퍃μ蒰老踅疧퍃鍨蒶쨤瘗퍃陬蜱盨퍃ᴀ荵老邚퍘ᴀ荵㝣퍚ᴀ荵礘퍑ᴀ荵老탞퍌ᴀ荵老㥬멁퍏䵨췰᧿だǡ怀졀᧿ 䈠則媠怀퐠˪怀찀᧿䜠偎呚䵕₠呚䵕捯ﻷ鿿呚䵕呚䵕Ը赹ꤜ赹file:///Users/gsun20/Desktop/projects/cactus/ChatGPTwithSQLscript/react/github-pipelines/length1_6/Target1_6_result.csv䵨䎰㏀ǡ怀㫰ǌ) ܰ䈠則媠怀웰˪怀䇀䜠偎呚䵕₠呚䵕慯ﻷ鿿呚䵕呚䵕Ը赹ꤜ赹䵨攐㜠ǡ怀廀ǌ( ܰ䈠則媠怀쒰˪怀挠䜠偎呚䵕₠呚䵕息ﻷ鿿呚䵕呚䵕Ը赹ꤜ赹䵨坐㡀ǡ怀什ǌ( ܰ䈠則媠怀쓐˪怀啠䜠偎呚䵕₠呚䵕彯ﻷ鿿呚䵕呚䵕Ը赹ꤜ赹䵨훀ꙀǠ怀텀ǌ( ܰ䈠則媠怀࿰˭怀퍠䜠偎呚䵕₠呚䵕幯ﻷ鿿呚䵕呚䵕Ը赹ꤜ赹䵨蘐㘀ǡ怀結ǌ( ܰ䈠則媠怀쏐˪怀萠䜠偎呚䵕₠呚䵕嵯ﻷ鿿呚䵕呚䵕Ը赹ꤜ赹䵨簰㳀ǡ怀獀ǌ( ܰ䈠則媠怀썐˪怀穀䜠偎呚䵕₠呚䵕屯ﻷ鿿呚䵕呚䵕Ը赹ꤜ赹䵨爠ⴀǡ怀棐ǌ( ܰ䈠則媠怀슐˪怀滀䜠偎呚䵕₠呚䵕孯ﻷ鿿呚䵕呚䵕Ը赹ꤜ赹䵨䂀㌰ǡ怀᧿4 䈠則媠怀틠˪怀᧿䜠偎呚䵕₠呚䵕婯ﻷ鿿呚䵕呚䵕Ը赹ꤜ赹샀䏀ȟ怀ā뀫幣ǶǶǶѴ蚦૝Ǫ怀䄀持浯愮灰敬渮瑡牵污慬杮慵敧d䵨踠㞰ǡ怀蜰ǌ( ܰ䈠則媠怀숀˪怀諀䜠偎呚䵕₠呚䵕塯ﻷ鿿呚䵕呚䵕Ը赹ꤜ赹䵨᧿㊠ǡ怀᧿ 䈠則媠怀티˪怀᧿䜠偎呚䵕₠呚䵕坯ﻷ鿿呚䵕呚䵕Ը赹ꤜ赹䵨冰᧾⿐ǡ怀᧻ǌ( ܰ䈠則媠怀솠˪怀緀᧴䜠偎呚䵕₠呚䵕噯ﻷ鿿呚䵕呚䵕Ը赹ꤜ赹䵨휠᧿ヰǡ怀킰᧿4  䈠則媠怀푀˪怀폀᧿䜠偎呚䵕₠呚䵕啯ﻷ鿿呚䵕呚䵕Ը赹ꤜ赹䵨᧿㈐ǡ怀᧿4  䈠則媠怀폐˪怀᧿䜠偎呚䵕₠呚䵕呯ﻷ鿿呚䵕呚䵕Ը赹ꤜ赹䵨᧿ㆀǡ怀᧿ 䈠則媠怀펀˪怀᧿䜠偎呚䵕₠呚䵕卯ﻷ鿿呚䵕呚䵕Ը赹ꤜ赹䵨죀⒐ǡ怀썀   䈠則媠怀˪怀애䜠偎呚䵕₠呚䵕副ﻷ鿿呚䵕呚䵕Ը赹ꤜ赹䵨⿀⟰ǡ怀Ẑǌ( ܰ䈠則媠怀연˪怀Ⱡ䜠偎呚䵕₠呚䵕兯ﻷ鿿呚䵕呚䵕Ը赹ꤜ赹䵨헠⢀ǡ怀큠   䈠則媠怀쵐˪怀튀䜠偎呚䵕₠呚䵕偯ﻷ鿿呚䵕呚䵕Ը赹ꤜ赹䵨❀⍰ǡ怀ᥐǌ( ܰ䈠則媠怀앰˪怀⏠䜠偎呚䵕₠呚䵕佯ﻷ鿿呚䵕呚䵕Ը赹ꤜ赹䵨⨰ǡ怀   䈠則媠怀촀˪怀䜠偎呚䵕₠呚䵕乯ﻷ鿿呚䵕呚䵕Ը赹ꤜ赹䵨ᕠǡ怀   䈠則媠怀첐˪怀䜠偎呚䵕₠呚䵕䵯ﻷ鿿呚䵕呚䵕Ը赹ꤜ赹䵨薐᧼㕰ǡ怀砰ǌ( ܰ䈠則媠怀삐˪怀ⷐ᧾䜠偎呚䵕₠呚䵕䱯ﻷ鿿呚䵕呚䵕Ը赹ꤜ赹䵨兠㓠ǡ怀ꪀ᧵ǌ( ܰ䈠則媠怀섐˪怀譀䜠偎呚䵕₠呚䵕䭯ﻷ鿿呚䵕呚䵕Ը赹ꤜ赹HID_DataTypesCurrency䖱ĀސoMacintosh HD ‎» Users ‎» gsun20 ‎» Downloads ‎» autopipeline-benchmarks-main ‎» commercial-pipelines ‎» adf02_0䖱ĀސoMacintosh HD ‎» Users ‎» gsun20 ‎» Downloads ‎» autopipeline-benchmarks-main ‎» commercial-pipelines ‎» adf02_1䵨遐Ǡ怀ǌ( ܰ䈠則媠怀ᠰ˭怀ퟠ䜠偎呚䵕₠呚䵕䝯ﻷ鿿呚䵕呚䵕Ը赹ꤜ赹䵨鵀Ǡ怀ǌ( ܰ䈠則媠怀ྐ˭怀䜠偎呚䵕₠呚䵕䙯ﻷ鿿呚䵕呚䵕Ը赹ꤜ赹䵨뮠Ǡ怀ǌ) ܰ䈠則媠怀᐀˭怀䜠偎呚䵕₠呚䵕䕯ﻷ鿿呚䵕呚䵕Ը赹ꤜ赹䵨꼰爐Ǯ怀鍰ǌ( ܰ䈠則媠怀鿐ˬ怀ꯐ䜠偎呚䵕₠呚䵕䑯ﻷ鿿呚䵕呚䵕Ը赹ꤜ赹䵨֠꺰Ǡ怀ﯠǌ@ ܰ䈠則媠怀ᝰ˭怀ɀ䜠偎呚䵕₠呚䵕䍯ﻷ鿿呚䵕呚䵕Ը赹ꤜ赹䵨ྐꨰǠ怀İǌ( ܰ䈠則媠怀ሰ˭怀ర䜠偎呚䵕₠呚䵕䉯ﻷ鿿呚䵕呚䵕Ը赹ꤜ赹䵨᪐艀Ǡ怀Ⴐǌ( ܰ䈠則媠怀ฐ˭怀ᜰ䜠偎呚䵕₠呚䵕䅯ﻷ鿿呚䵕呚䵕Ը赹ꤜ赹䵨⚐거Ǡ怀ᴐǌ( ܰ䈠則媠怀໐˭怀⌰䜠偎呚䵕₠呚䵕䁯ﻷ鿿呚䵕呚䵕Ը赹ꤜ赹᱀ҿ樘瑣牯耐䀎洫ǠĲ怀耀䀎背䀎Ę跬䀎ł꜔䀎ł䀎$䀎䀎ʖ﹨䀎븐뱸䀏벘䀏ィ䝀˭怀䝈˭怀䝈˭怀᱀ҿ樞瑣牯耐䀎洫ǠĲ怀耀䀎背䀎Ę跬䀎ł꜔䀎ł䀎$䀎䀎ʖ﹨䀎븐뱸䀏벘䀏ィ䝠˭怀䝨˭怀䝨˭怀᱀ҿ樤瑣牯耐䀎洫ǠĲ怀耀䀎背䀎Ę跬䀎ł꜔䀎ł䀎$䀎䀎ʖ﹨䀎븐뱸䀏벘䀏ィ䞀˭怀䞈˭怀䞈˭怀᱀ҿ横瑣牯耐䀎洫ǠĲ怀耀䀎背䀎Ę跬䀎ł꜔䀎ł䀎$䀎䀎ʖ﹨䀎븐뱸䀏벘䀏ィ䞠˭怀䞨˭怀䞨˭怀᱀ҿ樰瑣牯耐䀎洫ǠĲ怀耀䀎背䀎Ę跬䀎ł꜔䀎ł䀎$䀎䀎ʖ﹨䀎븐뱸䀏벘䀏ィ䟀˭怀䟈˭怀䟈˭怀᱀ҿ樶瑣牯耐䀎洫ǠĲ怀耀䀎背䀎Ę跬䀎ł꜔䀎ł䀎$䀎䀎ʖ﹨䀎븐뱸䀏벘䀏ィ䟠˭怀䟨˭怀䟨˭怀᱀ҿ樼瑣牯耐䀎洫ǠĲ怀耀䀎背䀎Ę跬䀎ł꜔䀎ł䀎$䀎䀎ʖ﹨䀎븐뱸䀏벘䀏ィ䠀˭怀䠈˭怀䠈˭怀᱀ҿ橂瑣牯耐䀎洫ǠĲ怀耀䀎背䀎Ę跬䀎ł꜔䀎ł䀎$䀎䀎ʖ﹨䀎븐뱸䀏벘䀏ィ䠠˭怀䠨˭怀䠨˭怀᱀ҿ橈瑣牯耐䀎洫ǠĲ怀耀䀎背䀎Ę跬䀎ł꜔䀎ł䀎$䀎䀎ʖ﹨䀎븐뱸䀏벘䀏ィ䡀˭怀䡈˭怀䡈˭怀᱀ҿ橎瑣牯耐䀎洫ǠĲ怀耀䀎背䀎Ę跬䀎ł꜔䀎ł䀎$䀎䀎ʖ﹨䀎븐뱸䀏벘䀏ィ䡠˭怀䡨˭怀䡨˭怀᱀ҿ橔瑣牯耐䀎洫ǠĲ怀耀䀎背䀎Ę跬䀎ł꜔䀎ł䀎$䀎䀎ʖ﹨䀎븐뱸䀏벘䀏ィ䢀˭怀䢈˭怀䢈˭怀᱀ҿ橚瑣牯耐䀎洫ǠĲ怀耀䀎背䀎Ę跬䀎ł꜔䀎ł䀎$䀎䀎ʖ﹨䀎븐뱸䀏벘䀏ィ䢠˭怀䢨˭怀䢨˭怀᱀ҿ橠瑣牯耐䀎洫ǠĲ怀耀䀎背䀎Ę跬䀎ł꜔䀎ł䀎$䀎䀎ʖ﹨䀎븐뱸䀏벘䀏ィ䣀˭怀䣈˭怀䣈˭怀᱀ҿ橦瑣牯耐䀎洫ǠĲ怀耀䀎背䀎Ę跬䀎ł꜔䀎ł䀎$䀎䀎ʖ﹨䀎븐뱸䀏벘䀏ィ䣠˭怀䣨˭怀䣨˭怀᱀ҿ橬瑣牯耐䀎洫ǠĲ怀耀䀎背䀎Ę跬䀎ł꜔䀎ł䀎$䀎䀎ʖ﹨䀎븐뱸䀏벘䀏ィ䤀˭怀䤐˭怀䤐˭怀᱀ҿ橴瑣牯耐䀎洫ǠĲ怀耀䀎背䀎Ę跬䀎ł꜔䀎ł䀎$䀎䀎ʖ﹨䀎븐뱸䀏벘䀏ィ䤠˭怀䤰˭怀䤰˭怀᱀ҿ橼瑣牯耐䀎洫ǠĲ怀耀䀎背䀎Ę跬䀎ł꜔䀎ł䀎$䀎䀎ʖ﹨䀎븐뱸䀏벘䀏ィ풠ʬ怀퓀ʬ怀퓀ʬ怀᱀ҿ檈瑣牯耐䀎洫ǠĲ怀耀䀎背䀎Ę跬䀎ł꜔䀎ł䀎$䀎䀎ʖ﹨䀎븐뱸䀏벘䀏ィ픠ʬ怀핀ʬ怀핀ʬ怀᱀ҿ檔瑣牯耐䀎洫ǠĲ怀耀䀎背䀎Ę跬䀎ł꜔䀎ł䀎$䀎䀎ʖ﹨䀎븐뱸䀏벘䀏ィ䤰˭怀䤸˭怀䤸˭怀᱀ҿ檚瑣牯耐䀎洫ǠĲ怀耀䀎背䀎Ę跬䀎ł꜔䀎ł䀎$䀎䀎ʖ﹨䀎븐뱸䀏벘䀏ィ䥀˭怀䥐˭怀䥐˭怀᱀ҿ檢瑣牯耐䀎洫ǠĲ怀耀䀎背䀎Ę跬䀎ł꜔䀎ł䀎$䀎䀎ʖ﹨䀎븐뱸䀏벘䀏ィ瞀͂怀瞸͂怀瞸͂怀᱀ҿ檴瑣牯耐䀎洫ǠĲ怀耀䀎背䀎Ę跬䀎ł꜔䀎ł䀎$䀎䀎ʖ﹨䀎븐뱸䀏벘䀏ィ홀ʬ怀홠ʬ怀홠ʬ怀᱀ҿ櫀瑣牯耐䀎洫ǠĲ怀耀䀎背䀎Ę跬䀎ł꜔䀎ł䀎$䀎䀎ʖ﹨䀎븐뱸䀏벘䀏ィ䥠˭怀䥨˭怀䥨˭怀᱀ҿ櫆瑣牯耐䀎洫ǠĲ怀耀䀎背䀎Ę跬䀎ł꜔䀎ł䀎$䀎䀎ʖ﹨䀎븐뱸䀏벘䀏ィ䥰˭怀䥸˭怀䥸˭怀᱀ҿ櫌瑣牯耐䀎洫ǠĲ怀耀䀎背䀎Ę跬䀎ł꜔䀎ł䀎$䀎䀎ʖ﹨䀎븐뱸䀏벘䀏ィ䦐˭怀䦘˭怀䦘˭怀᱀ҿ櫒瑣牯耐䀎洫ǠĲ怀耀䀎背䀎Ę跬䀎ł꜔䀎ł䀎$䀎䀎ʖ﹨䀎븐뱸䀏벘䀏ィ䦰˭怀䦸˭怀䦸˭怀᱀ҿ櫘瑣牯耐䀎洫ǠĲ怀耀䀎背䀎Ę跬䀎ł꜔䀎ł䀎$䀎䀎ʖ﹨䀎븐뱸䀏벘䀏ィ䧐˭怀䧘˭怀䧘˭怀᱀ҿ櫞瑣牯耐䀎洫ǠĲ怀耀䀎背䀎Ę跬䀎ł꜔䀎ł䀎$䀎䀎ʖ﹨䀎븐뱸䀏벘䀏ィ훀ʬ怀훠ʬ怀훠ʬ怀᱀ҿ櫪瑣牯耐䀎洫ǠĲ怀耀䀎背䀎Ę跬䀎ł꜔䀎ł䀎$䀎䀎ʖ﹨䀎븐뱸䀏벘䀏ィᒠϠ怀ᓈϠ怀ᓈϠ怀᱀ҿ櫸瑣牯耐䀎洫ǠĲ怀耀䀎背䀎Ę跬䀎ł꜔䀎ł䀎$䀎䀎ʖ﹨䀎븐뱸䀏벘䀏ィ힠ʬ怀ힸʬ怀ힸʬ怀㍸п㡐Уʹ怀연ʹ怀鬐怀㍸п蒐̮怀覐̮怀虀ǐ怀蛐̮怀困ϋ怀茐̮怀鰐̮怀䵨쉰ᬙ蔐ǥ怀颰ᬙǌ( ܰ䈠則媠怀䡰˭怀㔐ᬔ䜠偎呚䵕₠呚䵕⁯ﻷ鿿呚䵕呚䵕Ը赹ꤜ赹䖱ĀސoTwentieth Century™ is a trademark of The Monotype Corporation which may be registered in certain jurisdictions.ៀʬ怀ꛀÒ怀癳g̀䳐˭怀䳘˭怀䳘˭怀Ĉ怀Ĉ怀䀴䀴䀴䀴䖱ĀސmMacintosh HD ‎» Users ‎» gsun20 ‎» Downloads ‎» autopipeline-benchmarks-main ‎» commercial-pipelines ‎» a06_0kcountries/regions or cities, like &quot;London&quot;, to get current world statistics like population, area, and more邐÷怀ô怀鿠ô怀릀×怀剰Â怀숰Í怀쨀õ怀笐÷怀䁐Ë怀睐ñ怀ŀô怀᮰菃老ᐞ퍃蹼莾老쉣碲퍃轈莾老똧疧퍃ф莿老礙퍃਌莿⸀꼸퍃ݤ莿䵲섖퍃ࢸ莿餒퍃Ɉ莿老桫ﶹ퍃జ莿老驔뢉퍃鉜莾老畱뉪퍃莾老≝쭌퍃׬莿老쒭퍃鸞莾老㹉퍃Bing䵨ð渤Ƿ怀뫐暘   䈠則媠怀읐˩怀㗀繁䜠偎呚䵕₠呚䵕ᝯﻷ鿿呚䵕呚䵕Ը赹ꤜ赹䖱ĀސoMacintosh HD ‎» Users ‎» gsun20 ‎» Downloads ‎» autopipeline-benchmarks-main ‎» commercial-pipelines ‎» adf02_1xConvert cells with countries/regions or cities, like &quot;London&quot;, to get current world statistics like population and more.MapConvert to Geography맔Õག꒐ϧ름Õㆱ퐋볼Õ老ꡩ턓ϨⳤÝ셦疴퍃볤Õ䁖톉Ϩ숤Õ댗툙Ϩ쇼Õ럺Ϩ삀Õ老猛텊ϨߘǸ昊ﯜϨ먠Õ䰈㿌Ϩ뻔Õⴽ퇍Ϩ싘Õꍰ렏Ϩ⣸ﭺ鿿⩸ｬ鿿嶐딠丰￼⿘ﷱ鿿륈﹘鿿셨ﺌ鿿诀◽�퇰톀뾈ᮡ�뎘丰￼䖱ĀސmMacintosh HD ‎» Users ‎» gsun20 ‎» Downloads ‎» autopipeline-benchmarks-main ‎» commercial-pipelines ‎» a05_1⦌઀齳붒퍃ᱴ઀耂⨲﫣헎㧜荵ᕩ疴퍃⠌઀ﴆ헎ᴴ઀䝜헎⾜઀␕蝛퍃㧌蒱老荴낫퍃㤨蒱老谽耾퍇♤蒰䥫傮퍅䖱ĀސmMacintosh HD ‎» Users ‎» gsun20 ‎» Downloads ‎» autopipeline-benchmarks-main ‎» commercial-pipelines ‎» a04_0䖱ĀސmMacintosh HD ‎» Users ‎» gsun20 ‎» Downloads ‎» autopipeline-benchmarks-main ‎» commercial-pipelines ‎» a04_1䖱ĀސmMacintosh HD ‎» Users ‎» gsun20 ‎» Downloads ‎» autopipeline-benchmarks-main ‎» commercial-pipelines ‎» a06_0获老큕Ｐ퍃﮼获老汣볁퍃㒬莺老奏땳퍃﹬获밞轕퍃ࢠ莸긋옙퍃获老≟뛷퍃到莺鸯ﳘ퍃痐荵老霒瞉퍃获老뚋퍃交莸ꭐꢬ퍃䶸莸老땻퍃ﹴ获老锉댟퍃䖱ĀސmMacintosh HD ‎» Users ‎» gsun20 ‎» Downloads ‎» autopipeline-benchmarks-main ‎» commercial-pipelines ‎» a06_1욨Õ老荃탰ϨÕ쭉疴퍃쓤Õ옹쫔ϧ쓈Õ≰ധϧ왘Õ老푌Ϧ쏴Õ卌砚퍃썜Õ⤸﫛ϧ쏬Õ큢ូϧ예Õ老쌓ઍϧ䵨羐櫏ǵ怀矐櫋   䈠則媠怀꟰˰怀變櫃䜠偎呚䵕₠呚䵕࡯ﻷ鿿呚䵕呚䵕Ը赹ꤜ赹ꅴ蟌老᡿ﻰ퍞ꊘ蟌ᵜ戢퍞뗠蟐笳疴퍃ꖬ蟌ꜳ剪퍟ꍜ蟌老ѓ唹퍟荵老阙碹퍃ई蟍흩쟚퍇ꅀ蟌䬨㚞퍟ꎄ蟌老땆⫼퍟꓌蟌핒⬾퍟烘蟍쵳뎞퍞ꘀ蟌騟劏퍟뷬證퍩뙐證ᘑ⿳퍩땤證☜咄퍩댐證老뤖韦퍩봬證篖퍩뚸證㼜竷퍩譊눀귺퍩뛐證␾헟퍩뱐證蘢箿퍩䖱ĀސmMacintosh HD ‎» Users ‎» gsun20 ‎» Downloads ‎» autopipeline-benchmarks-main ‎» commercial-pipelines ‎» a05_1뮴蝿老睘崣퍛녔蛠⡇ᖣ퍚ﻐ蛨老夯ᔤ퍚竼荵ፅ碇퍃挤Æ阑ཙϧ넼蛠老딚ᕉ퍚뮨蝿啽㰊퍏녈蛠老瀪ᓻ퍚ᡰ螀茮ۭ퍚蛛老敏杮퍛灀蛡霑魤퍏潘蛡걡鮂퍏녔蛠ḷᖣ퍚뮴蝿老䵟崣퍛ﻐ蛨老扁ᔤ퍚竼荵老踧碇퍃佈蛤⯨퍓넼蛠老ꀸᕉ퍚뮨蝿老Ļ㰊퍏녈蛠老䡮ᓻ퍚灌蛡老㥸퍏ᡰ螀老㍊ۭ퍚蛛杮퍛ꄰჇﵵ먡퍗ᕔ菎넢遀퍃횈莼餾슑퍃ꉴ莺鄲퍃ꕼ莺ቔꌓ퍃ᭈ莼老Ⰳ퍃莺老㴗ꀊ퍃좤莺퍃뭼莺荫瞉퍃눠莺老쭔쇩퍃뀤莺쌜鞺퍃ꈠ莺⬨込퍃✼莿老꼼駯퍃ꙴ莺ज़衰퍃䵨ⷠ貃솰ǳ怀አ貃   䈠則媠怀ឰ˴怀⻐貇䜠偎呚䵕₠呚䵕ůﻷ鿿呚䵕呚䵕Ը赹ꤜ赹䖱ĀސmMacintosh HD ‎» Users ‎» gsun20 ‎» Downloads ‎» autopipeline-benchmarks-main ‎» commercial-pipelines ‎» a04_1䵨ꐠᑧ頰Ƿ怀㛠   䈠則媠怀뗐˭怀䣠䜠偎呚䵕₠呚䵕ｯﻶ鿿呚䵕呚䵕Ը赹ꤜ赹䵨솠繀鞠Ǵ怀訐繈   䈠則媠怀㱀˩怀洐測䜠偎呚䵕₠呚䵕﹯ﻶ鿿呚䵕呚䵕Ը赹ꤜ赹䵨Ꝑ銐Ƿ怀폐   䈠則媠怀㻰˯怀遰䜠偎呚䵕₠呚䵕ﵯﻶ鿿呚䵕呚䵕Ը赹ꤜ赹뮴蝿老줈崣퍛㴨荵腱瘣퍃녔蛠老섂ᖣ퍚ﻐ蛨老党ᔤ퍚竼荵老䠱碇퍃넼蛠꜏ᕉ퍚뮨蝿老른㰊퍏녈蛠ᓻ퍚ᡰ螀ۭ퍚蛛老섄杮퍛錀贆뽩癑퍲胼荵ꑊ瞡퍃的荵똜瘣퍃錘贆ꅿ퍱贐荵뜧瘵퍃鋰贆老쉆燚퍲掄荵吘眊퍃鋸贆老尳ோ퍳錐贆쬦蘜퍲錈贆老﬛౞퍳Ԁ筸⯯0䵨剀鹠Ƿ怀奐掝   䈠則媠怀㯀˯怀髐䜠偎呚䵕₠呚䵕說ﻶ鿿呚䵕呚䵕Ը赹ꤜ赹用ӎ老逸먡퍗灀蛡老褍魤퍏潘蛡老ﱻ鮂퍏녔蛠琴ᖣ퍚ﻐ蛨老䀱ᔤ퍚竼荵老䭃碇퍃佈蛤老需⯨퍓넼蛠老ْᕉ퍚뮨蝿老穭㰊퍏녈蛠老ꔏᓻ퍚灌蛡老젟퍏ᡰ螀⹋ۭ퍚蛛老䬨杮퍛뮴蝿Ԁ崣퍛䵨베掖肐Ƿ怀   䈠則媠怀벐ˢ怀ꖰ䜠偎呚䵕₠呚䵕ﻶ鿿呚䵕呚䵕Ը赹ꤜ赹䵨蒀Ƿ怀뾠   䈠則媠怀ˤ怀ሰ䜠偎呚䵕₠呚䵕ﻶ鿿呚䵕呚䵕Ը赹ꤜ赹Author䵨掑酰Ƿ怀   䈠則媠怀䡠ˡ怀䜠偎呚䵕₠呚䵕ﻶ鿿呚䵕呚䵕Ը赹ꤜ赹&#10;Failed-syntaxowledgeet5!B$1:AA$613,25,FALSE)ഀ筸⯯߻Author쓨荵老刜瞲퍃딐荵老됲眅퍃鍄荵老윭瞉퍃폼荵眚퍃ƈ菀癭퍃运贆孨᫠퍆胼荵老礑瞡퍃迀贆老虍꼒퍲的荵〩瘣퍃赘贆老栿疴퍃还贆老襕鰈퍆迨贆老ፋ这퍆貴贆老镙眊퍃述贆ᴌᏎ퍄迠贆老⍉퍅迈贆⼺ᗯ퍳怀怀怀婢怀怀怀怀怀怀怀怀怀怀怀횀怀힠怀툀怀胼荵퀿瞡퍃臰贆老퀃틢퍲的荵瘣퍃萤贆老။疴퍃贐荵瘵퍃螀贆老퐐羘퍲苀贆꘡瞉퍃蝠贆老蜄砚퍃蝰贆꽰퍅࿼趨ꦰ퍨碬趪老䄽疴퍃隆趧큦眊퍃稠趪老缉උ퍴﨨趧睦ᭊ퍜亐蒱䙘辋퍅ᑀ趨老響퍃㍸п㡐У胐ɣ怀뇐ɣ怀鹰l怀㍸п흐̵怀훐̵怀虀ǐ怀ퟐ̵怀ꑰϚ怀̵怀힐̵怀䵨쫀냰Ƿ怀좠   䈠則媠怀薠˷怀흰䜠偎呚䵕₠呚䵕ﻶ鿿呚䵕呚䵕Ը赹ꤜ赹㍸п螀М@㍸п!㍸п!㍸п!㍸п!㍸п䵨ﱀ繈⺰Ƿ怀＀暔   䈠則媠怀ݰ˫怀繈䜠偎呚䵕₠呚䵕ﻶ鿿呚䵕呚䵕Ը赹ꤜ赹䵨鶠殪꽀Ƿ怀연殪   䈠則媠怀㯠˩怀鮰殪䜠偎呚䵕₠呚䵕ﻶ鿿呚䵕呚䵕Ը赹ꤜ赹䵨靠渮Ƿ怀ᷰ暑   䈠則媠怀ⷠ˪怀镰渮䜠偎呚䵕₠呚䵕ﻶ鿿呚䵕呚䵕Ը赹ꤜ赹䵨᭐漎඀ǲ怀ᗐ漎   䈠則媠怀㬐˲怀៰漎䜠偎呚䵕₠呚䵕ﻶ鿿呚䵕呚䵕Ը赹ꤜ赹䵨薠Ƿ怀맠   䈠則媠怀涰ˤ怀᧡䜠偎呚䵕₠呚䵕ﻶ鿿呚䵕呚䵕Ը赹ꤜ赹䵨弐᧠黰Ƿ怀貐   䈠則媠怀ꆀ˭怀餠᧭䜠偎呚䵕₠呚䵕ﻶ鿿呚䵕呚䵕Ը赹ꤜ赹е 4　⨗еྠ䵨깐艀Ƿ怀鑐   䈠則媠怀淰ˤ怀㭀掗䜠偎呚䵕₠呚䵕ﻶ鿿呚䵕呚䵕Ը赹ꤜ赹䵨ꄰǷ怀児ᑠ   䈠則媠怀꬐˭怀䌠ᑠ䜠偎呚䵕₠呚䵕ﻶ鿿呚䵕呚䵕Ը赹ꤜ赹䵨掝ꀐǷ怀   䈠則媠怀㇐˯怀䑠殠䜠偎呚䵕₠呚䵕ﻶ鿿呚䵕呚䵕Ը赹ꤜ赹㍸пꈈТꮧ㊪놻㲰놻㲰⇐ĉ怀㍸п㍸п䵨嬠掙鈀Ƿ怀嶰掞   䈠則媠怀浀ˤ怀굠䜠偎呚䵕₠呚䵕ﻶ鿿呚䵕呚䵕Ը赹ꤜ赹25et5!B$1:AA$613䵨渨Ƿ怀泐   䈠則媠怀ޠ˪怀᪐暑䜠偎呚䵕₠呚䵕ﻶ鿿呚䵕呚䵕Ը赹ꤜ赹䵨墀᧠遐Ƿ怀䚠掙   䈠則媠怀춐˭怀筠掗䜠偎呚䵕₠呚䵕ﻶ鿿呚䵕呚䵕Ը赹ꤜ赹䵨㍰貉ǡ怀ⷰ貉   䈠則媠怀㒠˯怀【貉䜠偎呚䵕₠呚䵕ﻶ鿿呚䵕呚䵕Ը赹ꤜ赹䵨꟰Ƿ怀鏰   䈠則媠怀饰˷怀Ꮀ䜠偎呚䵕₠呚䵕ﻶ鿿呚䵕呚䵕Ը赹ꤜ赹䵨掗ꐀǷ怀휰   䈠則媠怀ˮ怀ꌠ䜠偎呚䵕₠呚䵕흯ﻶ鿿呚䵕呚䵕Ը赹ꤜ赹䵨㉠掗镠Ƿ怀껐   䈠則媠怀뿰˭怀㛐掗䜠偎呚䵕₠呚䵕홯ﻶ鿿呚䵕呚䵕Ը赹ꤜ赹䵨掕ꍰǷ怀쀰掛   䈠則媠怀ƀ˧怀䜠偎呚䵕₠呚䵕핯ﻶ鿿呚䵕呚䵕Ը赹ꤜ赹ៀ䵀ʽ怀䀀Ð怀癳g̀ﾐ˴怀ﾘ˴怀ﾘ˴怀⭸ĉ怀⮐ĉ怀䀴䀴䀴䀴䵨龀Ƿ怀䊰   䈠則媠怀᷐˯怀澠䜠偎呚䵕₠呚䵕퍯ﻶ鿿呚䵕呚䵕Ը赹ꤜ赹㍸п饐Є끘⩐끠ʷ怀㍸п鸸ψ净ࣗĀ麚ψ净ࣗĀ㍸п&#10;禐Ó怀㍸п䵨贠鞠Ƿ怀雠   䈠則媠怀裐˭怀迀掖䜠偎呚䵕₠呚䵕텯ﻶ鿿呚䵕呚䵕Ը赹ꤜ赹⼀筸⯯@䵨渮Ƿ怀袰   䈠則媠怀ॐ˪怀晐䜠偎呚䵕₠呚䵕콯ﻶ鿿呚䵕呚䵕Ը赹ꤜ赹䵨ी譀Ƿ怀᭠᧭   䈠則媠怀꽰˷怀ര䜠偎呚䵕₠呚䵕칯ﻶ鿿呚䵕呚䵕Ը赹ꤜ赹䵨፰ঐǷ怀ꝰ繆   䈠則媠怀扰˴怀ቀ渭䜠偎呚䵕₠呚䵕쵯ﻶ鿿呚䵕呚䵕Ը赹ꤜ赹᧬蛜老畚鲠퍈ᯠ蛜老⩞뵒퍏ᩤ蛜老摞僣퍎길蛴老茡෶퍐韠蒱晙ᔗ퍄Ӵ蛡¨퍘帴蛩ȏ儊퍎灌蛟老ࠃ਋퍍蒮먪씠퍉澔蛟老㌛㈿퍏嶼蛩걞퍉掴蛻⩠퍙掼蛻老ȶϡ퍞掬蛻뼴⬤퍙ᫌ螀權疴퍃錜荵老㵢癉퍃掄荵老艙眊퍃雴蜃老ὺ癎퍃揄蛻故̮퍞掤蛻老蝛퍜요蛢老％碲퍃牨蛣煀迴퍉ɤ蛿뼹疴퍃욤蛢⭙疧퍃䁬蝜㜗퍒ɘ蛿老昈粨퍄쁐蛢老ᐨ眊퍃큐蛢老嬒ﻋ퍃욌蛢老൫逝퍉䵨႐鑀Ƿ怀쉰殠   䈠則媠怀櫐ˤ怀愠渻䜠偎呚䵕₠呚䵕졯ﻶ鿿呚䵕呚䵕Ը赹ꤜ赹䵨婢掚覐Ƿ怀㵀   䈠則媠怀祀ˠ怀ᴀ䜠偎呚䵕₠呚䵕읯ﻶ鿿呚䵕呚䵕Ը赹ꤜ赹5䵨匀ꨰǷ怀竐   䈠則媠怀괠˷怀럠䜠偎呚䵕₠呚䵕앯ﻶ鿿呚䵕呚䵕Ը赹ꤜ赹㏈ꪨ丳￼묘ﷵ鿿ꩰ丳￼迀죈꨸丳￼邰좨轐䵨嚐殠耀Ƿ怀߰   䈠則媠怀퍰˥怀䜠偎呚䵕₠呚䵕썯ﻶ鿿呚䵕呚䵕Ը赹ꤜ赹䵨㷀替ǲ怀㡀替   䈠則媠怀䈀˵怀㩠替䜠偎呚䵕₠呚䵕쉯ﻶ鿿呚䵕呚䵕Ը赹ꤜ赹䵨霰菰Ƿ怀䡐   䈠則媠怀馀˦怀栠䜠偎呚䵕₠呚䵕셯ﻶ鿿呚䵕呚䵕Ը赹ꤜ赹㼀筸⯯䵨믐繁蒀Ƕ怀늀港   䈠則媠怀颐ˮ怀⢀䜠偎呚䵕₠呚䵕뽯ﻶ鿿呚䵕呚䵕Ը赹ꤜ赹ꈤ蜷老ਔꛑ퍘ꈴ蜷峂퍗ꅴ蜷썵柲퍛ꎜ蜷老㬤玤퍛ꎌ蜷老樂櫄퍘ꆄ蜷橫挈퍔ꈔ蜷老率暻퍘꣈蜷筗멋퍝Ꞩ蜷몁퍝麰蜷䞽퍘ꁄ蜷老㘟弢퍛꒰蜷됪 퍘䵨볐渡ᾀǶ怀띐渡   䈠則媠怀굠˴怀륰渡䜠偎呚䵕₠呚䵕뵯ﻶ鿿呚䵕呚䵕Ը赹ꤜ赹䵨꾰Ƿ怀䪰暑   䈠則媠怀˨怀䜠偎呚䵕₠呚䵕뱯ﻶ鿿呚䵕呚䵕Ը赹ꤜ赹䵨䌐掗霐Ƿ怀撰   䈠則媠怀배˭怀㟐掛䜠偎呚䵕₠呚䵕뭯ﻶ鿿呚䵕呚䵕Ը赹ꤜ赹䵨쇐驰Ƿ怀憀   䈠則媠怀帠˭怀ㇰ䜠偎呚䵕₠呚䵕멯ﻶ鿿呚䵕呚䵕Ը赹ꤜ赹䵨捠繅ꛐǴ怀詠渮   䈠則媠怀ᜐ˷怀港䜠偎呚䵕₠呚䵕륯ﻶ鿿呚䵕呚䵕Ը赹ꤜ赹ᴀ荵렏쭀͙怀쫄荵老ꑌ痁퍃㴨荵伴瘣퍃规荵老笄硳퍃딐荵老친眅퍃臠荵老䅺磨퍃竼荵ਨ碇퍃蒮老ꩡ퍇핤蛛老琺퍗ᴀ荵老㡷隌퍇蒮老笍膬퍉鏄荵老∖碞퍃䵨耀Ƿ怀潀渠   䈠則媠怀슰˨怀縐䜠偎呚䵕₠呚䵕띯ﻶ鿿呚䵕呚䵕Ը赹ꤜ赹礀͘怀ὀͫ怀㇀Ι怀䶀ͮ怀簀̠怀捀͙怀䵨娠温꒐Ǵ怀だ   䈠則媠怀Ⱀ˷怀ᶠ䜠偎呚䵕₠呚䵕땯ﻶ鿿呚䵕呚䵕Ը赹ꤜ赹䵨ｐ繀ꙀǴ怀仠港   䈠則媠怀඀˷怀쨐繇䜠偎呚䵕₠呚䵕둯ﻶ鿿呚䵕呚䵕Ը赹ꤜ赹蜣老㌎⋠퍍鿌蜀줒瓱퍙蛽硼쭥퍍蜣老鑳ℓ퍏橬荵老텟眅퍃⫬蛴ӥ퍍痐荵Ꙃ瞉퍃✘蛴婲虹퍃⠠蛴턞汫퍓῔蛜老걱賬퍑蜉ᕖᅎ퍛䵨㴰渮ǩ怀☰渮   䈠則媠怀줰˴怀㧐渮䜠偎呚䵕₠呚䵕뉯ﻶ鿿呚䵕呚䵕Ը赹ꤜ赹䵨൰槭㮠ǰ怀܀槭   䈠則媠怀ꈀ˩怀ਐ槭䜠偎呚䵕₠呚䵕녯ﻶ鿿呚䵕呚䵕Ը赹ꤜ赹䵨ዠ渮싐ǩ怀渭   䈠則媠怀준˴怀ྀ渮䜠偎呚䵕₠呚䵕끯ﻶ鿿呚䵕呚䵕Ը赹ꤜ赹䵨㻐繄藺Ƿ怀㥐繄   䈠則媠怀絀˥怀㭰繄䜠偎呚䵕₠呚䵕꽯ﻶ鿿呚䵕呚䵕Ը赹ꤜ赹䵨曻ذǵ怀曻   䈠則媠怀ᴰ˵怀曻䜠偎呚䵕₠呚䵕깯ﻶ鿿呚䵕呚䵕Ը赹ꤜ赹䵨髠渡ਠǶ怀渧   䈠則媠怀뭐˴怀譐渧䜠偎呚䵕₠呚䵕굯ﻶ鿿呚䵕呚䵕Ը赹ꤜ赹琠謰ᑬⳐ஡ἰ᧵䧐ጂ⁀掖䵨풠渧ᅰǶ怀켠渧   䈠則媠怀뎐˴怀텀渧䜠偎呚䵕₠呚䵕꭯ﻶ鿿呚䵕呚䵕Ը赹ꤜ赹䵨헐曹ːǵ怀큐曹   䈠則媠怀⛰˵怀퉰曹䜠偎呚䵕₠呚䵕ꩯﻶ鿿呚䵕呚䵕Ը赹ꤜ赹ᴀ荵老ꤠᧀ퍄枠萞老뀝뺑퍄曘萞老ṇ網퍅仐萙老Ｒ疴퍃猄萞堦읨퍃榌萞老繕໇퍅擌萞ፅ睈퍄梀萞老ꉌ㧈퍅猔萞老씏蝛퍃棐萞老꜐㦿퍅챰蛝老ᕱ퍚鶰蛝⠉葃퍜껄蛲捕疴퍃ஔ蛲汆ﲪ퍙뇰蛝㍐ᳪ퍘譔蛝╚퍄讜蛝老퍙즼蛝í퍞싈蛝老Ꙗើ퍛눌蛝衞擾퍇䵨۠繄﬐Ƿ怀퀰繁   䈠則媠怀堰˩怀΀繄䜠偎呚䵕₠呚䵕ꝯﻶ鿿呚䵕呚䵕Ը赹ꤜ赹䵨⃠繄ﮠǷ怀᭠繄   䈠則媠怀딐ˢ怀ᶀ繄䜠偎呚䵕₠呚䵕꙯ﻶ鿿呚䵕呚䵕Ը赹ꤜ赹䵨אּ渦‐Ƕ怀渦   䈠則媠怀뚠˴怀渦䜠偎呚䵕₠呚䵕ꕯﻶ鿿呚䵕呚䵕Ը赹ꤜ赹䵨儀渡ݐǶ怀䮀渡   䈠則媠怀븰˴怀䶠渡䜠偎呚䵕₠呚䵕ꑯﻶ鿿呚䵕呚䵕Ը赹ꤜ赹䵨渭䝐ǩ怀渭   䈠則媠怀˴怀渭䜠偎呚䵕₠呚䵕ꍯﻶ鿿呚䵕呚䵕Ը赹ꤜ赹䵨ቐ┠Ǧ怀됀   䈠則媠怀䚀˪怀侀温䜠偎呚䵕₠呚䵕ꉯﻶ鿿呚䵕呚䵕Ը赹ꤜ赹䵨䙐綿Ǵ怀ؠ綺   䈠則媠怀䫐˲怀䋰綿䜠偎呚䵕₠呚䵕ꅯﻶ鿿呚䵕呚䵕Ը赹ꤜ赹䵨펰港Ƿ怀趐渮   䈠則媠怀꿀˴怀グ䜠偎呚䵕₠呚䵕ꁯﻶ鿿呚䵕呚䵕Ը赹ꤜ赹䵨蠐繂Ƿ怀씰繀   䈠則媠怀폐˫怀ꏀ繀䜠偎呚䵕₠呚䵕齯ﻶ鿿呚䵕呚䵕Ը赹ꤜ赹䵨䁰놀ǩ怀龠   䈠則媠怀ݐˣ怀뻀䜠偎呚䵕₠呚䵕鹯ﻶ鿿呚䵕呚䵕Ը赹ꤜ赹䵨結港Ƿ怀㗠港   䈠則媠怀됰˴怀笠䜠偎呚䵕₠呚䵕鵯ﻶ鿿呚䵕呚䵕Ը赹ꤜ赹䵨懀渤ꔠǴ怀ᾐ   䈠則媠怀㣐˷怀꾰䜠偎呚䵕₠呚䵕鱯ﻶ鿿呚䵕呚䵕Ը赹ꤜ赹䵨錠渮Ƿ怀඀   䈠則媠怀냐˴怀ᩀ䜠偎呚䵕₠呚䵕魯ﻶ鿿呚䵕呚䵕Ը赹ꤜ赹䵨Ð港Ƿ怀ﭐ渮   䈠則媠怀뗀˭怀ﵰ渮䜠偎呚䵕₠呚䵕驯ﻶ鿿呚䵕呚䵕Ը赹ꤜ赹䵨⥐繈ꝠǴ怀港   䈠則媠怀ې˷怀ﭐ港䜠偎呚䵕₠呚䵕饯ﻶ鿿呚䵕呚䵕Ը赹ꤜ赹䵨㯠繃쀀Ƿ怀쮠繀   䈠則媠怀듀˴怀탠䜠偎呚䵕₠呚䵕顯ﻶ鿿呚䵕呚䵕Ը赹ꤜ赹䵨둀繁Ƿ怀繀   䈠則媠怀ꮠ˴怀릐䜠偎呚䵕₠呚䵕靯ﻶ鿿呚䵕呚䵕Ը赹ꤜ赹䵨몀Ƿ怀崐   䈠則媠怀˴怀᳀港䜠偎呚䵕₠呚䵕陯ﻶ鿿呚䵕呚䵕Ը赹ꤜ赹䵨港ꖰǴ怀ꉐ   䈠則媠怀ീ˷怀猀䜠偎呚䵕₠呚䵕镯ﻶ鿿呚䵕呚䵕Ը赹ꤜ赹䵨ඐǷ怀짐繁   䈠則媠怀˴怀怰繃䜠偎呚䵕₠呚䵕鑯ﻶ鿿呚䵕呚䵕Ը赹ꤜ赹䵨买渮ǩ怀䣰渮   䈠則媠怀˴怀䬐渮䜠偎呚䵕₠呚䵕鍯ﻶ鿿呚䵕呚䵕Ը赹ꤜ赹䵨扰渮ǩ怀峰渮   䈠則媠怀˴怀弐渮䜠偎呚䵕₠呚䵕鉯ﻶ鿿呚䵕呚䵕Ը赹ꤜ赹䵨Ɛ渮ǩ怀ﰐ渭   䈠則媠怀˴怀︰渭䜠偎呚䵕₠呚䵕酯ﻶ鿿呚䵕呚䵕Ը赹ꤜ赹䵨䌰港Ƿ怀攰港   䈠則媠怀뷠˭怀材港䜠偎呚䵕₠呚䵕遯ﻶ鿿呚䵕呚䵕Ը赹ꤜ赹ϭŚƚŝǁ;ƉŵWǇĂƌĐϮĚŶƵŽZǆĞKD'zůŐͺ/^΁ď͕ƐΖ΀Ϳdǀǌ͘Ƌϳ&amp;ϲŬϬϱĨ&gt;ϯs&lt;ͬhE,͊ΎхͲϴ䵨逰繀Ƿ怀紀繀   䈠則媠怀론˴怀ﲀ䜠偎呚䵕₠呚䵕蹯ﻶ鿿呚䵕呚䵕Ը赹ꤜ赹䵨⇰渮ǩ怀ᱰ渮   䈠則媠怀˴怀Ẑ渮䜠偎呚䵕₠呚䵕赯ﻶ鿿呚䵕呚䵕Ը赹ꤜ赹䵨䱀繄Ƿ怀䛀繄   䈠則媠怀˩怀䣠繄䜠偎呚䵕₠呚䵕豯ﻶ鿿呚䵕呚䵕Ը赹ꤜ赹䵨판渭だǩ怀牀渠   䈠則媠怀˴怀쾰渭䜠偎呚䵕₠呚䵕譯ﻶ鿿呚䵕呚䵕Ը赹ꤜ赹⦀ހ산耀㿰㿰䁆က삇䊐䀀䊐䀀㿰㿰䁆က삇䀀䀀䁆က삇⭀Δ怀鳐ᗀΔ怀￼䵨譀槣ᩰǰ怀藀槣   䈠則媠怀᱀˲怀蟠槣䜠偎呚䵕₠呚䵕襯ﻶ鿿呚䵕呚䵕Ը赹ꤜ赹䵨渭ǩ怀渭   䈠則媠怀퐐˴怀渭䜠偎呚䵕₠呚䵕衯ﻶ鿿呚䵕呚䵕Ը赹ꤜ赹䵨䗰渮Ƿ怀Ð   䈠則媠怀ᩀ˫怀얐䜠偎呚䵕₠呚䵕蝯ﻶ鿿呚䵕呚䵕Ը赹ꤜ赹䵨뜀繂幠Ǩ怀弐繂   䈠則媠怀ﷰ˶怀愰繂䜠偎呚䵕₠呚䵕虯ﻶ鿿呚䵕呚䵕Ը赹ꤜ赹䵨걐渡ưǶ怀ꊠ渡   䈠則媠怀鞰˴怀꣰渡䜠偎呚䵕₠呚䵕蕯ﻶ鿿呚䵕呚䵕Ը赹ꤜ赹䵨港쒀Ƕ怀Ǡ渭   䈠則媠怀䫰ˠ怀졐䜠偎呚䵕₠呚䵕葯ﻶ鿿呚䵕呚䵕Ը赹ꤜ赹䵨毰測변ǩ怀봰暘   䈠則媠怀ˠ怀㸀䜠偎呚䵕₠呚䵕药ﻶ鿿呚䵕呚䵕Ը赹ꤜ赹䵨嵰渠撐Ƕ怀埰渠   䈠則媠怀˴怀娐渠䜠偎呚䵕₠呚䵕良ﻶ鿿呚䵕呚䵕Ը赹ꤜ赹䵨技繁Ƿ怀럀繃   䈠則媠怀˨怀悐繁䜠偎呚䵕₠呚䵕腯ﻶ鿿呚䵕呚䵕Ը赹ꤜ赹䵨ꪀ繇꟰Ǵ怀혐繈   䈠則媠怀Ꭰ˷怀溠港䜠偎呚䵕₠呚䵕聯ﻶ鿿呚䵕呚䵕Ը赹ꤜ赹䵨Ự᧺䆰ǲ怀鞀᧵   䈠則媠怀돠ˤ怀ᴀ᧺䜠偎呚䵕₠呚䵕罯ﻶ鿿呚䵕呚䵕Ը赹ꤜ赹䵨䩠ᬞ嗰Ǫ怀ᬝ   䈠則媠怀㋰˵怀駰搀䜠偎呚䵕₠呚䵕繯ﻶ鿿呚䵕呚䵕Ը赹ꤜ赹Macintosh HD ‎» Users ‎» gsun20 ‎» Desktop ‎» projects ‎» autopipeline-benchmarks-main ‎» github-pipelines ‎» length9_41䵨䕠᧾劐ǲ怀⒐᧻   䈠則媠怀ꍠˤ怀袠᧾䜠偎呚䵕₠呚䵕籯ﻶ鿿呚䵕呚䵕Ը赹ꤜ赹9Microsoft.Office.Excel.UpdateConnectionOnlyQueryOnRefreshGeneric蘀筸⯯ ㍸п㡐У⃐ʹ怀ᥰʹ怀귐怀㍸п敐ʹ怀桐ʹ怀虀ǐ怀旐ʹ怀ઐϧ怀暐ʹ怀擐ʹ怀蠀筸⯯܌赆老挝䤠퍳赅ﴽਂ퍛ꐘ赅老㕣牲퍳Մ赆老矜퍳ಸ赆砷睚퍳赅꡺䍛퍳ꉬ赅㜲䤋퍳棄赧셭纜퍳Ȉ赆ⅷ睾퍳䵨靐槣ᠰǰ怀釐槣   䈠則媠怀Ⲡ˲怀鏰槣䜠偎呚䵕₠呚䵕畯ﻶ鿿呚䵕呚䵕Ը赹ꤜ赹ˈ婐ꁉ쀱殁ᘮ卼併䴸,,谠ᒘ谠ᒘ虠ʂ怀⡖Ʒ怀呚䵕₠呚䵕瑿ﻶ鿿呚䵕呚䵕乄䍏耀䵨鯀ᬘ涐Ǫ怀㏰ᬔ   䈠則媠怀㖰˵怀覠ᬞ䜠偎呚䵕₠呚䵕獯ﻶ鿿呚䵕呚䵕Ը赹ꤜ赹CS::ashar236@sundevils.asu.edu::b455b38d-9bbc-4afe-9b2d-22e62aa05ef2䵨"/>
        <Anchor>
          <Comment id="{AE306B4E-E2E8-F944-8BC3-90BBD950787A}"/>
        </Anchor>
        <Assign userId="筤⯯&amp;筤⯯)筤⯯$ៀᵀʰ怀成Î怀癳g̀Ꙑ˫怀Ꙙ˫怀Ꙙ˫怀ĕ怀ĕ怀䀰䀰䀰䀰筤⯯*筤⯯߻᱀ҿ瑣牯耐㠔蜸ǠĲ怀耀㠔背㠔à譌㠔ɀ롌㠔ɉ⼠㠕*ば㠕よ㠕Ր嬈㠕㿌高㠖髸㠖汐⬠ρ怀⭐ρ怀⭐ρ怀᱀ҿ瑣牯耐㠔蜸ǠĲ怀耀㠔背㠔à譌㠔ɀ롌㠔ɉ⼠㠕*ば㠕よ㠕Ր嬈㠕㿌高㠖髸㠖汐˪怀˪怀˪怀筤⯯+樜螆老ᬾ佰퍕林蜊㈌ぢ퍝蜊老褺ස퍔撸蜍剂疴퍃旐螆慨践퍛蜊老騈퍐掄荵老虮眊퍃蜊㴲踫퍛渜螆䬌豫퍛ꈜ蜉老զ貿퍛᱀ҿ瑣牯耐㠔蜸ǠĲ怀耀㠔背㠔à譌㠔ɀ롌㠔ɉ⼠㠕*ば㠕よ㠕Ր嬈㠕㿌高㠖髸㠖汐˪怀˪怀˪怀筤⯯:筤⯯7筤⯯-筤⯯6蒳⼯䭐퍉㱀蒵虜箖퍃ꓼ蒳鴬㢇퍉⁐蒴稕注퍉㐔蒹砺쭺퍃ꊜ蒲老݃筊퍃艔蒮Ꝋ䠋퍉ꌈ蒲굚禭퍃례蒳老ᝲ笯퍃᱀ҿ瑣牯耐㠔蜸ǠĲ怀耀㠔背㠔à譌㠔ɀ롌㠔ɉ⼠㠕*ば㠕よ㠕Ր嬈㠕㿌高㠖髸㠖汐˪怀˪怀˪怀豈筤⯯5Љê吀礀瀀攀昀愀挀攀 ꤀ ㄀㤀㤀㈀ 匀琀瀀栀攀渀猀漀渀 䈀氀愀欀攀 ⠀䠀漀氀搀椀渀最猀⤀ 䰀琀搀⸀ 䐀愀琀愀 ꤀ ㄀㤀㤀㈀ 唀刀圀⸀ 倀漀爀琀椀漀渀猀 ꤀ ㄀㤀㤀㈀ 䴀椀挀爀漀猀漀昀琀 䌀漀爀瀀⸀ 䄀氀氀 爀椀最栀琀猀 爀攀猀攀爀瘀攀搀⸀ꂄ菎奮皲퍃㧜荵ܞ疴퍃쌠荷魲盕퍃蒲몉퍄獌蒯謻쭺퍃掄荵둘眊퍃Ꚕ蒳老獩낫퍃씀莽⁓矝퍃蒲老鹎솏퍈᱀ҿ瑣牯耐㠔蜸ǠĲ怀耀㠔背㠔à譌㠔ɀ롌㠔ɉ⼠㠕*ば㠕よ㠕Ր嬈㠕㿌高㠖髸㠖汐讠ʊ怀许ʊ怀许ʊ怀ꡬྛ老쐲ᧀ퍄岜ྜྷꅤ퍄䌐ྜ│ꜳᅴ㧜荵老뭢疴퍃ꢀྛꔽ뮵ᅸ舸ྜྷ젤蝛퍃ꮠྛ鬙ᐹᅹꭌྛ老ု볹ஂ࿦老ꍖ㓫퍡ꭔྛ老筁ࣛ핿꺸ྛ老ຜᅹ࿦圳밭ᅸ꼠ྛ崵岠ᅻ᱀ҿ瑣牯耐㠔蜸ǠĲ怀耀㠔背㠔à譌㠔ɀ롌㠔ɉ⼠㠕*ば㠕よ㠕Ր嬈㠕㿌高㠖髸㠖汐˪怀˪怀˪怀᱀ҿ˝瑣牯耐䀎洫ǠĲ怀耀䀎背䀎Ę跬䀎ł꜔䀎ł䀎$䀎䀎ʖ﹨䀎븐뱸䀏벘䀏ィ遠ʽ怀邀ʽ怀邀ʽ怀㰤ꂄ老됞폺⼨ꂅ欮㩤퍳老쵊疴퍃Ὤꂅ老孧쵥퍲ᴀ荵老䘺蝛퍃老‭번할䜘ꂄ老攘簌퍃὘ꂅⵇ쭼퍲䀤ꂄ桉폺霩뮼할老ꄇ뚟할䵨⯠曺챠ǲ怀ೠ揯   䈠則媠怀Ạ˴怀Ꞡ曶䜠偎呚䵕₠呚䵕﹯ﻩ鿿呚䵕呚䵕Ը赹ꤜ赹甸蒹老乜ᶀ퍄瑈蒹老偗퍉ᴀ荵앪퍙畀蒹⴦놣퍉組蒹老空疴퍃田蒹ᡚꓦ퍈書蒹鉵慹퍉琴蒹当聰퍆用蒹老萱퍆䵨ꛀ掙Ǫ怀ꅀ掙  @䅙䝒鬀怀˴怀ꍠ掙䜠偎呚䵕₠呚䵕ﱯﻩ鿿呚䵕呚䵕Ը赹ꤜ赹ankita sharma (Student)'s OneDrive - Arizona State University ‏» ‎‎personal ‏» ‎‎ashar236_sundevils_asu_edu ‏» ‎‎Documentsankita sharma (Student)'s OneDrive - Arizona State University ‏» ‎‎personal ‏» ‎‎ashar236_sundevils_asu_edu ‏» ‎‎Documentsankita sharma (Student)'s OneDrive - Arizona State University ‏» ‎‎personal ‏» ‎‎ashar236_sundevils_asu_edu ‏» ‎‎Documents䵨鴠掙Ǫ怀鞠掙 䅙䝒鬀怀˴怀駀掙䜠偎呚䵕₠呚䵕ﻩ鿿呚䵕呚䵕Ը赹ꤜ赹䵨贀繀Ƿ怀㩐渭   䈠則媠怀틐ˣ怀渮䜠偎呚䵕₠呚䵕ﻩ鿿呚䵕呚䵕Ը赹ꤜ赹ऀ筧⯯਀筧⯯଀筧⯯ఀ筧⯯ഀ筧⯯뮴蝿褡崣퍛녔蛠Фᖣ퍚㴨荵老瘣퍃ﻐ蛨老ꠊᔤ퍚竼荵老Ḡ碇퍃넼蛠쌢ᕉ퍚뮨蝿᱀㰊퍏녈蛠老籡ᓻ퍚ᡰ螀ഴۭ퍚蛛杮퍛ༀ筧⯯䵨璀温Ƿ怀㿐渮   䈠則媠怀졀ˣ怀港䜠偎呚䵕₠呚䵕ﻩ鿿呚䵕呚䵕Ը赹ꤜ赹ᄀ筧⯯%ሀ筧⯯&amp;w怀w怀w怀w怀視w怀猪w怀軸u怀軠u怀䥈s怀䤰s怀ﱸ{怀ﱠ{怀勨y怀勐y怀ㆈz怀ㅰz怀W怀W怀᐀筧⯯ᔀ筧⯯ᘀ筧⯯ᜀ筧⯯)᠀筧⯯ᤀ筧⯯&#10;ᨀ筧⯯3ᬀ筧⯯䵨①港Ƿ怀䠠港   䈠則媠怀鹠˭怀坐港䜠偎呚䵕₠呚䵕ﻩ鿿呚䵕呚䵕Ը赹ꤜ赹뮴蝿㩏崣퍛녔蛠老祈ᖣ퍚ﻐ蛨젫ᔤ퍚膨蛵老茈䜆퍘竼荵老䕺碇퍃넼蛠ᕉ퍚뮨蝿繯㰊퍏녈蛠ꬬᓻ퍚ᡰ螀老꽷ۭ퍚蛛老杮퍛ᨄၜᧀ퍄ᐔၜ老넃ﳁ헣ጴၜّᅹᝰၜ老ࡀ堓ᅷ㧜荵ݑ疴퍃ᓘၜ老ဖ盵퍤ᦈၜ老ᝈ蝛퍃᝜ၜ老宻ᅸᖘၜ老᝼햓ᎀၜ⼍켾ᅷႄၜ支骠ᅸ䵨䴰繂ԐǷ怀ᠰ渧   䈠則媠怀䯀˴怀䢰繃䜠偎呚䵕₠呚䵕ﻩ鿿呚䵕呚䵕Ը赹ꤜ赹ῄྍ鱖퍆셐ྟ老孮젡퍜ꂄ菎老ᙀ皲퍃샀ྟ䄐ᅷ걀ྦྷɾ疴퍃쌠荷呇盕퍃ꅐྠ老啊쯈ᅻ蚨蒯搌굙퍄밐ྟ쭺퍃䃌ྠ老씯婫ᅹ瘨ྤࢭᅸ씀莽瀇矝퍃ڰྠ老❎砣ᅷ완ྟ老㝩빿ᅻᣄྍ老ḵ펛ཨྎ老핽堢퍝ꂄ菎老皲퍃ႜྍ老屲嫴퐲왔ྟ老摧퐕쌠荷湼盕퍃႔ྍ祥읨퍃蚨蒯老㼴굙퍄봄ྟ老桊쭺퍃곐ྦྷ疴퍃씀莽老屬矝퍃세ྏ老祅펞ῄྍ왜퍆ྤ㍕⼒퍚ྤ匠ﺑ퍃ꂄ菎蠈皲퍃굔ྦྷ콧疴퍃쌠荷老㈓盕퍃蚨蒯爚굙퍄쀴ྟ老쭺퍃씀莽老⁠矝퍃ྤ鼈矞헓ྤ老堢퍝ྤ老珞ﺑ퍃ꂄ菎㵡皲퍃꺤ྦྷ朰疴퍃쌠荷꤀盕퍃ྤ老༚砚퍃蚨蒯甆굙퍄뾤ྟ老쨐쭺퍃씀莽訥矝퍃␀筧⯯5─筧⯯*☀筧⯯✀筧⯯'⠀筧⯯߻⤀筧⯯ၘ老ꉡⳁᅻၘ栎觡펕ၘ老ꤼ푑㧜荵老ﰲ疴퍃ၘ老尲ᅴၘ老서딦ᅴ힘ၘ䭐뾗ᅸၘｆ쥘ᅻၘ老堻犋퍊ၘ老剀蝛퍃ၘ老垞푊ၘ老ｳџᅺ䵨沀貍嗰ǲ怀最貍   䈠則媠怀ࡐ˲怀椠貍䜠偎呚䵕₠呚䵕푯ﻩ鿿呚䵕呚䵕Ը赹ꤜ赹뮴蝿老㍟崣퍛녔蛠戔ᖣ퍚ﻐ蛨老這ᔤ퍚竼荵老甠碇퍃넼蛠老ᕉ퍚뮨蝿老븤㰊퍏녈蛠老ᓻ퍚ᡰ螀老ۭ퍚蛛ꐷ杮퍛䵨㋀繄怒Ƿ怀᮰港   䈠則媠怀苐˨怀⽠繄䜠偎呚䵕₠呚䵕퉯ﻩ鿿呚䵕呚䵕Ը赹ꤜ赹䵨㦐港Ƿ怀ଠ港   䈠則媠怀隀˭怀ീ港䜠偎呚䵕₠呚䵕텯ﻩ鿿呚䵕呚䵕Ը赹ꤜ赹⴬證老⳰퍩㏬證왐ﺑ퍃월譊老脾夂퍝윸譊鐣퍍ⷀ證老툰笅퍜ⶸ證老倘츶퍩얄譊⯶퍩儰證老卅䔜퍩⺀證⹝퍩Ⲕ證老ᴫ⼝퍩挸譓老쨮⯝퍩ⷈ證潥ⳑ퍩Ѡ譋昶夂퍝웰譊老锁鐣퍍谠證ਯ倄퍛᭄證老㹆퍩㗴證깈퍩쓀譊ꝲ鴙퍩᪼證鄢ᢺ퍩ᭌ證䍙㹮퍩톌譊老Ⱄ煎퍘䵨渮Ƿ怀繀   䈠則媠怀쫠ˡ怀渮䜠偎呚䵕₠呚䵕칯ﻩ鿿呚䵕呚䵕Ը赹ꤜ赹㈀筧⯯ྩ老朇疴퍃ཨྎ老逳堢퍝폴ྣ蔂⺤푚ႜྍ老嫴퐲세ྏ老贵펞㐀筧⯯&#10;䵨捰繉㑐Ƿ怀巰繉   䈠則媠怀˪怀怐繉䜠偎呚䵕₠呚䵕쩯ﻩ鿿呚䵕呚䵕Ը赹ꤜ赹䵨囐繉㏀Ƿ怀児繉   䈠則媠怀˪怀印繉䜠偎呚䵕₠呚䵕쥯ﻩ鿿呚䵕呚䵕Ը赹ꤜ赹ᣄྍ펛ῄྍ老湆퍆ꂄ菎䄒皲퍃세ྏ老펞ႜྍ塖嫴퐲쌠荷ॹ盕퍃႔ྍ빀읨퍃蚨蒯ᭊ굙퍄଄ྍ縭쭺퍃씀莽Ⰻ矝퍃讀ྐ⁀疴퍃ཨྎ慱堢퍝뮴蝿쵇崣퍛芴ྥ老ѐ斃ᅻ竼荵老ᵊ碇퍃뮨蝿偼㰊퍏駈ྣ老恬㿋ᅷ蛛老너杮퍛䌼蜃楩퍙뮴蝿老崣퍛竼荵㔙碇퍃뮨蝿級㰊퍏蛛老촶杮퍛䵨㄀港Ƿ怀港   䈠則媠怀退˭怀ⶠ港䜠偎呚䵕₠呚䵕앯ﻩ鿿呚䵕呚䵕Ը赹ꤜ赹끌ྦྷͤᅺ껴ྦྷ老㔠疴퍃㣄ྤ老眊퍃깐蒹老䜹鴋퍉㞔ྤ陌ᅸẐྐ輛ᅻ㝌ྤ☗䵲ᅸܬྐ湓㰲ᅼˀྐ老然苤ᅺࣄྐ老ꄲ矄ᅴᴀ荵老䡏蝛퍃淰ྤ帓疴퍃쾌Ⴍ땩㵌ᅻ᪀ྐ셔詏ᅹ㶨ྤ鼧䂝ᅻ⧼ྐꨘ➞ᅹᨌྐ陙묯ᅺ䵨䨰繉㊠Ƿ怀נ繉   䈠則媠怀˪怀䛐繉䜠偎呚䵕₠呚䵕쉯ﻩ鿿呚䵕呚䵕Ը赹ꤜ赹䃘串￼絀門￵鿿櫸ﰀ鿿贐ﰀ鿿㠰ﰃ鿿糐厘ｺ鿿粐䁨串￼䂠串￼࿐ｚ鿿䵨諀祗Ǿ怀鄐祐   䈠則媠怀ᜐ˵怀蝠祗䜠偎呚䵕₠呚䵕쁯ﻩ鿿呚䵕呚䵕Ը赹ꤜ赹䵨嵠ᒕୀǳ怀ﬀᒒ   䈠則媠怀䧰˳怀孰ᒕ䜠偎呚䵕₠呚䵕뽯ﻩ鿿呚䵕呚䵕Ը赹ꤜ赹뵬菄老᠔砅퍃佘获老癈홃퍃䘬莸老鬵碲퍃曨莸老뗳퍃䞸莸老ㅛ疧퍃菂䈵ꪅ퍃橘莸堣쐖퍃爜荵靖瘗퍃痄荵老矹퍃錜荵ꬌ癉퍃艄莸老死퍃윬Ãｚ샮퍃槬莸鍱뗭퍃㊄莼老鸣癎퍃䵨貉異Ƿ怀浠曾   䈠則媠怀莠˩怀ﲠ貈䜠偎呚䵕₠呚䵕뵯ﻩ鿿呚䵕呚䵕Ը赹ꤜ赹䵨ⅰ搉鎰Ǽ怀ᯰ搉   䈠則媠怀Ґ˱怀Ḑ搉䜠偎呚䵕₠呚䵕뱯ﻩ鿿呚䵕呚䵕Ը赹ꤜ赹䵨ﶠ繋묐Ƿ怀낐繌   䈠則媠怀篰ˠ怀됐繌䜠偎呚䵕₠呚䵕뭯ﻩ鿿呚䵕呚䵕Ը赹ꤜ赹䶅ĀꞀÕ錠ʿ怀耀ᰂ䛀Ɲ怀邀˴怀섀͗怀䀀က䂐䁠쀀䁰怀䁵ꔰ­怀Ā￞㍸п㡐У訰ɣ怀꾰ɣ怀聰l怀㍸п판̵怀탐̵怀虀ǐ怀펐̵怀鋐Ϛ怀폐̵怀퍐̵怀ැၜ뙼죣ᅹ࿰ၜ흙鎄ᅴ㧜荵䨿疴퍃ྰၜㅋ鋷ᅺူၜ猍蝛퍃ဠၜ൩햌퍪౔ၜ㌤됿폢࿌ၜᰙ햓ྠၜ✁妏ᅷ䠀筧⯯&#10;䤀筧⯯!蕜蒱鐗䐡퍉衤蒱疴퍃ꅐ莼䭂퍃ⵄ蒳안ඨ퍊荵老͋碹퍃蚈蒱婣퍃诸蒯愆辋퍅鹀̧怀蹀̧怀薀̧怀鑀̧怀阀̧怀鈀̧怀蓀̧怀销̧怀鍀̧怀鿀̧怀Ꙁ̧怀鳀̧怀麀̧怀豀̧怀謀̧怀蛀̧怀蚀̧怀䵨쁠殫衰Ƕ怀鲠排 䈠則媠怀˴怀핀䜠偎呚䵕₠呚䵕덯ﻩ鿿呚䵕呚䵕Ը赹ꤜ赹㍸п㡐Уߐʰ怀ᇰʰ怀鲐f怀㍸п벐Η怀Η怀虀ǐ怀궐Η怀甠Ȕ怀두Η怀꼐Η怀䶅ĀꞀŢ⥀ɦ怀䀀ሢ였Ɨ怀籠怀⾐ᒕ≀Η怀䁙䁙㿰㿰ࣀ­怀āf㍸п㡐У➐ʰ怀ሰʰ怀꽐f怀㍸п麐Η怀긐Η怀虀ǐ怀뽐Η怀ȕ怀뿐Η怀뜐Η怀㍸п㡐У瞰ɠ怀数ɠ怀߰o怀㍸п흐̨怀̨怀虀ǐ怀쨐̨怀开ϱ怀̨怀쁐̨怀儀筧⯯-检̧怀渀̧怀満̧怀滀̧怀焀̧怀ࡀ̧怀࿀̧怀⁀̧怀⍀̧怀⏀̧怀␀̧怀◀̧怀♀̧怀⚀̧怀❀̧怀⠀̧怀⡀̧怀⣀̧怀⬀̧怀⭀̧怀⮀̧怀Ⰰ̧怀㈀̧怀䵨␀ᒕҀǳ怀İᒕ   䈠則媠怀倐˳怀⠰ᒕ䜠偎呚䵕₠呚䵕걯ﻩ鿿呚䵕呚䵕Ը赹ꤜ赹䵨綾藺Ǵ怀촐綴   䈠則媠怀屠˲怀켰綴䜠偎呚䵕₠呚䵕꭯ﻩ鿿呚䵕呚䵕Ը赹ꤜ赹ͪ?ˏέˁ̟x־ʡ˄͘ɉĄʗͻ͓čկʍµ̘̬Χøêՙι2՘ʈˠ́7Ԗ֙υ·¹cHoԠԟԛî֗ζ˹ªԘԗԔׂՕլ٪ԞԜf֐ĹįՒĬ£Äԙ֖í֘Ķ͖֚՚՛ńۉ՟䵨늠Ƕ怀騠0 䈠則媠怀˴怀䜠偎呚䵕₠呚䵕ꥯﻩ鿿呚䵕呚䵕Ը赹ꤜ赹䵨剰ᒕࡰǳ怀䗰ᒕ   䈠則媠怀䷠˳怀伐ᒕ䜠偎呚䵕₠呚䵕ꡯﻩ鿿呚䵕呚䵕Ը赹ꤜ赹뫴蒯老ﭐꞰ퍇슴蒯老匫ꔑ퍇蒯䥆ꎲ퍇謌老㥐ム퍗蒯㬆ꐩ퍇竼荵ⵔ碇퍃췄蒯老⁢ꜚ퍇잤蒯老ĭꍺ퍇뿼蒯搢Ꝼ퍇뼜蒯老ᐻ퍇왬謌老洶ᕽ퍘裈謍老ѕ퍊穬蛽렚涠퍗감蒯䩸궁퍃蒸老鰴䲱퍳襜蒰处퍳忸蒰d疴퍃蒸老촪扜퍳Ӭ蒰䠧퍇掄荵ౄ眊퍃ᵴ蒹老ﱑ䴋퍅ᘠ蒰老帣ꕬ퍃襜蒰老褕崞퍳ቀ͙怀㖀͙怀㶀͙怀㹀͙怀ी͙怀၀͙怀⹀͙怀ᘀ͙怀㺀͙怀㾀͙怀㼀͙怀㷀͙怀㡀͙怀ᆀ͙怀ក͙怀࿀͙怀ᅀ͙怀⎀͙怀⊀͙怀ᩀ͙怀ႀ͙怀ᡀ͙怀㘀͙怀ᮀ͙怀᱀͙怀ࠀ͙怀㰀͙怀䵨䟀搉衰Ǽ怀䉀搉   䈠則媠怀Რ˱怀䑠搉䜠偎呚䵕₠呚䵕ꑯﻩ鿿呚䵕呚䵕Ը赹ꤜ赹㍸п㡐У綰ɠ怀子ɠ怀ﺰm怀㍸п̯怀찐̯怀虀ǐ怀휐̯怀ばϕ怀̯怀큐̯怀㍸п㡐У崐ɠ怀曰ɠ怀␐o怀㍸п﬐̨怀헐̨怀虀ǐ怀톐̨怀灰ϋ怀컐̨怀ﱐ̨怀䵨梠揠ᕠǴ怀挠揠   䈠則媠怀㑀˴怀敀揠䜠偎呚䵕₠呚䵕ꅯﻩ鿿呚䵕呚䵕Ը赹ꤜ赹䵨逰替ǲ怀誰替   䈠則媠怀箠˵怀賐替䜠偎呚䵕₠呚䵕ꁯﻩ鿿呚䵕呚䵕Ը赹ꤜ赹怀筧⯯㍸п㡐Уʀ怀컰ʀ怀䫰怀㍸п̥怀슐̥怀虀ǐ怀̥怀⋀χ怀퐐̥怀̥怀媀̦怀姀̦怀婀̦怀妀̦怀奀̦怀夀̦怀塀̦怀壀̦怀埀̦怀嬀̦怀墀̦怀圀̦怀址̦怀囀̦怀嚀̦怀噀̦怀嘀̦怀䵨攠ᒔỰǳ怀徠ᒔ 䅙䝒鬀怀䭠˳怀懀ᒔ䜠偎呚䵕₠呚䵕鱯ﻩ鿿呚䵕呚䵕Ը赹ꤜ赹䄀̦怀䀀̧怀䁀̧怀䂀̧怀䃀̧怀䄀̧怀䅀̧怀䆀̧怀䇀̧怀䈀̧怀䉀̧怀䊀̧怀䋀̧怀䌀̧怀䍀̧怀䎀̧怀䏀̧怀䐀̧怀㍸п㡐У姰ɦ怀困ɦ怀峰怀㍸п̮怀̮怀虀ǐ怀㘐̡怀㊰϶怀⊐̡怀┐̡怀ﲰ蛾瘿孡퍕ﱜ蛾老ᑪ疴퍃瑈蛮걆此퍔玬蛮怵鈤퍑瑘蛮귕퍔華蛾襊ཙ퍍ﷄ蛾老遙蝛퍃ﴀ蛾老扙죫퍔瑐蛮老噿쾌퍔ﱌ蛾䙯瀭퍓ﱄ蛾老덐쪿퍕瘝蛾老橵퍑泔蛽ᄁ퍛勀蜅䴒疴퍃쭤蛽老ꝿ硤퍌ꏄ蛽老ਗ銃퍘ᴀ荵老爄ꇴ퍋॰莹老앗鄕퍃穴蛽䑈ਆ퍗粠蛽老⬣ຈ퍘꓄蛽9鑈퍋掄荵ḇ眊퍃阘螆老唻蝛퍃ᴀ荵老預燎퍘爘蛽찮蟡퍅꒴蛽！钟퍋栀筧⯯ 䵨浠ᒔᮐǳ怀柠ᒔ  @䅙䝒鬀怀丰˳怀樀ᒔ䜠偎呚䵕₠呚䵕陯ﻩ鿿呚䵕呚䵕Ը赹ꤜ赹器᩷⟘İ怀Ꞙ䎸㉠ń怀栠호⨑䍰㻨衈愀細⧭ዠ案夠짠⽰夠짠㍸п㡐У昐ɠ怀䙐ɠ怀バo怀㍸пᶐ̫怀쬐̨怀虀ǐ怀⌐̫怀碀ϋ怀᷐̫怀Ẑ̫怀氀筧⯯߻㍸п㡐Уꤐʀ怀땐ʀ怀䮰怀㍸п̥怀̥怀虀ǐ怀텐̥怀㴀χ怀̥怀̥怀渀筧⯯7㍸п㡐У칰ʀ怀ʀ怀뉐怀㍸п﯐̥怀̥怀虀ǐ怀̥怀Ạχ怀̥怀쿐̥怀㍸п㡐У殐ʙ怀翐ʙ怀붐怀㍸п⺐͙怀ዐ͙怀虀ǐ怀ᝐ͙怀䖰ϥ怀Ẑ͙怀ᄐ͙怀䵨㮰搉蔐Ǽ怀㘰搉   䈠則媠怀Ẁ˱怀㡐搉䜠偎呚䵕₠呚䵕蹯ﻩ鿿呚䵕呚䵕Ը赹ꤜ赹  耠 耠  耠       耠        @@@@@@@@㍸п㡐У⳰ɫ怀ጐɫ怀鬐怀㍸п㫐ͼ怀촐ͽ怀虀ǐ怀㈐ͼ怀退Ș怀㷐ͼ怀័ͼ怀참ᮋ᰸⨎嬨狠˙怀㻨狠˙怀狠˙怀鞐ų怀狠˙怀鰸⨚狠˙怀狠˙怀喝牀˙怀狠˙怀牀˙怀牀˙怀牀˙怀狠˙怀牀˙怀狠˙怀狠˙怀䡀̦怀䩀̦怀䧀̦怀厀̦怀䥀̦怀叀̦怀䤀̦怀䢀̦怀吀̦怀䪀̦怀䝀̦怀哀̦怀䦀̦怀䜀̦怀䛀̦怀䚀̦怀䬀̦怀䙀̦怀䒀̦怀䈀̦怀䃀̦怀䂀̦怀瘀筧⯯)㬀͙怀㯀͙怀ᖀ͙怀 ͙怀㣀͙怀׀͙怀฀͙怀⒀͙怀㦀͙怀ྀ͙怀ሀ͙怀ᜀ͙怀≀͙怀㢀͙怀㫀͙怀㝀͙怀ᛀ͙怀㤀͙怀㙀͙怀䖱ĀސmMacintosh HD ‎» Users ‎» gsun20 ‎» Downloads ‎» autopipeline-benchmarks-main ‎» commercial-pipelines ‎» a06_1䵨᐀搉輰Ǽ怀຀搉   䈠則媠怀͠˱怀Ⴀ搉䜠偎呚䵕₠呚䵕虯ﻩ鿿呚䵕呚䵕Ը赹ꤜ赹鶴蛽老ﴽ貒퍜翴蛽䡃햑퍜鿘蛽老︇銃퍘吘蜅老ɳ疴퍃鸜蛽罖硤퍌॰莹老鴎鄕퍃鬬蛽老荊ਆ퍗꒼蛽踿鑈퍋繰蛽老갺眊퍃䰄螇깧蝛퍃肄蛽老䝵퍝꒸蛽老䴲钟퍋場謋老偶痴퍃袰謋特碇퍃襨謋ﵺ蝇퍨堌謋老‼퍚謌㱟礍퍨作荵ᕼ痮퍃䖱ĀސmMacintosh HD ‎» Users ‎» gsun20 ‎» Downloads ‎» autopipeline-benchmarks-main ‎» commercial-pipelines ‎» a06_1ꋀ̧怀鯀̧怀頀̧怀꓀̧怀赀̧怀鉀̧怀闀̧怀鋀̧怀趀̧怀需̧怀陀̧怀ꏀ̧怀鎀̧怀駀̧怀ꗀ̧怀鄀̧怀鐀̧怀錀̧怀騀̧怀蘀̧怀躀̧怀葀̧怀跀̧怀踀̧怀ꘀ̧怀鴀̧怀ꃀ̧怀齀̧怀ꂄ菎老谷皲퍃補莻奄쪓퍃㧜荵老饠疴퍃쌠荷老쥞盕퍃蒲眨몉퍄蒰老扴쭺퍃蒲老砅낫퍃씀莽幆矝퍃蒲老Ὂ솏퍈㍸п㡐У⥰ʰ怀ʐʰ怀鵐f怀㍸пꮐΗ怀귐Η怀虀ǐ怀ꯐΗ怀짐Ȓ怀눐Η怀볐Η怀䵨䐀揢﬐ǲ怀ꔀ揫   䈠則媠怀ﶀ˲怀⨐曾䜠偎呚䵕₠呚䵕罯ﻩ鿿呚䵕呚䵕Ը赹ꤜ赹뮴蝿崣퍛竼荵老儧碇퍃뮨蝿老긡㰊퍏蛛䌙杮퍛䵨휀槬㷠ǰ怀톀槬   䈠則媠怀焀˷怀펠槬䜠偎呚䵕₠呚䵕絯ﻩ鿿呚䵕呚䵕Ը赹ꤜ赹㍸п㡐У襐ʊ怀ꑐʊ怀怀㍸п̢怀瓐̢怀虀ǐ怀̢怀聰ȼ怀̢怀읐̢怀䵨㑠揫ǳ怀ર貇   䈠則媠怀㉀˴怀曾䜠偎呚䵕₠呚䵕筯ﻩ鿿呚䵕呚䵕Ը赹ꤜ赹蛴ꕣ술퍃﹬蛩老呋퍕ﹸ蛩老╕퍕﷠蛩卡匳퍖࢜蜽䙁퍕큜蜇꽙퍑Ӹ蜃ᐾ퍕р蜃老䥒㵫퍍蛩섐퍒ʄ蛫丐퍕䵨Ⴐ綹毠Ǳ怀ᇀ櫄   䈠則媠怀˪怀勀櫆䜠偎呚䵕₠呚䵕祯ﻩ鿿呚䵕呚䵕Ը赹ꤜ赹㍸п㡐У娐ɠ怀環ɠ怀鞰j怀㍸п㟐̷怀㝐̷怀虀ǐ怀㡐̷怀Ϙ怀㢐̷怀㠐̷怀䵨큠曷튐ǲ怀氰揫   䈠則媠怀ﷀ˲怀ᢐ曾䜠偎呚䵕₠呚䵕睯ﻩ鿿呚䵕呚䵕Ը赹ꤜ赹摸丯￼垐丯￼囨丯￼坘丯￼윸鱢￼嚰丯￼熸ﾘ鿿螸Ⅵ�熰ﾘ鿿相ﰄ鿿螠Ⅵ�쑸鱢￼쨘鱢￼摀丯￼螘Ⅵ�噸丯￼巰ﵹ鿿圠丯￼埈丯￼䖱Āތ㇠改㕢㍥搷㙥㐸散㠳散挵㍦㕤㐸搲昳ⴷ㡥㈷㤲ㄴ戭敤ⴵ戴㠹㤭摣ⴵ㜲㔷捥ㄵ㠴挲㘭㜸ⰳ㐴ㅣ慤㜶昹㡦㘴挳愸㔸改挲㉢ㄵ〴ㅢ昭ㄲ㕡㘳ⴲ㉦㙤㐭收ⴶㅡ扣㔭㈲㠶㘲愰挵ⴹ㔷〶挬㡤㘳㈶㘶ㄱ㑣慣慡昸㕣㉢㝥㠲敥ㄸⵤ戳搶挶㔴㘭㜳ⴷ戴㕦㤭㤷ⴲ扤㡦ㅥ㠸〱㠸㜭㈵1䵨環替ǲ怀컰曼   䈠則媠怀ﹰ˲怀煐替䜠偎呚䵕₠呚䵕瑯ﻩ鿿呚䵕呚䵕Ը赹ꤜ赹䵨赀揩ﮠǲ怀噐替   䈠則媠怀ﴀ˲怀곐書䜠偎呚䵕₠呚䵕獯ﻩ鿿呚䵕呚䵕Ը赹ꤜ赹ៀᫀʺ怀㭠Ð怀癳g̀ﱠ˴怀ﱨ˴怀ﱨ˴怀赸Ė怀趐Ė怀䀴䀴䀴䀴ៀ⮠ʻ怀朐Í怀癳g̀ᴀ˷怀ᴈ˷怀ᴈ˷怀蹸Ė怀躐Ė怀䀰䀰䀰䀰䵨꜐朦㌰Ǿ怀峐朩   䈠則媠怀虐˰怀廰朩䜠偎呚䵕₠呚䵕灯ﻩ鿿呚䵕呚䵕Ը赹ꤜ赹䵨琀曾쨠ǲ怀満曾   䈠則媠怀Ｐ˲怀炠曾䜠偎呚䵕₠呚䵕潯ﻩ鿿呚䵕呚䵕Ը赹ꤜ赹䵨㾀貉⨰Ƕ怀㨀貉   䈠則媠怀㡐˯怀㰠貉䜠偎呚䵕₠呚䵕湯ﻩ鿿呚䵕呚䵕Ը赹ꤜ赹⼴蛣ⱓ퍝簸蛤老ⅺ퍑蛛甩⛃퍏음蛨老먝뚳퍋연蛲疴퍃읈蛲老䜓ꉥ퍓蛤Ὧ殘퍖蛤老疧퍃蝀老줼痉퍃荵遵碹퍃ஸ蛝老줙阪퍓ৈ蛣老㽊퍏࿥老뉅蝛퍃⬘蛣椯㴯퍏ﲨ鿿⠘ﲬ鿿魘＆鿿쾘ﲨ鿿鬨＆鿿쾐ﲨ鿿ﲨ鿿꽸⠐ﲬ鿿丳￼쬘﷦鿿䵨⏠闰ǯ怀@@ Ā䈠則媠怀聀˩怀⫰䜠偎呚䵕₠呚䵕歯ﻩ鿿呚䵕呚䵕Ը赹ꤜ赹䵨촠祛犠Ǳ怀梐祘   䈠則媠怀셠˫怀櫇䜠偎呚䵕₠呚䵕橯ﻩ鿿呚䵕呚䵕Ը赹ꤜ赹䵨苀替ǲ怀書   䈠則媠怀羠˵怀書䜠偎呚䵕₠呚䵕楯ﻩ鿿呚䵕呚䵕Ը赹ꤜ赹䵨䙠ꐀǯ怀䎐   䈠則媠怀聐˩怀←䜠偎呚䵕₠呚䵕桯ﻩ鿿呚䵕呚䵕Ը赹ꤜ赹뮴蝿老餘崣퍛竼荵♿碇퍃뮨蝿େ㰊퍏蛛』杮퍛ᴀ荵老졼퍑琠蛶뜕疴퍃舔蝵老慕쫧퍍ᴀ荵老䑴ꦉ퍗肐蝵老估犙퍙ᴀ荵老㰢赭퍗ᴀ荵老吟쾻퍍萼蝵老腻ㄭ퍗ᴀ荵老氯䱎퍘腔蝵턎퍛䵨耐曾ǲ怀窐曾   䈠則媠怀ｰ˲怀粰曾䜠偎呚䵕₠呚䵕敯ﻩ鿿呚䵕呚䵕Ը赹ꤜ赹鬀筧⯯(䵨Ƞ替ǲ怀尐替   䈠則媠怀ﺰ˲怀ﻀ曾䜠偎呚䵕₠呚䵕捯ﻩ鿿呚䵕呚䵕Ը赹ꤜ赹䵨㓀漌ୀǲ怀⽀漌   䈠則媠怀㥀˲怀ㅠ漌䜠偎呚䵕₠呚䵕扯ﻩ鿿呚䵕呚䵕Ը赹ꤜ赹公ၒ老ݰ筀퍉橬荵老쭍眅퍃亐ၒ老먫魢ᅸ冔ၒ老䬭췣ᅺ㧜荵老赶疴퍃兜ၒ꩎报ᅸ錜荵ᅿ癉퍃兔ၒ①ᔈ퍋倌ၒ瞉퍃农ၒశ蝛퍃儼ၒ老Լ厮퍣俀ၒ老괞癎퍃兌ၒȘ첏퍄䵨擄曼ǲ怀曼   䈠則媠怀ﻰ˲怀曼䜠偎呚䵕₠呚䵕息ﻩ鿿呚䵕呚䵕Ը赹ꤜ赹䵨矀櫊툀ǵ怀ؠ櫌   䈠則媠怀떠˳怀ࡀ櫌䜠偎呚䵕₠呚䵕彯ﻩ鿿呚䵕呚䵕Ը赹ꤜ赹῀蒳老ቜၓ퍈효蔋老ᡁ碲퍃蒮ⵖ呣퍊횬蔋疧퍃䵨砐ᬛ즐Ǵ怀ᬞ   䈠則媠怀ᜠ˵怀瘠ᬛ䜠偎呚䵕₠呚䵕嵯ﻩ鿿呚䵕呚䵕Ը赹ꤜ赹䵨壐握ǵ怀㙠綵   䈠則媠怀깐˳怀限槩䜠偎呚䵕₠呚䵕屯ﻩ鿿呚䵕呚䵕Ը赹ꤜ赹䵨造貋팠ǳ怀詠貋   䈠則媠怀˴怀踰貋䜠偎呚䵕₠呚䵕孯ﻩ鿿呚䵕呚䵕Ը赹ꤜ赹॰蜂老퍃ᴀ荵老頥疒퍃̀蒰ﭏ瘃퍃傴蛶ᰵ疴퍃Ș蜂老ଓ盕퍃μ蒰♀疧퍃鍨蒶怽瘗퍃ب蒰老獽盨퍃㤀蛶ὪῩ퍇ᴀ荵老꘎鞌퍃Ȉ蜂老尩矝퍃͜蒰畎퍃ᴀ荵老豶綏퍜ᴀ荵老豈ﳳᅸ퉌Ⴧ老帴໌폠Ⴧਅ䅔໌Ⴧ老䠖ᰶ폇튔Ⴧ攮ᅶჇ老穸퍃Ⴧ⑜폍Ⴧ老蜨ᘎ퍜Ⴧ老坼⎮໌Ⴧᑾᅹ꜀筧⯯߻䈀Ӎ老䄜먡퍗灀蛡ై魤퍏潘蛡㱽鮂퍏녔蛠老밆ᖣ퍚ﻐ蛨老⭳ᔤ퍚竼荵老逌碇퍃佈蛤쬽⯨퍓넼蛠老簘ᕉ퍚뮨蝿攲㰊퍏녈蛠흍ᓻ퍚灌蛡豯퍏ᡰ螀唓ۭ퍚蛛饾杮퍛뮴蝿老᝺崣퍛䵨漎≐Ǿ怀ក漏   䈠則媠怀빠˰怀흐漎䜠偎呚䵕₠呚䵕噯ﻩ鿿呚䵕呚䵕Ը赹ꤜ赹雈郠老㈡퍥겘郠ᰣ퍈鞰郡老㘾杧퍾饀郡렁枧퍾並郞老둟ⵉ퍾郢ᭃ樚퍾郢셸燼퍾顸郡老椆杼퍾郢老괰樀퍾餴郠幉＿퍃䵨㑐漋ᾀǲ怀⻐漋   䈠則媠怀㦀˲怀ヰ漋䜠偎呚䵕₠呚䵕呯ﻩ鿿呚䵕呚䵕Ը赹ꤜ赹爜荵尡瘗퍃⩼蛞老挍粉퍗㦀荵老䤋碲퍃ᴀ荵ᥤ퍍㧜荵老战疴퍃橬荵老儸眅퍃痐荵老穵瞉퍃⑜蛝⥿疧퍃蛬訋퍘ᴀ荵䡛퍐␔蛝팁眊퍃鼜蜇踧ꭜ퍜뉌蜀啢걃퍜荵戀砟퍃ਘ蛸老줒쪠퍗蛬ὣⷁ퍞蛬焎퍉জ蛸老㬘ࣨ퍊蛬鑽ﳚ퍙蛬︣犝퍝䖱ĀސmMacintosh HD ‎» Users ‎» gsun20 ‎» Downloads ‎» autopipeline-benchmarks-main ‎» commercial-pipelines ‎» a05_1䵨ῐᬜ펰Ǯ怀甐ᬛ   䈠則媠怀˨怀ᱰᬜ䜠偎呚䵕₠呚䵕偯ﻩ鿿呚䵕呚䵕Ը赹ꤜ赹䵨ⱰᬜǮ怀⛰ᬜ   䈠則媠怀˨怀⤐ᬜ䜠偎呚䵕₠呚䵕佯ﻩ鿿呚䵕呚䵕Ը赹ꤜ赹䵨㤐ᬜǮ怀㎐ᬜ   䈠則媠怀˨怀㖰ᬜ䜠偎呚䵕₠呚䵕乯ﻩ鿿呚䵕呚䵕Ը赹ꤜ赹䵨䖰ᬜ횀Ǯ怀䀰ᬜ   䈠則媠怀˨怀䉐ᬜ䜠偎呚䵕₠呚䵕䵯ﻩ鿿呚䵕呚䵕Ը赹ꤜ赹䵨嘰ᬜỰǠ怀傰ᬜ   䈠則媠怀侐˫怀勐ᬜ䜠偎呚䵕₠呚䵕䱯ﻩ鿿呚䵕呚䵕Ը赹ꤜ赹䵨拐ᬜ೰Ǡ怀嵐ᬜ   䈠則媠怀긐˫怀彰ᬜ䜠偎呚䵕₠呚䵕䭯ﻩ鿿呚䵕呚䵕Ը赹ꤜ赹䵨潰ᬜ䄠Ǡ怀槰ᬜ   䈠則媠怀㩀˪怀氐ᬜ䜠偎呚䵕₠呚䵕䩯ﻩ鿿呚䵕呚䵕Ը赹ꤜ赹䵨簐ᬜ扐Ǡ怀皐ᬜ   䈠則媠怀攠˪怀碰ᬜ䜠偎呚䵕₠呚䵕䥯ﻩ鿿呚䵕呚䵕Ը赹ꤜ赹䵨ؠ揧ﳀǲ怀纰曶   䈠則媠怀﵀˲怀⅀曾䜠偎呚䵕₠呚䵕䡯ﻩ鿿呚䵕呚䵕Ը赹ꤜ赹䵨艰貋챠ǳ怀糰貋   䈠則媠怀쀰˴怀缐貋䜠偎呚䵕₠呚䵕䝯ﻩ鿿呚䵕呚䵕Ը赹ꤜ赹MapMapMapMapMapMap Geography&#10;UniqueNameNameTBDImageNameWP(Admin Division 2 (County/district/other)), P(Admin Division 1 (State/province/other))=P(Admin Division 1 (State/province/other)), P(Country/region)Country/regionDescription115942XLO_Datatypes_Disambig120734182916XLO_Datatypes_Noresults&#10;PowerBIRibbonWorkDataConvert to Organization datamyour organization's data.&#10;&#10;You can expand the data types dropdown to see what data types are available to youPower BIOrganization&#10;UniqueNameNameTBDImageName&#10;P(WikiPageID)kSelect a matching result. To view more results, select Change to specify a data type or modify your search.Powered by Power BI&#10;DataTypes_PBI191662XLO_OrgDT_NoResultsHighlightedFrom your organizationMore from your organization...!Show more Organization data types-Finance_dce6b7bc99684509897ab6a26c05f173.data-Finance_dce6b7bc99684509897ab6a26c05f173.data0Geographic_2a1a98f23b16478f90b00d39cc08695d.data0Geographic_2a1a98f23b16478f90b00d39cc08695d.data.v2.1601652342626/en-US/en.en-US.zh-CN.zh-Hans/ahttps://enrichment.osi.office.net/OfficeEnrichment/v2.1601652342626/en-US/en.en-US.zh-CN.zh-Hans/&#10;Recently used筧⯯2筧⯯&gt;䵨殦두Ƿ怀僀殪   䈠則媠怀ऐ˩怀勠殪䜠偎呚䵕₠呚䵕፯ﻩ鿿呚䵕呚䵕Ը赹ꤜ赹ៀ疀ʽ怀甠Ð怀癳g̀ﷀ˴怀﷈˴怀﷈˴怀Ė怀Ė怀䀴䀴䀴䀴的荵鬍瘣퍃胼荵老瞡퍃㧜荵砥疴퍃犌薣老퍊ኤ薣老驫퍊㦤薣왜퍊ሄ薣䉦ퟛ퍊뮜薯渻퍊솴薯訊퍊볈薯老䑡퍊筧⯯?筧⯯@筧⯯7䵨㟰綿Ǵ怀㉰綿   䈠則媠怀煐˲怀㒐綿䜠偎呚䵕₠呚䵕൯ﻩ鿿呚䵕呚䵕Ը赹ꤜ赹筧⯯;筧⯯0筧⯯:筧⯯4勌ޔ老䔽偦࠲嬬ސ老棂ᅹ啬ސ老䣄풨㧜荵㙙疴퍃顈ސ老朧ᔈ퍋嗌ސ錽텆퍠幼ސ老퍊仜ސ≩氨࠲匠ސ老横࠲氘ࠃꨤ蝛퍃储ސ老艢᲍ᅺ峜ސ老搘첏퍄筧⯯1豈筧⯯9切筧⯯6㍸п㡐У뵐ɣ怀륰ɣ怀꠰l怀㍸п̵怀̵怀虀ǐ怀̵怀뾠Ϛ怀̵怀̵怀녔蛠Ʌᖣ퍚뮴蝿⠢崣퍛ﻐ蛨ൎᔤ퍚竼荵䤰碇퍃넼蛠老嘧ᕉ퍚뮨蝿뜕㰊퍏녈蛠ᵎᓻ퍚ᡰ螀魱ۭ퍚蛛쵮杮퍛ﴀ筧⯯+︀筧⯯߻＀筧⯯5  耠 耠  耠       耠        @@@@@@@@䵨ዀ繎嚀Ƿ怀ീ繎   䈠則媠怀奠˩怀འ繎䜠偎呚䵕₠呚䵕﹯ﻨ鿿呚䵕呚䵕Ը赹ꤜ赹᱀ҿ瑣牯耐㠔蜸ǠĲ怀耀㠔背㠔à譌㠔ɀ롌㠔ɉ⼠㠕*ば㠕よ㠕Ր嬈㠕㿌高㠖髸㠖汐큠˪怀큰˪怀큰˪怀䵨繍汰ǯ怀繍   䈠則媠怀櫀˩怀繍䜠偎呚䵕₠呚䵕ﱯﻨ鿿呚䵕呚䵕Ը赹ꤜ赹䵨繍呀ǯ怀홐繍   䈠則媠怀氐˩怀繍䜠偎呚䵕₠呚䵕ﭯﻨ鿿呚䵕呚䵕Ը赹ꤜ赹䵨繍춀ǫ怀繍   䈠則媠怀垰˩怀繍䜠偎呚䵕₠呚䵕﩯ﻨ鿿呚䵕呚䵕Ը赹ꤜ赹녔蛠ﴋᖣ퍚뮴蝿老婴崣퍛ﻐ蛨険ᔤ퍚竼荵老碇퍃넼蛠ﹿᕉ퍚뮨蝿䬃㰊퍏녈蛠老ꡭᓻ퍚ᡰ螀ۭ퍚蛛老⩋杮퍛䖱ĀސoMacintosh HD ‎» Users ‎» gsun20 ‎» Downloads ‎» autopipeline-benchmarks-main ‎» commercial-pipelines ‎» adf02_1䵨쪠厰Ǯ怀桠ǌ( ܰ䈠則媠怀韀ˢ怀좰䜠偎呚䵕₠呚䵕ﻨ鿿呚䵕呚䵕Ը赹ꤜ赹䵨检繈⨰Ƿ怀挀繈   䈠則媠怀콰˴怀曐繈䜠偎呚䵕₠呚䵕ﻨ鿿呚䵕呚䵕Ը赹ꤜ赹᱀ҿ瑣牯耐㠔蜸ǠĲ怀耀㠔背㠔à譌㠔ɀ롌㠔ɉ⼠㠕*ば㠕よ㠕Ր嬈㠕㿌高㠖髸㠖汐˪怀˪怀˪怀녔蛠ᖣ퍚뮴蝿戶崣퍛ﻐ蛨老㵫ᔤ퍚竼荵老턉碇퍃넼蛠ⴘᕉ퍚뮨蝿老୙㰊퍏녈蛠老㌫ᓻ퍚ᡰ螀老靟ۭ퍚蛛老䐴杮퍛䵨鸀估Ǯ怀 䈠則媠怀☐˭怀骠䜠偎呚䵕₠呚䵕ﻨ鿿呚䵕呚䵕Ը赹ꤜ赹䵨ꐠ僠Ǯ怀4 䈠則媠怀☰˭怀ꃀ䜠偎呚䵕₠呚䵕ﻨ鿿呚䵕呚䵕Ը赹ꤜ赹䵨칠繍樰ǭ怀죠繍   䈠則媠怀䤐˩怀쬀繍䜠偎呚䵕₠呚䵕ﻨ鿿呚䵕呚䵕Ը赹ꤜ赹䵨买繈⦠Ƿ怀䣰繈   䈠則媠怀˴怀䬐繈䜠偎呚䵕₠呚䵕ﻨ鿿呚䵕呚䵕Ը赹ꤜ赹뮴蝿老拉崣퍛竼荵笧碇퍃뮨蝿蔧㰊퍏䵨ᑤ捰Ǯ怀満᧦ǌ( ܰ䈠則媠怀죐ˣ怀ퟰᑤ䜠偎呚䵕₠呚䵕ﻨ鿿呚䵕呚䵕Ը赹ꤜ赹䵨搰᧦懀Ǯ怀냐ǌ( ܰ䈠則媠怀煀˥怀摰䜠偎呚䵕₠呚䵕ﻨ鿿呚䵕呚䵕Ը赹ꤜ赹䵨Ꮰ往Ǯ怀⣠ǌ( ܰ䈠則媠怀ﻠ˥怀ߠ䜠偎呚䵕₠呚䵕ﻨ鿿呚䵕呚䵕Ը赹ꤜ赹䵨㪀廰Ǯ怀㇀ǌ( ܰ䈠則媠怀ၠ˭怀㢐䜠偎呚䵕₠呚䵕ﻨ鿿呚䵕呚䵕Ը赹ꤜ赹䵨䰠嵀Ǯ怀啠ǌ( ܰ䈠則媠怀騐ˢ怀ڰ䜠偎呚䵕₠呚䵕ﻨ鿿呚䵕呚䵕Ը赹ꤜ赹䵨ꆠ岰Ǯ怀℀ǌ( ܰ䈠則媠怀귐ˢ怀ꚰ䜠偎呚䵕₠呚䵕ﻨ鿿呚䵕呚䵕Ը赹ꤜ赹桀謌老明諐퍨ᴀ荵✵寡퍊欐謌老褶퍨樈謌萳퍨闰謌老饲疴퍃狄謌〚宇퍊朔謌老㔜蠆퍨闘謌툏爧퍛ᴀ荵老ᅕ富퍊䵨㺐繈⤐Ƿ怀㤐繈   䈠則媠怀אּ˴怀㬰繈䜠偎呚䵕₠呚䵕ﻨ鿿呚䵕呚䵕Ը赹ꤜ赹䵨䄠Ǯ怀䉐ǌ( ܰ䈠則媠怀頰ˢ怀玐䜠偎呚䵕₠呚䵕ﻨ鿿呚䵕呚䵕Ը赹ꤜ赹䵨ᨠ䶀Ǯ怀㗠ᑥǌ( ܰ䈠則媠怀蔰ˣ怀௰䜠偎呚䵕₠呚䵕ﻨ鿿呚䵕呚䵕Ը赹ꤜ赹䵨䫰䛀Ǯ怀퐐ǌ( ܰ䈠則媠怀泠ˣ怀뉐䜠偎呚䵕₠呚䵕ﻨ鿿呚䵕呚䵕Ը赹ꤜ赹ᄐ蛿老썗꧐퍚㺈蛱䙈ﬅ퍗䆬蛱Ḥ疴퍃꤈蛻老찢抶퍜굨蛻老筳꟦퍚鸼蛴老腾ꕻ퍚嫌蝧笪鄊퍙ꬴ蛻老 ➻퍗尀蝧ጤ楌퍘ꧤ蛻老ᡐ䶾퍛倁Ā᠐ᠰᡐᡰᢐᢰᣐᣰᤐᤰᥐᥰᦐᦰ᧐᧰ᨐᨰᩐᩰ᪐᪰᫐᫰ᬐᬰ᭐᭰䵨ἀ拠Ǯ怀뉐䈠則媠怀Ā᭰˭怀ᮠ䙆呉呚䵕₠呚䵕ﻨ鿿呚䵕呚䵕Ը赹ꤜ赹䵨톀䘰Ǯ怀딠ǌ. ܰ䈠則媠怀洠ˣ怀謰䜠偎呚䵕₠呚䵕ﻨ鿿呚䵕呚䵕Ը赹ꤜ赹䵨뼐巐Ǯ怀䈠則媠怀Āᰀ˭怀䙆呉呚䵕₠呚䵕ﻨ鿿呚䵕呚䵕Ը赹ꤜ赹䵨嬐繈⭐Ƿ怀喐繈   䈠則媠怀˴怀垰繈䜠偎呚䵕₠呚䵕ﻨ鿿呚䵕呚䵕Ը赹ꤜ赹᱀ҿ瑣牯耐㠔蜸ǠĲ怀耀㠔背㠔à譌㠔ɀ롌㠔ɉ⼠㠕*ば㠕よ㠕Ր嬈㠕㿌高㠖髸㠖汐˪怀˪怀˪怀䵨隀䭀Ǯ怀棠ǌ( ܰ䈠則媠怀僐ˣ怀ꥠᑫ䜠偎呚䵕₠呚䵕ﻨ鿿呚䵕呚䵕Ը赹ꤜ赹䵨旐䔐Ǯ怀籠ǌ( ܰ䈠則媠怀筐ˣ怀烀䜠偎呚䵕₠呚䵕ﻨ鿿呚䵕呚䵕Ը赹ꤜ赹─筦⯯߻䵨匀奐Ǯ怀㲀ǌ( ܰ䈠則媠怀児ˣ怀歠䜠偎呚䵕₠呚䵕ﻨ鿿呚䵕呚䵕Ը赹ꤜ赹䵨棰᧭毠Ǯ怀᱀ǌ) ܰ䈠則媠怀豀˯怀⁀䜠偎呚䵕₠呚䵕ﻨ鿿呚䵕呚䵕Ը赹ꤜ赹䵨湀䪰Ǯ怀ἐǌ( ܰ䈠則媠怀槀ˣ怀Ꝡ䜠偎呚䵕₠呚䵕흯ﻨ鿿呚䵕呚䵕Ը赹ꤜ赹ꪐ໤姈틠œ怀갸໤旐ṙ鏠Ǵ겈໤娈癠ǒ怀췀Ǘ怀䵨ؠ繎䂐Ƿ怀 繎   䈠則媠怀䂀˩怀ˀ繎䜠偎呚䵕₠呚䵕핯ﻨ鿿呚䵕呚䵕Ը赹ꤜ赹䞑Āᒄ¶¶㼼浸⁬敶獲潩㵮ㄢ〮•湥潣楤杮∽呕ⵆ∸㸿㰊䐡䍏奔䕐瀠楬瑳倠䉕䥌⁃ⴢ⼯灁汰⽥䐯䑔倠䥌呓ㄠ〮⼯久•栢瑴㩰⼯睷⹷灡汰⹥潣⽭呄獄倯潲数瑲䱹獩⵴⸱⸰瑤≤ਾ瀼楬瑳瘠牥楳湯∽⸱∰ਾ昼污敳㸯㰊瀯楬瑳ਾ䵨ᑤ撐Ǯ怀ᑤǌ( ܰ䈠則媠怀ⰰˣ怀ᑤ䜠偎呚䵕₠呚䵕퍯ﻨ鿿呚䵕呚䵕Ը赹ꤜ赹䵨캐搀Ǯ怀ᑤǌ( ܰ䈠則媠怀ﴠˠ怀철䜠偎呚䵕₠呚䵕퉯ﻨ鿿呚䵕呚䵕Ը赹ꤜ赹䵨뀰新Ǯ怀걐ǌ( ܰ䈠則媠怀콀ˠ怀刐䜠偎呚䵕₠呚䵕텯ﻨ鿿呚䵕呚䵕Ը赹ꤜ赹䵨痀繈⯠Ƿ怀潐繈   䈠則媠怀쉠˴怀牠繈䜠偎呚䵕₠呚䵕큯ﻨ鿿呚䵕呚䵕Ը赹ꤜ赹䵨맠悠Ǯ怀념ǌ( ܰ䈠則媠怀婀ˠ怀뚀䜠偎呚䵕₠呚䵕콯ﻨ鿿呚䵕呚䵕Ը赹ꤜ赹䵨쏀晀Ǯ怀묀ǌ( ܰ䈠則媠怀筰ˠ怀쁠䜠偎呚䵕₠呚䵕칯ﻨ鿿呚䵕呚䵕Ը赹ꤜ赹䵨춀杠Ǯ怀쓠ǌ( ܰ䈠則媠怀鵐˯怀쨠䜠偎呚䵕₠呚䵕쵯ﻨ鿿呚䵕呚䵕Ը赹ꤜ赹䵨흀曐Ǯ怀캠ǌ( ܰ䈠則媠怀녀˯怀폠䜠偎呚䵕₠呚䵕챯ﻨ鿿呚䵕呚䵕Ը赹ꤜ赹䵨柰Ǯ怀𨊞ǌ( ܰ䈠則媠怀Ꝡ˯怀䜠偎呚䵕₠呚䵕쭯ﻨ鿿呚䵕呚䵕Ը赹ꤜ赹䵨梀Ǯ怀ǌ( ܰ䈠則媠怀끀˯怀䜠偎呚䵕₠呚䵕쩯ﻨ鿿呚䵕呚䵕Ը赹ꤜ赹䵨椐Ǯ怀ǌ( ܰ䈠則媠怀빐˯怀䜠偎呚䵕₠呚䵕쥯ﻨ鿿呚䵕呚䵕Ը赹ꤜ赹䵨ﷰ榠Ǯ怀ǌ( ܰ䈠則媠怀뢐˯怀敖䜠偎呚䵕₠呚䵕졯ﻨ鿿呚䵕呚䵕Ը赹ꤜ赹䵨ޠ樰Ǯ怀０ǌ- ܰ䈠則媠怀钠˯怀р䜠偎呚䵕₠呚䵕읯ﻨ鿿呚䵕呚䵕Ը赹ꤜ赹䵨ᅰ櫀Ǯ怀ࣀǌ( ܰ䈠則媠怀鐀˯怀ฐ䜠偎呚䵕₠呚䵕왯ﻨ鿿呚䵕呚䵕Ը赹ꤜ赹䵨ᬠ歐Ǯ怀ነǌ( ܰ䈠則媠怀谰˯怀ៀ䜠偎呚䵕₠呚䵕앯ﻨ鿿呚䵕呚䵕Ը赹ꤜ赹䵨゠蛀Ǡ怀➰ǌ( ܰ䈠則媠怀೐˭怀⺰䜠偎呚䵕₠呚䵕쑯ﻨ鿿呚䵕呚䵕Ը赹ꤜ赹䵨⻐汰Ǯ怀♀ǌ) ܰ䈠則媠怀铠˯怀⭰䜠偎呚䵕₠呚䵕썯ﻨ鿿呚䵕呚䵕Ը赹ꤜ赹䵨㢀洀Ǯ怀⿰ǌ( ܰ䈠則媠怀閰˯怀㔠䜠偎呚䵕₠呚䵕쉯ﻨ鿿呚䵕呚䵕Ը赹ꤜ赹䵨䉐涐Ǯ怀㦠ǌ( ܰ䈠則媠怀陠˯怀㻰䜠偎呚䵕₠呚䵕셯ﻨ鿿呚䵕呚䵕Ը赹ꤜ赹䵨瘀Ǯ怀蛠ǌ( ܰ䈠則媠怀념˯怀㦠䜠偎呚䵕₠呚䵕쁯ﻨ鿿呚䵕呚䵕Ը赹ꤜ赹䵨驀皐Ǯ怀ǌ( ܰ䈠則媠怀놐˯怀쓀䜠偎呚䵕₠呚䵕뽯ﻨ鿿呚䵕呚䵕Ը赹ꤜ赹䵨풠驰Ǯ怀菰   䈠則媠怀˫怀텀䜠偎呚䵕₠呚䵕빯ﻨ鿿呚䵕呚䵕Ը赹ꤜ赹䵨䪐繂ጠǭ怀퉀繃   䈠則媠怀נּ˶怀㍀繂䜠偎呚䵕₠呚䵕뵯ﻨ鿿呚䵕呚䵕Ը赹ꤜ赹䵨䍠柰Ǡ怀㷠8 @䈠則媠怀艠˭怀䀀䜠偎呚䵕₠呚䵕뱯ﻨ鿿呚䵕呚䵕Ը赹ꤜ赹䵨䵀䍠ǣ怀䞰 p 䈠則媠怀舠˭怀䧠䜠偎呚䵕₠呚䵕뭯ﻨ鿿呚䵕呚䵕Ը赹ꤜ赹䵨壀䭀ǣ怀冠8 @䈠則媠怀葐˭怀啠䜠偎呚䵕₠呚䵕멯ﻨ鿿呚䵕呚䵕Ը赹ꤜ赹䵨憐嵀ǣ怀宀 p 䈠則媠怀萰˭怀帰䜠偎呚䵕₠呚䵕륯ﻨ鿿呚䵕呚䵕Ը赹ꤜ赹䵨澐岰ǣ怀樐8 @䈠則媠怀蛰˭怀氰䜠偎呚䵕₠呚䵕롯ﻨ鿿呚䵕呚䵕Ը赹ꤜ赹䵨硠悠ǣ怀牐 p 䈠則媠怀蛐˭怀甀䜠偎呚䵕₠呚䵕띯ﻨ鿿呚䵕呚䵕Ը赹ꤜ赹䵨脰亠ǣ怀笠8 @䈠則媠怀뿀˭怀緐䜠偎呚䵕₠呚䵕뙯ﻨ鿿呚䵕呚䵕Ը赹ꤜ赹䵨謐尠ǣ怀蕰 p 䈠則媠怀螰˭怀螰䜠偎呚䵕₠呚䵕땯ﻨ鿿呚䵕呚䵕Ը赹ꤜ赹䵨隐撐ǣ怀轠8 @䈠則媠怀럀˭怀錰䜠偎呚䵕₠呚䵕둯ﻨ鿿呚䵕呚䵕Ը赹ꤜ赹䵨齠曐ǣ怀饐 p 䈠則媠怀띰˭怀鰀䜠偎呚䵕₠呚䵕덯ﻨ鿿呚䵕呚䵕Ը赹ꤜ赹䵨ꫠ杠ǣ怀ꎐ8 @䈠則媠怀롰˭怀Ꞁ䜠偎呚䵕₠呚䵕뉯ﻨ鿿呚䵕呚䵕Ը赹ꤜ赹䵨뎰椐ǣ怀궠 p 䈠則媠怀뢀˭怀끐䜠偎呚䵕₠呚䵕녯ﻨ鿿呚䵕呚䵕Ը赹ꤜ赹伀筦⯯߻倀筦⯯㨠ʄ怀ⴀʄ怀ಀʄ怀Ꭰʄ怀⻀ʄ怀⢀ʄ怀׀ʄ怀⻠ʄ怀⤠ʄ怀Ġʄ怀㖀ʄ怀㑠ʄ怀ㆀʄ怀⪠ʄ怀䵨䯰渠Ǯ怀䍰ǌ( ܰ䈠則媠怀踠˯怀䢐䜠偎呚䵕₠呚䵕굯ﻨ鿿呚䵕呚䵕Ը赹ꤜ赹䵨잀瓠Ǯ怀鋐ǌ( ܰ䈠則媠怀릠˯怀쐠䜠偎呚䵕₠呚䵕걯ﻨ鿿呚䵕呚䵕Ը赹ꤜ赹䵨ゐ飀Ǯ怀⬐䅙䝒鬀怀˫怀ⴰ䜠偎呚䵕₠呚䵕꭯ﻨ鿿呚䵕呚䵕Ը赹ꤜ赹䵨ﻀ掞㮠ǭ怀鹿掞 䅙䝒鬀怀妠˷怀ﭠ掞䜠偎呚䵕₠呚䵕ꩯﻨ鿿呚䵕呚䵕Ը赹ꤜ赹㍸п㡐У㐰ʉ怀⭰ʉ怀碰怀㍸пꆐ͝怀肐͝怀虀ǐ怀꺐͘怀갠Ȅ怀鵐͘怀닐͘怀䵨吐溰Ǯ怀䴐ǌ( ܰ䈠則媠怀隐˯怀傰䜠偎呚䵕₠呚䵕ꝯﻨ鿿呚䵕呚䵕Ը赹ꤜ赹䵨恰潀Ǯ怀埐ǌ( ܰ䈠則媠怀膰˯怀崐䜠偎呚䵕₠呚䵕꙯ﻨ鿿呚䵕呚䵕Ը赹ꤜ赹䵨녀掞뚐ǭ怀ꯀ掞  @䅙䝒鬀怀碐˷怀균掞䜠偎呚䵕₠呚䵕ꕯﻨ鿿呚䵕呚䵕Ը赹ꤜ赹䵨鎐掞Ṡǭ怀踐掞 䅙䝒鬀怀緐˷怀逰掞䜠偎呚䵕₠呚䵕ꑯﻨ鿿呚䵕呚䵕Ը赹ꤜ赹䵨鶐掞㈐ǭ怀預掞  @䅙䝒鬀怀繐˷怀騰掞䜠偎呚䵕₠呚䵕ꍯﻨ鿿呚䵕呚䵕Ը赹ꤜ赹䵨릀掞률ǭ怀됀掞 䅙䝒鬀怀猀˷怀똠掞䜠偎呚䵕₠呚䵕ꉯﻨ鿿呚䵕呚䵕Ը赹ꤜ赹  耠 耠  耠       耠        @@@@@@@@떨떨떨痰ᑭ痰ᑭ뼇阄뼇阄믘≞믘≞㜗깢陈㜗깢陈뼇阄❓㼞먂裈❓㼞먂裈䵨緀掟뜠ǭ怀础掟  @䅙䝒鬀怀瓰˷怀穠掟䜠偎呚䵕₠呚䵕齯ﻨ鿿呚䵕呚䵕Ը赹ꤜ赹䵨琠掟끠ǭ怀ퟀ掞 䅙䝒鬀怀細˷怀掞䜠偎呚䵕₠呚䵕鹯ﻨ鿿呚䵕呚䵕Ը赹ꤜ赹䵨쌠掞례ǭ怀붠掞  @䅙䝒鬀怀狠˷怀뿀掞䜠偎呚䵕₠呚䵕鵯ﻨ鿿呚䵕呚䵕Ը赹ꤜ赹䵨쭠掞든ǭ怀엠掞 䅙䝒鬀怀癐˷怀저掞䜠偎呚䵕₠呚䵕鱯ﻨ鿿呚䵕呚䵕Ը赹ꤜ赹䵨픀掞랰ǭ怀쾀掞  @䅙䝒鬀怀秠˷怀토掞䜠偎呚䵕₠呚䵕魯ﻨ鿿呚䵕呚䵕Ը赹ꤜ赹䵍䵍℡℡℡℡℡℡℡℡℡℡℡℡℡℡℡℡℡℡℡℡℡℡℡℡℡℡℡℡℡℡℡℡℡℡℡℡℡℡℡℡℡℡℡℡℡℡℡℡℡℡䵨㥐掟룐ǭ怀绠掟 䅙䝒鬀怀杠˷怀㗰掟䜠偎呚䵕₠呚䵕饯ﻨ鿿呚䵕呚䵕Ը赹ꤜ赹䵨䋰掟꽀ǭ怀㵰掟  @䅙䝒鬀怀窐˷怀㾐掟䜠偎呚䵕₠呚䵕顯ﻨ鿿呚䵕呚䵕Ը赹ꤜ赹䵨⵰繎締Ƿ怀✀繎   䈠則媠怀姀˩怀⨐繎䜠偎呚䵕₠呚䵕陯ﻨ鿿呚䵕呚䵕Ը赹ꤜ赹䵨钐繂頰Ǣ怀禀繂   䈠則媠怀˶怀銠繂䜠偎呚䵕₠呚䵕镯ﻨ鿿呚䵕呚䵕Ը赹ꤜ赹녔蛠老ᖣ퍚侌荵⽴磣퍃뮴蝿老漠崣퍛ﻐ蛨鐁ᔤ퍚竼荵ᝄ碇퍃넼蛠䑷ᕉ퍚뮨蝿老荣㰊퍏녈蛠老͈ᓻ퍚ᡰ螀퍗ۭ퍚蛛老ᜄ杮퍛䵨鲀繃ꂠǢ怀需繃   䈠則媠怀˶怀餠繃䜠偎呚䵕₠呚䵕鍯ﻨ鿿呚䵕呚䵕Ը赹ꤜ赹㘀︀ᩮ똀耀쀀ᩲ䐀⠀ꐀ저耀吀蠀　䵨觰掞᷐ǭ怀葰掞  @䅙䝒鬀怀罠˷怀蚐掞䜠偎呚䵕₠呚䵕遯ﻨ鿿呚䵕呚䵕Ը赹ꤜ赹䵨ࣀ掟‐ǭ怀̀掟  @䅙䝒鬀怀恰˷怀ՠ掟䜠偎呚䵕₠呚䵕软ﻨ鿿呚䵕呚䵕Ը赹ꤜ赹㖠ʄ怀䵨ꜰ掞㷠ǭ怀ꆰ掞 䅙䝒鬀怀疰˷怀ꏐ掞䜠偎呚䵕₠呚䵕赯ﻨ鿿呚䵕呚䵕Ը赹ꤜ赹➀ʄ怀ᴀ荵老롩萠퍚胼荵老魴瞡퍃穠蛦老ᬡ퍃的荵老瘣퍃촘蛨老ᩯ疴퍃贐荵老ⴖ瘵퍃蛦㵶뮖퍘竄蛦老癎坘퍘蚨蒯㜲굙퍄熔蛦앣쭺퍃蛦老㩋ꐭ퍌蛦老긐왮퍙ᴀ荵老ꭩ萯퍚ᧀʄ怀⁠ʄ怀ᬀʄ怀ૠʄ怀⦀ʄ怀ౠʄ怀ՠʄ怀ఠʄ怀⩀ʄ怀㏀ʄ怀⨀ʄ怀❠ʄ怀ὀʄ怀㈠ʄ怀䵨翠掞⺰ǭ怀ೠ掟 䅙䝒鬀怀檠˷怀緰掞䜠偎呚䵕₠呚䵕襯ﻨ鿿呚䵕呚䵕Ը赹ꤜ赹䅐ϟ怀ϰ怀錰×怀ϱ怀㒰ϐ怀﹀ϵ怀惐ȝ怀燠ϟ怀牰Ͼ怀캠ȓ怀؀ϳ怀耀ȝ怀рʄ怀䵨⁰繎拠Ƿ怀᪰繎   䈠則媠怀墰˩怀Ẁ繎䜠偎呚䵕₠呚䵕蕯ﻨ鿿呚䵕呚䵕Ը赹ꤜ赹ᛨᛨᛨ痰ᑭ痰ᑭ뼇阄뼇阄믘≞믘≞㜗깢陈㜗깢陈뼇阄❓㼞먂裈❓㼞먂裈䵨䑐鷐Ǯ怀㍐4䅙䝒鬀怀˫怀䉠䜠偎呚䵕₠呚䵕药ﻨ鿿呚䵕呚䵕Ը赹ꤜ赹ଠʄ怀ఀʄ怀ዀʄ怀⡀ʄ怀Ⱐʄ怀࿀ʄ怀⛀ʄ怀⦠ʄ怀Ⲁʄ怀⠀ʄ怀Рʄ怀Ԡʄ怀㜀ʄ怀⥠ʄ怀磨磨磨痰ᑭ痰ᑭ뼇阄뼇阄믘≞믘≞㜗깢陈㜗깢陈뼇阄❓㼞먂裈❓㼞먂裈ࡠʄ怀㬀ﰃ鿿㐰㔰䔸串￼㓀㪠ﰃ鿿䗠串￼䖨串￼ຐｚ鿿柸ﰀ鿿䕰串￼㿘ﭽ鿿锈￵鿿䜰串￼䛸串￼㌰朸ﰀ鿿㎠䚈串￼웘ﭺ鿿䛀串￼⤰ﰃ鿿⧀ﰃ鿿เｚ鿿㊠머￩鿿䵨繃ﳀǷ怀繃   䈠則媠怀와˨怀繃䜠偎呚䵕₠呚䵕絯ﻨ鿿呚䵕呚䵕Ը赹ꤜ赹䵨捀繀﷠Ƿ怀ᾠ繃   䈠則媠怀㵰˩怀慐繀䜠偎呚䵕₠呚䵕籯ﻨ鿿呚䵕呚䵕Ը赹ꤜ赹  耠 耠  耠       耠        @@@@@@@@【䦘串￼멸￩鿿むﭺ鿿ቐﰃ鿿චｚ鿿䧐串￼ᇰﰃ鿿䤨串￼⾀䥠串￼斸ﰀ鿿䵨繂怐Ǩ怀繂   䈠則媠怀˶怀繂䜠偎呚䵕₠呚䵕祯ﻨ鿿呚䵕呚䵕Ը赹ꤜ赹䳠串￼ﰀ鿿䱰串￼Ⱡⵠ䵐串￼⳰搸ﰀ鿿ᡸﭺ鿿ഀｚ鿿锸￵鿿䴘串￼縷ﰀ鿿蠀筦⯯߻쓸鯹￼⚠膨鯹￼퓘鯹￼봈鯹￼■딘鯹￼ꏨ鯹￼覘鯹￼쳨鯹￼饸鯹￼鯹￼亠鯺￼鯹￼欨ﰀ鿿醈鯹￼괨鯹￼烠ﰀ鿿Ґｚ鿿戨ﰀ鿿⟀０ﵱ鿿⠰镰￵鿿✰⢘ﭺ鿿吘串￼炀ﰀ鿿呐串￼叠串￼厨串￼먰￩鿿抸ﰀ鿿⥐僐串￼ౠｚ鿿俰串￼⧀㭘ﭺ鿿⣀侸串￼砰ﰀ鿿碐ﰀ鿿匀串￼⭐翠ﰀ鿿亠串￼伐串￼羀ﰀ鿿乨串￼⫠⩐捸ﰀ鿿♘ﭺ鿿ರｚ鿿며￩鿿丰串￼ㄐ䢀串￼䟘串￼ᴰﰃ鿿㈐෰ｚ鿿ㆠᵠﰃ鿿몀￩鿿晸ﰀ鿿䡈串￼䠐串￼좸ﭺ鿿䵨＠繌룐Ƿ怀裂繌   䈠則媠怀ˡ怀﯀繌䜠偎呚䵕₠呚䵕煯ﻨ鿿呚䵕呚䵕Ը赹ꤜ赹䵨鴠᧱͠ǧ怀钠᧱ D䈠則媠怀ˤ怀鬰᧱䜠偎呚䵕₠呚䵕灯ﻨ鿿呚䵕呚䵕Ը赹ꤜ赹䵨Ꝡ᧱ϰǧ怀ꇠ᧱&quot;&quot; 䈠則媠怀좐ˤ怀ꐀ᧱䜠偎呚䵕₠呚䵕潯ﻨ鿿呚䵕呚䵕Ը赹ꤜ赹ⶀﰃ鿿멀￩鿿樸ﰀ鿿䅈串￼䇰串￼䆀串￼䆸串￼㦰㨠㞘ﭽ鿿⸐ﰃ鿿㤠ྀｚ鿿䵨대᧱Ҁǧ怀궀᧱ D䈠則媠怀졐ˤ怀꾠᧱䜠偎呚䵕₠呚䵕浯ﻨ鿿呚䵕呚䵕Ը赹ꤜ赹䵨뺠᧱Ԑǧ怀또᧱&quot;&quot; 䈠則媠怀졠ˤ怀뭀᧱䜠偎呚䵕₠呚䵕汯ﻨ鿿呚䵕呚䵕Ը赹ꤜ赹䵨裂繂劐Ǩ怀繂   䈠則媠怀ﻰ˶怀繂䜠偎呚䵕₠呚䵕歯ﻨ鿿呚䵕呚䵕Ը赹ꤜ赹뮴蝿老찳崣퍛녔蛠吣ᖣ퍚ﻐ蛨ꁬᔤ퍚竼荵숝碇퍃ᣬ蝪老鱰暧퍖넼蛠老ꕟᕉ퍚뮨蝿老挐㰊퍏녈蛠老ꑞᓻ퍚ᡰ螀老픲ۭ퍚蛛꼷杮퍛ᣠ蝪惎퍑䵨樠濐Ǯ怀憐ǌ( ܰ䈠則媠怀霐˯怀曀䜠偎呚䵕₠呚䵕桯ﻨ鿿呚䵕呚䵕Ը赹ꤜ赹䵨亐쏰ǡ怀지   䈠則媠怀➠˪怀㊰䜠偎呚䵕₠呚䵕杯ﻨ鿿呚䵕呚䵕Ը赹ꤜ赹감蒯륥궁퍃뮴蝿罬崣퍛녔蛠∡ᖣ퍚ﻐ蛨鑻ᔤ퍚竼荵ぷ碇퍃넼蛠鸃ᕉ퍚뮨蝿老㰊퍏녈蛠兌ᓻ퍚옜蛦老沜퍗ᡰ螀老శۭ퍚蛛老杮퍛䵨繌褀Ƿ怀繌   䈠則媠怀爐ˤ怀繌䜠偎呚䵕₠呚䵕摯ﻨ鿿呚䵕呚䵕Ը赹ꤜ赹藬蛨먡퍗灀蛡ᴅ魤퍏潘蛡老嘍鮂퍏녔蛠ᖣ퍚ﻐ蛨䨟ᔤ퍚竼荵老딆碇퍃넼蛠老鑲ᕉ퍚癸蛢㰊퍏녈蛠老뉛ᓻ퍚灌蛡老ɑ퍏ᡰ螀넇ۭ퍚蛛ꑡ杮퍛뮴蝿老㸢崣퍛똰È怀駄蛥퍃ꋰ蛥腛疴퍃펜蛯꠸⠤퍘蜊㽛泆퍚㐄蝾흀蝛퍃阠蛥䤛眊퍃픘蛯ℋ⠺퍘⭨蝾老ఊ睬퍓蛰⡌퍘䵨뷀繉ሀǦ怀限暐   䈠則媠怀だ˭怀픰槤䜠偎呚䵕₠呚䵕息ﻨ鿿呚䵕呚䵕Ը赹ꤜ赹䵨쒠즐ǡ怀꿀   䈠則媠怀⠠˪怀뇠䜠偎呚䵕₠呚䵕彯ﻨ鿿呚䵕呚䵕Ը赹ꤜ赹ៀ뗠ˋ怀䭀ý怀癳g̀텀ˤ怀텈ˤ怀텈ˤ怀검͠怀검͠怀ꆐė怀۷顟때䀫鶲꟯ꯆ䀫ៀ뽀ˋ怀䡰ý怀癳g̀촰ˤ怀촸ˤ怀촸ˤ怀늀͠怀늀͠怀ꊐė怀㭤俟랍䀪뜬᪴㿳ꌀ筦⯯*镈￵鿿㧘ﭽ鿿㙐㛀䒐串￼䐠串￼䏨串￼໠ｚ鿿ࠀﰃ鿿梸ﰀ鿿᳐ﰃ鿿㗀䑘串￼Ԡ蒹老걵堢퍊㧜荵爬疴퍃⫠蒺老㽻凌퍉蓽萏瞉퍃蛰汚퍛⫼蒺㰛簩퍇퐠蒰老ﭳ眊퍃ퟘ蒵老教ⱋ퍊鴈蒵奊樓퍉해蜕㕀钽퍋鄔蛸老ⱄ搜퍗鴤蒵老ṁ㦟퍇䵨਀繍鬀Ƿ怀Ҁ繍   䈠則媠怀컀ˡ怀ڠ繍䜠偎呚䵕₠呚䵕塯ﻨ鿿呚䵕呚䵕Ը赹ꤜ赹䵨촐繂ۀǥ怀ꑰ繃   䈠則媠怀˶怀볰繁䜠偎呚䵕₠呚䵕坯ﻨ鿿呚䵕呚䵕Ը赹ꤜ赹꤀筦⯯&gt;䵨藀異Ǯ怀좠ǌ( ܰ䈠則媠怀뗰˯怀췐䜠偎呚䵕₠呚䵕呯ﻨ鿿呚䵕呚䵕Ը赹ꤜ赹䵨쪰ǡ怀   䈠則媠怀⡠˪怀䜠偎呚䵕₠呚䵕卯ﻨ鿿呚䵕呚䵕Ը赹ꤜ赹䵨늰櫋꒐Ǥ怀櫌   䈠則媠怀聠˳怀꽐櫋䜠偎呚䵕₠呚䵕副ﻨ鿿呚䵕呚䵕Ը赹ꤜ赹优ﭺ鿿˰ﰃ鿿镀￵鿿ⷰ൐ｚ鿿䬠串￼⻰䩸串￼䪰串￼賰ﵱ鿿ʐﰃ鿿䫨串￼擸ﰀ鿿⺀䵨裂曷䨠ǵ怀妐曷   䈠則媠怀ﶰ˭怀地曱䜠偎呚䵕₠呚䵕佯ﻨ鿿呚䵕呚䵕Ը赹ꤜ赹䵨蟰씐ǡ怀扰   䈠則媠怀⟠˪怀撐䜠偎呚䵕₠呚䵕乯ﻨ鿿呚䵕呚䵕Ը赹ꤜ赹눀筦⯯9䵨繠烰Ǯ怀痰ǌ( ܰ䈠則媠怀頰˯怀笀䜠偎呚䵕₠呚䵕䱯ﻨ鿿呚䵕呚䵕Ը赹ꤜ赹᱀ҿ瑣牯耐㠔蜸ǠĲ怀耀㠔背㠔à譌㠔ɀ롌㠔ɉ⼠㠕*ば㠕よ㠕Ր嬈㠕㿌高㠖髸㠖汐᳀ʍ怀᳘ʍ怀᳘ʍ怀䵨菰Ǯ怀   䈠則媠怀˫怀䜠偎呚䵕₠呚䵕䩯ﻨ鿿呚䵕呚䵕Ը赹ꤜ赹똀筦⯯&lt;쫄荵老縳痁퍃蒯塿ꎲ퍇规荵蕚硳퍃竼荵老锉碇퍃蒯老쀋ꐩ퍇췄蒯ꜚ퍇잤蒯老蠲ꍺ퍇ᴀ荵⬩隌퍇렀" userName="筤⯯)筤⯯$ៀᵀʰ怀成Î怀癳g̀Ꙑ˫怀Ꙙ˫怀Ꙙ˫怀ĕ怀ĕ怀䀰䀰䀰䀰筤⯯*筤⯯߻᱀ҿ瑣牯耐㠔蜸ǠĲ怀耀㠔背㠔à譌㠔ɀ롌㠔ɉ⼠㠕*ば㠕よ㠕Ր嬈㠕㿌高㠖髸㠖汐⬠ρ怀⭐ρ怀⭐ρ怀᱀ҿ瑣牯耐㠔蜸ǠĲ怀耀㠔背㠔à譌㠔ɀ롌㠔ɉ⼠㠕*ば㠕よ㠕Ր嬈㠕㿌高㠖髸㠖汐˪怀˪怀˪怀筤⯯+樜螆老ᬾ佰퍕林蜊㈌ぢ퍝蜊老褺ස퍔撸蜍剂疴퍃旐螆慨践퍛蜊老騈퍐掄荵老虮眊퍃蜊㴲踫퍛渜螆䬌豫퍛ꈜ蜉老զ貿퍛᱀ҿ瑣牯耐㠔蜸ǠĲ怀耀㠔背㠔à譌㠔ɀ롌㠔ɉ⼠㠕*ば㠕よ㠕Ր嬈㠕㿌高㠖髸㠖汐˪怀˪怀˪怀筤⯯:筤⯯7筤⯯-筤⯯6蒳⼯䭐퍉㱀蒵虜箖퍃ꓼ蒳鴬㢇퍉⁐蒴稕注퍉㐔蒹砺쭺퍃ꊜ蒲老݃筊퍃艔蒮Ꝋ䠋퍉ꌈ蒲굚禭퍃례蒳老ᝲ笯퍃᱀ҿ瑣牯耐㠔蜸ǠĲ怀耀㠔背㠔à譌㠔ɀ롌㠔ɉ⼠㠕*ば㠕よ㠕Ր嬈㠕㿌高㠖髸㠖汐˪怀˪怀˪怀豈筤⯯5Љê吀礀瀀攀昀愀挀攀 ꤀ ㄀㤀㤀㈀ 匀琀瀀栀攀渀猀漀渀 䈀氀愀欀攀 ⠀䠀漀氀搀椀渀最猀⤀ 䰀琀搀⸀ 䐀愀琀愀 ꤀ ㄀㤀㤀㈀ 唀刀圀⸀ 倀漀爀琀椀漀渀猀 ꤀ ㄀㤀㤀㈀ 䴀椀挀爀漀猀漀昀琀 䌀漀爀瀀⸀ 䄀氀氀 爀椀最栀琀猀 爀攀猀攀爀瘀攀搀⸀ꂄ菎奮皲퍃㧜荵ܞ疴퍃쌠荷魲盕퍃蒲몉퍄獌蒯謻쭺퍃掄荵둘眊퍃Ꚕ蒳老獩낫퍃씀莽⁓矝퍃蒲老鹎솏퍈᱀ҿ瑣牯耐㠔蜸ǠĲ怀耀㠔背㠔à譌㠔ɀ롌㠔ɉ⼠㠕*ば㠕よ㠕Ր嬈㠕㿌高㠖髸㠖汐讠ʊ怀许ʊ怀许ʊ怀ꡬྛ老쐲ᧀ퍄岜ྜྷꅤ퍄䌐ྜ│ꜳᅴ㧜荵老뭢疴퍃ꢀྛꔽ뮵ᅸ舸ྜྷ젤蝛퍃ꮠྛ鬙ᐹᅹꭌྛ老ု볹ஂ࿦老ꍖ㓫퍡ꭔྛ老筁ࣛ핿꺸ྛ老ຜᅹ࿦圳밭ᅸ꼠ྛ崵岠ᅻ᱀ҿ瑣牯耐㠔蜸ǠĲ怀耀㠔背㠔à譌㠔ɀ롌㠔ɉ⼠㠕*ば㠕よ㠕Ր嬈㠕㿌高㠖髸㠖汐˪怀˪怀˪怀᱀ҿ˝瑣牯耐䀎洫ǠĲ怀耀䀎背䀎Ę跬䀎ł꜔䀎ł䀎$䀎䀎ʖ﹨䀎븐뱸䀏벘䀏ィ遠ʽ怀邀ʽ怀邀ʽ怀㰤ꂄ老됞폺⼨ꂅ欮㩤퍳老쵊疴퍃Ὤꂅ老孧쵥퍲ᴀ荵老䘺蝛퍃老‭번할䜘ꂄ老攘簌퍃὘ꂅⵇ쭼퍲䀤ꂄ桉폺霩뮼할老ꄇ뚟할䵨⯠曺챠ǲ怀ೠ揯   䈠則媠怀Ạ˴怀Ꞡ曶䜠偎呚䵕₠呚䵕﹯ﻩ鿿呚䵕呚䵕Ը赹ꤜ赹甸蒹老乜ᶀ퍄瑈蒹老偗퍉ᴀ荵앪퍙畀蒹⴦놣퍉組蒹老空疴퍃田蒹ᡚꓦ퍈書蒹鉵慹퍉琴蒹当聰퍆用蒹老萱퍆䵨ꛀ掙Ǫ怀ꅀ掙  @䅙䝒鬀怀˴怀ꍠ掙䜠偎呚䵕₠呚䵕ﱯﻩ鿿呚䵕呚䵕Ը赹ꤜ赹ankita sharma (Student)'s OneDrive - Arizona State University ‏» ‎‎personal ‏» ‎‎ashar236_sundevils_asu_edu ‏» ‎‎Documentsankita sharma (Student)'s OneDrive - Arizona State University ‏» ‎‎personal ‏» ‎‎ashar236_sundevils_asu_edu ‏» ‎‎Documentsankita sharma (Student)'s OneDrive - Arizona State University ‏» ‎‎personal ‏» ‎‎ashar236_sundevils_asu_edu ‏» ‎‎Documents䵨鴠掙Ǫ怀鞠掙 䅙䝒鬀怀˴怀駀掙䜠偎呚䵕₠呚䵕ﻩ鿿呚䵕呚䵕Ը赹ꤜ赹䵨贀繀Ƿ怀㩐渭   䈠則媠怀틐ˣ怀渮䜠偎呚䵕₠呚䵕ﻩ鿿呚䵕呚䵕Ը赹ꤜ赹ऀ筧⯯਀筧⯯଀筧⯯ఀ筧⯯ഀ筧⯯뮴蝿褡崣퍛녔蛠Фᖣ퍚㴨荵老瘣퍃ﻐ蛨老ꠊᔤ퍚竼荵老Ḡ碇퍃넼蛠쌢ᕉ퍚뮨蝿᱀㰊퍏녈蛠老籡ᓻ퍚ᡰ螀ഴۭ퍚蛛杮퍛ༀ筧⯯䵨璀温Ƿ怀㿐渮   䈠則媠怀졀ˣ怀港䜠偎呚䵕₠呚䵕ﻩ鿿呚䵕呚䵕Ը赹ꤜ赹ᄀ筧⯯%ሀ筧⯯&amp;w怀w怀w怀w怀視w怀猪w怀軸u怀軠u怀䥈s怀䤰s怀ﱸ{怀ﱠ{怀勨y怀勐y怀ㆈz怀ㅰz怀W怀W怀᐀筧⯯ᔀ筧⯯ᘀ筧⯯ᜀ筧⯯)᠀筧⯯ᤀ筧⯯&#10;ᨀ筧⯯3ᬀ筧⯯䵨①港Ƿ怀䠠港   䈠則媠怀鹠˭怀坐港䜠偎呚䵕₠呚䵕ﻩ鿿呚䵕呚䵕Ը赹ꤜ赹뮴蝿㩏崣퍛녔蛠老祈ᖣ퍚ﻐ蛨젫ᔤ퍚膨蛵老茈䜆퍘竼荵老䕺碇퍃넼蛠ᕉ퍚뮨蝿繯㰊퍏녈蛠ꬬᓻ퍚ᡰ螀老꽷ۭ퍚蛛老杮퍛ᨄၜᧀ퍄ᐔၜ老넃ﳁ헣ጴၜّᅹᝰၜ老ࡀ堓ᅷ㧜荵ݑ疴퍃ᓘၜ老ဖ盵퍤ᦈၜ老ᝈ蝛퍃᝜ၜ老宻ᅸᖘၜ老᝼햓ᎀၜ⼍켾ᅷႄၜ支骠ᅸ䵨䴰繂ԐǷ怀ᠰ渧   䈠則媠怀䯀˴怀䢰繃䜠偎呚䵕₠呚䵕ﻩ鿿呚䵕呚䵕Ը赹ꤜ赹ῄྍ鱖퍆셐ྟ老孮젡퍜ꂄ菎老ᙀ皲퍃샀ྟ䄐ᅷ걀ྦྷɾ疴퍃쌠荷呇盕퍃ꅐྠ老啊쯈ᅻ蚨蒯搌굙퍄밐ྟ쭺퍃䃌ྠ老씯婫ᅹ瘨ྤࢭᅸ씀莽瀇矝퍃ڰྠ老❎砣ᅷ완ྟ老㝩빿ᅻᣄྍ老ḵ펛ཨྎ老핽堢퍝ꂄ菎老皲퍃ႜྍ老屲嫴퐲왔ྟ老摧퐕쌠荷湼盕퍃႔ྍ祥읨퍃蚨蒯老㼴굙퍄봄ྟ老桊쭺퍃곐ྦྷ疴퍃씀莽老屬矝퍃세ྏ老祅펞ῄྍ왜퍆ྤ㍕⼒퍚ྤ匠ﺑ퍃ꂄ菎蠈皲퍃굔ྦྷ콧疴퍃쌠荷老㈓盕퍃蚨蒯爚굙퍄쀴ྟ老쭺퍃씀莽老⁠矝퍃ྤ鼈矞헓ྤ老堢퍝ྤ老珞ﺑ퍃ꂄ菎㵡皲퍃꺤ྦྷ朰疴퍃쌠荷꤀盕퍃ྤ老༚砚퍃蚨蒯甆굙퍄뾤ྟ老쨐쭺퍃씀莽訥矝퍃␀筧⯯5─筧⯯*☀筧⯯✀筧⯯'⠀筧⯯߻⤀筧⯯ၘ老ꉡⳁᅻၘ栎觡펕ၘ老ꤼ푑㧜荵老ﰲ疴퍃ၘ老尲ᅴၘ老서딦ᅴ힘ၘ䭐뾗ᅸၘｆ쥘ᅻၘ老堻犋퍊ၘ老剀蝛퍃ၘ老垞푊ၘ老ｳџᅺ䵨沀貍嗰ǲ怀最貍   䈠則媠怀ࡐ˲怀椠貍䜠偎呚䵕₠呚䵕푯ﻩ鿿呚䵕呚䵕Ը赹ꤜ赹뮴蝿老㍟崣퍛녔蛠戔ᖣ퍚ﻐ蛨老這ᔤ퍚竼荵老甠碇퍃넼蛠老ᕉ퍚뮨蝿老븤㰊퍏녈蛠老ᓻ퍚ᡰ螀老ۭ퍚蛛ꐷ杮퍛䵨㋀繄怒Ƿ怀᮰港   䈠則媠怀苐˨怀⽠繄䜠偎呚䵕₠呚䵕퉯ﻩ鿿呚䵕呚䵕Ը赹ꤜ赹䵨㦐港Ƿ怀ଠ港   䈠則媠怀隀˭怀ീ港䜠偎呚䵕₠呚䵕텯ﻩ鿿呚䵕呚䵕Ը赹ꤜ赹⴬證老⳰퍩㏬證왐ﺑ퍃월譊老脾夂퍝윸譊鐣퍍ⷀ證老툰笅퍜ⶸ證老倘츶퍩얄譊⯶퍩儰證老卅䔜퍩⺀證⹝퍩Ⲕ證老ᴫ⼝퍩挸譓老쨮⯝퍩ⷈ證潥ⳑ퍩Ѡ譋昶夂퍝웰譊老锁鐣퍍谠證ਯ倄퍛᭄證老㹆퍩㗴證깈퍩쓀譊ꝲ鴙퍩᪼證鄢ᢺ퍩ᭌ證䍙㹮퍩톌譊老Ⱄ煎퍘䵨渮Ƿ怀繀   䈠則媠怀쫠ˡ怀渮䜠偎呚䵕₠呚䵕칯ﻩ鿿呚䵕呚䵕Ը赹ꤜ赹㈀筧⯯ྩ老朇疴퍃ཨྎ老逳堢퍝폴ྣ蔂⺤푚ႜྍ老嫴퐲세ྏ老贵펞㐀筧⯯&#10;䵨捰繉㑐Ƿ怀巰繉   䈠則媠怀˪怀怐繉䜠偎呚䵕₠呚䵕쩯ﻩ鿿呚䵕呚䵕Ը赹ꤜ赹䵨囐繉㏀Ƿ怀児繉   䈠則媠怀˪怀印繉䜠偎呚䵕₠呚䵕쥯ﻩ鿿呚䵕呚䵕Ը赹ꤜ赹ᣄྍ펛ῄྍ老湆퍆ꂄ菎䄒皲퍃세ྏ老펞ႜྍ塖嫴퐲쌠荷ॹ盕퍃႔ྍ빀읨퍃蚨蒯ᭊ굙퍄଄ྍ縭쭺퍃씀莽Ⰻ矝퍃讀ྐ⁀疴퍃ཨྎ慱堢퍝뮴蝿쵇崣퍛芴ྥ老ѐ斃ᅻ竼荵老ᵊ碇퍃뮨蝿偼㰊퍏駈ྣ老恬㿋ᅷ蛛老너杮퍛䌼蜃楩퍙뮴蝿老崣퍛竼荵㔙碇퍃뮨蝿級㰊퍏蛛老촶杮퍛䵨㄀港Ƿ怀港   䈠則媠怀退˭怀ⶠ港䜠偎呚䵕₠呚䵕앯ﻩ鿿呚䵕呚䵕Ը赹ꤜ赹끌ྦྷͤᅺ껴ྦྷ老㔠疴퍃㣄ྤ老眊퍃깐蒹老䜹鴋퍉㞔ྤ陌ᅸẐྐ輛ᅻ㝌ྤ☗䵲ᅸܬྐ湓㰲ᅼˀྐ老然苤ᅺࣄྐ老ꄲ矄ᅴᴀ荵老䡏蝛퍃淰ྤ帓疴퍃쾌Ⴍ땩㵌ᅻ᪀ྐ셔詏ᅹ㶨ྤ鼧䂝ᅻ⧼ྐꨘ➞ᅹᨌྐ陙묯ᅺ䵨䨰繉㊠Ƿ怀נ繉   䈠則媠怀˪怀䛐繉䜠偎呚䵕₠呚䵕쉯ﻩ鿿呚䵕呚䵕Ը赹ꤜ赹䃘串￼絀門￵鿿櫸ﰀ鿿贐ﰀ鿿㠰ﰃ鿿糐厘ｺ鿿粐䁨串￼䂠串￼࿐ｚ鿿䵨諀祗Ǿ怀鄐祐   䈠則媠怀ᜐ˵怀蝠祗䜠偎呚䵕₠呚䵕쁯ﻩ鿿呚䵕呚䵕Ը赹ꤜ赹䵨嵠ᒕୀǳ怀ﬀᒒ   䈠則媠怀䧰˳怀孰ᒕ䜠偎呚䵕₠呚䵕뽯ﻩ鿿呚䵕呚䵕Ը赹ꤜ赹뵬菄老᠔砅퍃佘获老癈홃퍃䘬莸老鬵碲퍃曨莸老뗳퍃䞸莸老ㅛ疧퍃菂䈵ꪅ퍃橘莸堣쐖퍃爜荵靖瘗퍃痄荵老矹퍃錜荵ꬌ癉퍃艄莸老死퍃윬Ãｚ샮퍃槬莸鍱뗭퍃㊄莼老鸣癎퍃䵨貉異Ƿ怀浠曾   䈠則媠怀莠˩怀ﲠ貈䜠偎呚䵕₠呚䵕뵯ﻩ鿿呚䵕呚䵕Ը赹ꤜ赹䵨ⅰ搉鎰Ǽ怀ᯰ搉   䈠則媠怀Ґ˱怀Ḑ搉䜠偎呚䵕₠呚䵕뱯ﻩ鿿呚䵕呚䵕Ը赹ꤜ赹䵨ﶠ繋묐Ƿ怀낐繌   䈠則媠怀篰ˠ怀됐繌䜠偎呚䵕₠呚䵕뭯ﻩ鿿呚䵕呚䵕Ը赹ꤜ赹䶅ĀꞀÕ錠ʿ怀耀ᰂ䛀Ɲ怀邀˴怀섀͗怀䀀က䂐䁠쀀䁰怀䁵ꔰ­怀Ā￞㍸п㡐У訰ɣ怀꾰ɣ怀聰l怀㍸п판̵怀탐̵怀虀ǐ怀펐̵怀鋐Ϛ怀폐̵怀퍐̵怀ැၜ뙼죣ᅹ࿰ၜ흙鎄ᅴ㧜荵䨿疴퍃ྰၜㅋ鋷ᅺူၜ猍蝛퍃ဠၜ൩햌퍪౔ၜ㌤됿폢࿌ၜᰙ햓ྠၜ✁妏ᅷ䠀筧⯯&#10;䤀筧⯯!蕜蒱鐗䐡퍉衤蒱疴퍃ꅐ莼䭂퍃ⵄ蒳안ඨ퍊荵老͋碹퍃蚈蒱婣퍃诸蒯愆辋퍅鹀̧怀蹀̧怀薀̧怀鑀̧怀阀̧怀鈀̧怀蓀̧怀销̧怀鍀̧怀鿀̧怀Ꙁ̧怀鳀̧怀麀̧怀豀̧怀謀̧怀蛀̧怀蚀̧怀䵨쁠殫衰Ƕ怀鲠排 䈠則媠怀˴怀핀䜠偎呚䵕₠呚䵕덯ﻩ鿿呚䵕呚䵕Ը赹ꤜ赹㍸п㡐Уߐʰ怀ᇰʰ怀鲐f怀㍸п벐Η怀Η怀虀ǐ怀궐Η怀甠Ȕ怀두Η怀꼐Η怀䶅ĀꞀŢ⥀ɦ怀䀀ሢ였Ɨ怀籠怀⾐ᒕ≀Η怀䁙䁙㿰㿰ࣀ­怀āf㍸п㡐У➐ʰ怀ሰʰ怀꽐f怀㍸п麐Η怀긐Η怀虀ǐ怀뽐Η怀ȕ怀뿐Η怀뜐Η怀㍸п㡐У瞰ɠ怀数ɠ怀߰o怀㍸п흐̨怀̨怀虀ǐ怀쨐̨怀开ϱ怀̨怀쁐̨怀儀筧⯯-检̧怀渀̧怀満̧怀滀̧怀焀̧怀ࡀ̧怀࿀̧怀⁀̧怀⍀̧怀⏀̧怀␀̧怀◀̧怀♀̧怀⚀̧怀❀̧怀⠀̧怀⡀̧怀⣀̧怀⬀̧怀⭀̧怀⮀̧怀Ⰰ̧怀㈀̧怀䵨␀ᒕҀǳ怀İᒕ   䈠則媠怀倐˳怀⠰ᒕ䜠偎呚䵕₠呚䵕걯ﻩ鿿呚䵕呚䵕Ը赹ꤜ赹䵨綾藺Ǵ怀촐綴   䈠則媠怀屠˲怀켰綴䜠偎呚䵕₠呚䵕꭯ﻩ鿿呚䵕呚䵕Ը赹ꤜ赹ͪ?ˏέˁ̟x־ʡ˄͘ɉĄʗͻ͓čկʍµ̘̬Χøêՙι2՘ʈˠ́7Ԗ֙υ·¹cHoԠԟԛî֗ζ˹ªԘԗԔׂՕլ٪ԞԜf֐ĹįՒĬ£Äԙ֖í֘Ķ͖֚՚՛ńۉ՟䵨늠Ƕ怀騠0 䈠則媠怀˴怀䜠偎呚䵕₠呚䵕ꥯﻩ鿿呚䵕呚䵕Ը赹ꤜ赹䵨剰ᒕࡰǳ怀䗰ᒕ   䈠則媠怀䷠˳怀伐ᒕ䜠偎呚䵕₠呚䵕ꡯﻩ鿿呚䵕呚䵕Ը赹ꤜ赹뫴蒯老ﭐꞰ퍇슴蒯老匫ꔑ퍇蒯䥆ꎲ퍇謌老㥐ム퍗蒯㬆ꐩ퍇竼荵ⵔ碇퍃췄蒯老⁢ꜚ퍇잤蒯老ĭꍺ퍇뿼蒯搢Ꝼ퍇뼜蒯老ᐻ퍇왬謌老洶ᕽ퍘裈謍老ѕ퍊穬蛽렚涠퍗감蒯䩸궁퍃蒸老鰴䲱퍳襜蒰处퍳忸蒰d疴퍃蒸老촪扜퍳Ӭ蒰䠧퍇掄荵ౄ眊퍃ᵴ蒹老ﱑ䴋퍅ᘠ蒰老帣ꕬ퍃襜蒰老褕崞퍳ቀ͙怀㖀͙怀㶀͙怀㹀͙怀ी͙怀၀͙怀⹀͙怀ᘀ͙怀㺀͙怀㾀͙怀㼀͙怀㷀͙怀㡀͙怀ᆀ͙怀ក͙怀࿀͙怀ᅀ͙怀⎀͙怀⊀͙怀ᩀ͙怀ႀ͙怀ᡀ͙怀㘀͙怀ᮀ͙怀᱀͙怀ࠀ͙怀㰀͙怀䵨䟀搉衰Ǽ怀䉀搉   䈠則媠怀Რ˱怀䑠搉䜠偎呚䵕₠呚䵕ꑯﻩ鿿呚䵕呚䵕Ը赹ꤜ赹㍸п㡐У綰ɠ怀子ɠ怀ﺰm怀㍸п̯怀찐̯怀虀ǐ怀휐̯怀ばϕ怀̯怀큐̯怀㍸п㡐У崐ɠ怀曰ɠ怀␐o怀㍸п﬐̨怀헐̨怀虀ǐ怀톐̨怀灰ϋ怀컐̨怀ﱐ̨怀䵨梠揠ᕠǴ怀挠揠   䈠則媠怀㑀˴怀敀揠䜠偎呚䵕₠呚䵕ꅯﻩ鿿呚䵕呚䵕Ը赹ꤜ赹䵨逰替ǲ怀誰替   䈠則媠怀箠˵怀賐替䜠偎呚䵕₠呚䵕ꁯﻩ鿿呚䵕呚䵕Ը赹ꤜ赹怀筧⯯㍸п㡐Уʀ怀컰ʀ怀䫰怀㍸п̥怀슐̥怀虀ǐ怀̥怀⋀χ怀퐐̥怀̥怀媀̦怀姀̦怀婀̦怀妀̦怀奀̦怀夀̦怀塀̦怀壀̦怀埀̦怀嬀̦怀墀̦怀圀̦怀址̦怀囀̦怀嚀̦怀噀̦怀嘀̦怀䵨攠ᒔỰǳ怀徠ᒔ 䅙䝒鬀怀䭠˳怀懀ᒔ䜠偎呚䵕₠呚䵕鱯ﻩ鿿呚䵕呚䵕Ը赹ꤜ赹䄀̦怀䀀̧怀䁀̧怀䂀̧怀䃀̧怀䄀̧怀䅀̧怀䆀̧怀䇀̧怀䈀̧怀䉀̧怀䊀̧怀䋀̧怀䌀̧怀䍀̧怀䎀̧怀䏀̧怀䐀̧怀㍸п㡐У姰ɦ怀困ɦ怀峰怀㍸п̮怀̮怀虀ǐ怀㘐̡怀㊰϶怀⊐̡怀┐̡怀ﲰ蛾瘿孡퍕ﱜ蛾老ᑪ疴퍃瑈蛮걆此퍔玬蛮怵鈤퍑瑘蛮귕퍔華蛾襊ཙ퍍ﷄ蛾老遙蝛퍃ﴀ蛾老扙죫퍔瑐蛮老噿쾌퍔ﱌ蛾䙯瀭퍓ﱄ蛾老덐쪿퍕瘝蛾老橵퍑泔蛽ᄁ퍛勀蜅䴒疴퍃쭤蛽老ꝿ硤퍌ꏄ蛽老ਗ銃퍘ᴀ荵老爄ꇴ퍋॰莹老앗鄕퍃穴蛽䑈ਆ퍗粠蛽老⬣ຈ퍘꓄蛽9鑈퍋掄荵ḇ眊퍃阘螆老唻蝛퍃ᴀ荵老預燎퍘爘蛽찮蟡퍅꒴蛽！钟퍋栀筧⯯ 䵨浠ᒔᮐǳ怀柠ᒔ  @䅙䝒鬀怀丰˳怀樀ᒔ䜠偎呚䵕₠呚䵕陯ﻩ鿿呚䵕呚䵕Ը赹ꤜ赹器᩷⟘İ怀Ꞙ䎸㉠ń怀栠호⨑䍰㻨衈愀細⧭ዠ案夠짠⽰夠짠㍸п㡐У昐ɠ怀䙐ɠ怀バo怀㍸пᶐ̫怀쬐̨怀虀ǐ怀⌐̫怀碀ϋ怀᷐̫怀Ẑ̫怀氀筧⯯߻㍸п㡐Уꤐʀ怀땐ʀ怀䮰怀㍸п̥怀̥怀虀ǐ怀텐̥怀㴀χ怀̥怀̥怀渀筧⯯7㍸п㡐У칰ʀ怀ʀ怀뉐怀㍸п﯐̥怀̥怀虀ǐ怀̥怀Ạχ怀̥怀쿐̥怀㍸п㡐У殐ʙ怀翐ʙ怀붐怀㍸п⺐͙怀ዐ͙怀虀ǐ怀ᝐ͙怀䖰ϥ怀Ẑ͙怀ᄐ͙怀䵨㮰搉蔐Ǽ怀㘰搉   䈠則媠怀Ẁ˱怀㡐搉䜠偎呚䵕₠呚䵕蹯ﻩ鿿呚䵕呚䵕Ը赹ꤜ赹  耠 耠  耠       耠        @@@@@@@@㍸п㡐У⳰ɫ怀ጐɫ怀鬐怀㍸п㫐ͼ怀촐ͽ怀虀ǐ怀㈐ͼ怀退Ș怀㷐ͼ怀័ͼ怀참ᮋ᰸⨎嬨狠˙怀㻨狠˙怀狠˙怀鞐ų怀狠˙怀鰸⨚狠˙怀狠˙怀喝牀˙怀狠˙怀牀˙怀牀˙怀牀˙怀狠˙怀牀˙怀狠˙怀狠˙怀䡀̦怀䩀̦怀䧀̦怀厀̦怀䥀̦怀叀̦怀䤀̦怀䢀̦怀吀̦怀䪀̦怀䝀̦怀哀̦怀䦀̦怀䜀̦怀䛀̦怀䚀̦怀䬀̦怀䙀̦怀䒀̦怀䈀̦怀䃀̦怀䂀̦怀瘀筧⯯)㬀͙怀㯀͙怀ᖀ͙怀 ͙怀㣀͙怀׀͙怀฀͙怀⒀͙怀㦀͙怀ྀ͙怀ሀ͙怀ᜀ͙怀≀͙怀㢀͙怀㫀͙怀㝀͙怀ᛀ͙怀㤀͙怀㙀͙怀䖱ĀސmMacintosh HD ‎» Users ‎» gsun20 ‎» Downloads ‎» autopipeline-benchmarks-main ‎» commercial-pipelines ‎» a06_1䵨᐀搉輰Ǽ怀຀搉   䈠則媠怀͠˱怀Ⴀ搉䜠偎呚䵕₠呚䵕虯ﻩ鿿呚䵕呚䵕Ը赹ꤜ赹鶴蛽老ﴽ貒퍜翴蛽䡃햑퍜鿘蛽老︇銃퍘吘蜅老ɳ疴퍃鸜蛽罖硤퍌॰莹老鴎鄕퍃鬬蛽老荊ਆ퍗꒼蛽踿鑈퍋繰蛽老갺眊퍃䰄螇깧蝛퍃肄蛽老䝵퍝꒸蛽老䴲钟퍋場謋老偶痴퍃袰謋特碇퍃襨謋ﵺ蝇퍨堌謋老‼퍚謌㱟礍퍨作荵ᕼ痮퍃䖱ĀސmMacintosh HD ‎» Users ‎» gsun20 ‎» Downloads ‎» autopipeline-benchmarks-main ‎» commercial-pipelines ‎» a06_1ꋀ̧怀鯀̧怀頀̧怀꓀̧怀赀̧怀鉀̧怀闀̧怀鋀̧怀趀̧怀需̧怀陀̧怀ꏀ̧怀鎀̧怀駀̧怀ꗀ̧怀鄀̧怀鐀̧怀錀̧怀騀̧怀蘀̧怀躀̧怀葀̧怀跀̧怀踀̧怀ꘀ̧怀鴀̧怀ꃀ̧怀齀̧怀ꂄ菎老谷皲퍃補莻奄쪓퍃㧜荵老饠疴퍃쌠荷老쥞盕퍃蒲眨몉퍄蒰老扴쭺퍃蒲老砅낫퍃씀莽幆矝퍃蒲老Ὂ솏퍈㍸п㡐У⥰ʰ怀ʐʰ怀鵐f怀㍸пꮐΗ怀귐Η怀虀ǐ怀ꯐΗ怀짐Ȓ怀눐Η怀볐Η怀䵨䐀揢﬐ǲ怀ꔀ揫   䈠則媠怀ﶀ˲怀⨐曾䜠偎呚䵕₠呚䵕罯ﻩ鿿呚䵕呚䵕Ը赹ꤜ赹뮴蝿崣퍛竼荵老儧碇퍃뮨蝿老긡㰊퍏蛛䌙杮퍛䵨휀槬㷠ǰ怀톀槬   䈠則媠怀焀˷怀펠槬䜠偎呚䵕₠呚䵕絯ﻩ鿿呚䵕呚䵕Ը赹ꤜ赹㍸п㡐У襐ʊ怀ꑐʊ怀怀㍸п̢怀瓐̢怀虀ǐ怀̢怀聰ȼ怀̢怀읐̢怀䵨㑠揫ǳ怀ર貇   䈠則媠怀㉀˴怀曾䜠偎呚䵕₠呚䵕筯ﻩ鿿呚䵕呚䵕Ը赹ꤜ赹蛴ꕣ술퍃﹬蛩老呋퍕ﹸ蛩老╕퍕﷠蛩卡匳퍖࢜蜽䙁퍕큜蜇꽙퍑Ӹ蜃ᐾ퍕р蜃老䥒㵫퍍蛩섐퍒ʄ蛫丐퍕䵨Ⴐ綹毠Ǳ怀ᇀ櫄   䈠則媠怀˪怀勀櫆䜠偎呚䵕₠呚䵕祯ﻩ鿿呚䵕呚䵕Ը赹ꤜ赹㍸п㡐У娐ɠ怀環ɠ怀鞰j怀㍸п㟐̷怀㝐̷怀虀ǐ怀㡐̷怀Ϙ怀㢐̷怀㠐̷怀䵨큠曷튐ǲ怀氰揫   䈠則媠怀ﷀ˲怀ᢐ曾䜠偎呚䵕₠呚䵕睯ﻩ鿿呚䵕呚䵕Ը赹ꤜ赹摸丯￼垐丯￼囨丯￼坘丯￼윸鱢￼嚰丯￼熸ﾘ鿿螸Ⅵ�熰ﾘ鿿相ﰄ鿿螠Ⅵ�쑸鱢￼쨘鱢￼摀丯￼螘Ⅵ�噸丯￼巰ﵹ鿿圠丯￼埈丯￼䖱Āތ㇠改㕢㍥搷㙥㐸散㠳散挵㍦㕤㐸搲昳ⴷ㡥㈷㤲ㄴ戭敤ⴵ戴㠹㤭摣ⴵ㜲㔷捥ㄵ㠴挲㘭㜸ⰳ㐴ㅣ慤㜶昹㡦㘴挳愸㔸改挲㉢ㄵ〴ㅢ昭ㄲ㕡㘳ⴲ㉦㙤㐭收ⴶㅡ扣㔭㈲㠶㘲愰挵ⴹ㔷〶挬㡤㘳㈶㘶ㄱ㑣慣慡昸㕣㉢㝥㠲敥ㄸⵤ戳搶挶㔴㘭㜳ⴷ戴㕦㤭㤷ⴲ扤㡦ㅥ㠸〱㠸㜭㈵1䵨環替ǲ怀컰曼   䈠則媠怀ﹰ˲怀煐替䜠偎呚䵕₠呚䵕瑯ﻩ鿿呚䵕呚䵕Ը赹ꤜ赹䵨赀揩ﮠǲ怀噐替   䈠則媠怀ﴀ˲怀곐書䜠偎呚䵕₠呚䵕獯ﻩ鿿呚䵕呚䵕Ը赹ꤜ赹ៀᫀʺ怀㭠Ð怀癳g̀ﱠ˴怀ﱨ˴怀ﱨ˴怀赸Ė怀趐Ė怀䀴䀴䀴䀴ៀ⮠ʻ怀朐Í怀癳g̀ᴀ˷怀ᴈ˷怀ᴈ˷怀蹸Ė怀躐Ė怀䀰䀰䀰䀰䵨꜐朦㌰Ǿ怀峐朩   䈠則媠怀虐˰怀廰朩䜠偎呚䵕₠呚䵕灯ﻩ鿿呚䵕呚䵕Ը赹ꤜ赹䵨琀曾쨠ǲ怀満曾   䈠則媠怀Ｐ˲怀炠曾䜠偎呚䵕₠呚䵕潯ﻩ鿿呚䵕呚䵕Ը赹ꤜ赹䵨㾀貉⨰Ƕ怀㨀貉   䈠則媠怀㡐˯怀㰠貉䜠偎呚䵕₠呚䵕湯ﻩ鿿呚䵕呚䵕Ը赹ꤜ赹⼴蛣ⱓ퍝簸蛤老ⅺ퍑蛛甩⛃퍏음蛨老먝뚳퍋연蛲疴퍃읈蛲老䜓ꉥ퍓蛤Ὧ殘퍖蛤老疧퍃蝀老줼痉퍃荵遵碹퍃ஸ蛝老줙阪퍓ৈ蛣老㽊퍏࿥老뉅蝛퍃⬘蛣椯㴯퍏ﲨ鿿⠘ﲬ鿿魘＆鿿쾘ﲨ鿿鬨＆鿿쾐ﲨ鿿ﲨ鿿꽸⠐ﲬ鿿丳￼쬘﷦鿿䵨⏠闰ǯ怀@@ Ā䈠則媠怀聀˩怀⫰䜠偎呚䵕₠呚䵕歯ﻩ鿿呚䵕呚䵕Ը赹ꤜ赹䵨촠祛犠Ǳ怀梐祘   䈠則媠怀셠˫怀櫇䜠偎呚䵕₠呚䵕橯ﻩ鿿呚䵕呚䵕Ը赹ꤜ赹䵨苀替ǲ怀書   䈠則媠怀羠˵怀書䜠偎呚䵕₠呚䵕楯ﻩ鿿呚䵕呚䵕Ը赹ꤜ赹䵨䙠ꐀǯ怀䎐   䈠則媠怀聐˩怀←䜠偎呚䵕₠呚䵕桯ﻩ鿿呚䵕呚䵕Ը赹ꤜ赹뮴蝿老餘崣퍛竼荵♿碇퍃뮨蝿େ㰊퍏蛛』杮퍛ᴀ荵老졼퍑琠蛶뜕疴퍃舔蝵老慕쫧퍍ᴀ荵老䑴ꦉ퍗肐蝵老估犙퍙ᴀ荵老㰢赭퍗ᴀ荵老吟쾻퍍萼蝵老腻ㄭ퍗ᴀ荵老氯䱎퍘腔蝵턎퍛䵨耐曾ǲ怀窐曾   䈠則媠怀ｰ˲怀粰曾䜠偎呚䵕₠呚䵕敯ﻩ鿿呚䵕呚䵕Ը赹ꤜ赹鬀筧⯯(䵨Ƞ替ǲ怀尐替   䈠則媠怀ﺰ˲怀ﻀ曾䜠偎呚䵕₠呚䵕捯ﻩ鿿呚䵕呚䵕Ը赹ꤜ赹䵨㓀漌ୀǲ怀⽀漌   䈠則媠怀㥀˲怀ㅠ漌䜠偎呚䵕₠呚䵕扯ﻩ鿿呚䵕呚䵕Ը赹ꤜ赹公ၒ老ݰ筀퍉橬荵老쭍眅퍃亐ၒ老먫魢ᅸ冔ၒ老䬭췣ᅺ㧜荵老赶疴퍃兜ၒ꩎报ᅸ錜荵ᅿ癉퍃兔ၒ①ᔈ퍋倌ၒ瞉퍃农ၒశ蝛퍃儼ၒ老Լ厮퍣俀ၒ老괞癎퍃兌ၒȘ첏퍄䵨擄曼ǲ怀曼   䈠則媠怀ﻰ˲怀曼䜠偎呚䵕₠呚䵕息ﻩ鿿呚䵕呚䵕Ը赹ꤜ赹䵨矀櫊툀ǵ怀ؠ櫌   䈠則媠怀떠˳怀ࡀ櫌䜠偎呚䵕₠呚䵕彯ﻩ鿿呚䵕呚䵕Ը赹ꤜ赹῀蒳老ቜၓ퍈효蔋老ᡁ碲퍃蒮ⵖ呣퍊횬蔋疧퍃䵨砐ᬛ즐Ǵ怀ᬞ   䈠則媠怀ᜠ˵怀瘠ᬛ䜠偎呚䵕₠呚䵕嵯ﻩ鿿呚䵕呚䵕Ը赹ꤜ赹䵨壐握ǵ怀㙠綵   䈠則媠怀깐˳怀限槩䜠偎呚䵕₠呚䵕屯ﻩ鿿呚䵕呚䵕Ը赹ꤜ赹䵨造貋팠ǳ怀詠貋   䈠則媠怀˴怀踰貋䜠偎呚䵕₠呚䵕孯ﻩ鿿呚䵕呚䵕Ը赹ꤜ赹॰蜂老퍃ᴀ荵老頥疒퍃̀蒰ﭏ瘃퍃傴蛶ᰵ疴퍃Ș蜂老ଓ盕퍃μ蒰♀疧퍃鍨蒶怽瘗퍃ب蒰老獽盨퍃㤀蛶ὪῩ퍇ᴀ荵老꘎鞌퍃Ȉ蜂老尩矝퍃͜蒰畎퍃ᴀ荵老豶綏퍜ᴀ荵老豈ﳳᅸ퉌Ⴧ老帴໌폠Ⴧਅ䅔໌Ⴧ老䠖ᰶ폇튔Ⴧ攮ᅶჇ老穸퍃Ⴧ⑜폍Ⴧ老蜨ᘎ퍜Ⴧ老坼⎮໌Ⴧᑾᅹ꜀筧⯯߻䈀Ӎ老䄜먡퍗灀蛡ై魤퍏潘蛡㱽鮂퍏녔蛠老밆ᖣ퍚ﻐ蛨老⭳ᔤ퍚竼荵老逌碇퍃佈蛤쬽⯨퍓넼蛠老簘ᕉ퍚뮨蝿攲㰊퍏녈蛠흍ᓻ퍚灌蛡豯퍏ᡰ螀唓ۭ퍚蛛饾杮퍛뮴蝿老᝺崣퍛䵨漎≐Ǿ怀ក漏   䈠則媠怀빠˰怀흐漎䜠偎呚䵕₠呚䵕噯ﻩ鿿呚䵕呚䵕Ը赹ꤜ赹雈郠老㈡퍥겘郠ᰣ퍈鞰郡老㘾杧퍾饀郡렁枧퍾並郞老둟ⵉ퍾郢ᭃ樚퍾郢셸燼퍾顸郡老椆杼퍾郢老괰樀퍾餴郠幉＿퍃䵨㑐漋ᾀǲ怀⻐漋   䈠則媠怀㦀˲怀ヰ漋䜠偎呚䵕₠呚䵕呯ﻩ鿿呚䵕呚䵕Ը赹ꤜ赹爜荵尡瘗퍃⩼蛞老挍粉퍗㦀荵老䤋碲퍃ᴀ荵ᥤ퍍㧜荵老战疴퍃橬荵老儸眅퍃痐荵老穵瞉퍃⑜蛝⥿疧퍃蛬訋퍘ᴀ荵䡛퍐␔蛝팁眊퍃鼜蜇踧ꭜ퍜뉌蜀啢걃퍜荵戀砟퍃ਘ蛸老줒쪠퍗蛬ὣⷁ퍞蛬焎퍉জ蛸老㬘ࣨ퍊蛬鑽ﳚ퍙蛬︣犝퍝䖱ĀސmMacintosh HD ‎» Users ‎» gsun20 ‎» Downloads ‎» autopipeline-benchmarks-main ‎» commercial-pipelines ‎» a05_1䵨ῐᬜ펰Ǯ怀甐ᬛ   䈠則媠怀˨怀ᱰᬜ䜠偎呚䵕₠呚䵕偯ﻩ鿿呚䵕呚䵕Ը赹ꤜ赹䵨ⱰᬜǮ怀⛰ᬜ   䈠則媠怀˨怀⤐ᬜ䜠偎呚䵕₠呚䵕佯ﻩ鿿呚䵕呚䵕Ը赹ꤜ赹䵨㤐ᬜǮ怀㎐ᬜ   䈠則媠怀˨怀㖰ᬜ䜠偎呚䵕₠呚䵕乯ﻩ鿿呚䵕呚䵕Ը赹ꤜ赹䵨䖰ᬜ횀Ǯ怀䀰ᬜ   䈠則媠怀˨怀䉐ᬜ䜠偎呚䵕₠呚䵕䵯ﻩ鿿呚䵕呚䵕Ը赹ꤜ赹䵨嘰ᬜỰǠ怀傰ᬜ   䈠則媠怀侐˫怀勐ᬜ䜠偎呚䵕₠呚䵕䱯ﻩ鿿呚䵕呚䵕Ը赹ꤜ赹䵨拐ᬜ೰Ǡ怀嵐ᬜ   䈠則媠怀긐˫怀彰ᬜ䜠偎呚䵕₠呚䵕䭯ﻩ鿿呚䵕呚䵕Ը赹ꤜ赹䵨潰ᬜ䄠Ǡ怀槰ᬜ   䈠則媠怀㩀˪怀氐ᬜ䜠偎呚䵕₠呚䵕䩯ﻩ鿿呚䵕呚䵕Ը赹ꤜ赹䵨簐ᬜ扐Ǡ怀皐ᬜ   䈠則媠怀攠˪怀碰ᬜ䜠偎呚䵕₠呚䵕䥯ﻩ鿿呚䵕呚䵕Ը赹ꤜ赹䵨ؠ揧ﳀǲ怀纰曶   䈠則媠怀﵀˲怀⅀曾䜠偎呚䵕₠呚䵕䡯ﻩ鿿呚䵕呚䵕Ը赹ꤜ赹䵨艰貋챠ǳ怀糰貋   䈠則媠怀쀰˴怀缐貋䜠偎呚䵕₠呚䵕䝯ﻩ鿿呚䵕呚䵕Ը赹ꤜ赹MapMapMapMapMapMap Geography&#10;UniqueNameNameTBDImageNameWP(Admin Division 2 (County/district/other)), P(Admin Division 1 (State/province/other))=P(Admin Division 1 (State/province/other)), P(Country/region)Country/regionDescription115942XLO_Datatypes_Disambig120734182916XLO_Datatypes_Noresults&#10;PowerBIRibbonWorkDataConvert to Organization datamyour organization's data.&#10;&#10;You can expand the data types dropdown to see what data types are available to youPower BIOrganization&#10;UniqueNameNameTBDImageName&#10;P(WikiPageID)kSelect a matching result. To view more results, select Change to specify a data type or modify your search.Powered by Power BI&#10;DataTypes_PBI191662XLO_OrgDT_NoResultsHighlightedFrom your organizationMore from your organization...!Show more Organization data types-Finance_dce6b7bc99684509897ab6a26c05f173.data-Finance_dce6b7bc99684509897ab6a26c05f173.data0Geographic_2a1a98f23b16478f90b00d39cc08695d.data0Geographic_2a1a98f23b16478f90b00d39cc08695d.data.v2.1601652342626/en-US/en.en-US.zh-CN.zh-Hans/ahttps://enrichment.osi.office.net/OfficeEnrichment/v2.1601652342626/en-US/en.en-US.zh-CN.zh-Hans/&#10;Recently used筧⯯2筧⯯&gt;䵨殦두Ƿ怀僀殪   䈠則媠怀ऐ˩怀勠殪䜠偎呚䵕₠呚䵕፯ﻩ鿿呚䵕呚䵕Ը赹ꤜ赹ៀ疀ʽ怀甠Ð怀癳g̀ﷀ˴怀﷈˴怀﷈˴怀Ė怀Ė怀䀴䀴䀴䀴的荵鬍瘣퍃胼荵老瞡퍃㧜荵砥疴퍃犌薣老퍊ኤ薣老驫퍊㦤薣왜퍊ሄ薣䉦ퟛ퍊뮜薯渻퍊솴薯訊퍊볈薯老䑡퍊筧⯯?筧⯯@筧⯯7䵨㟰綿Ǵ怀㉰綿   䈠則媠怀煐˲怀㒐綿䜠偎呚䵕₠呚䵕൯ﻩ鿿呚䵕呚䵕Ը赹ꤜ赹筧⯯;筧⯯0筧⯯:筧⯯4勌ޔ老䔽偦࠲嬬ސ老棂ᅹ啬ސ老䣄풨㧜荵㙙疴퍃顈ސ老朧ᔈ퍋嗌ސ錽텆퍠幼ސ老퍊仜ސ≩氨࠲匠ސ老横࠲氘ࠃꨤ蝛퍃储ސ老艢᲍ᅺ峜ސ老搘첏퍄筧⯯1豈筧⯯9切筧⯯6㍸п㡐У뵐ɣ怀륰ɣ怀꠰l怀㍸п̵怀̵怀虀ǐ怀̵怀뾠Ϛ怀̵怀̵怀녔蛠Ʌᖣ퍚뮴蝿⠢崣퍛ﻐ蛨ൎᔤ퍚竼荵䤰碇퍃넼蛠老嘧ᕉ퍚뮨蝿뜕㰊퍏녈蛠ᵎᓻ퍚ᡰ螀魱ۭ퍚蛛쵮杮퍛ﴀ筧⯯+︀筧⯯߻＀筧⯯5  耠 耠  耠       耠        @@@@@@@@䵨ዀ繎嚀Ƿ怀ീ繎   䈠則媠怀奠˩怀འ繎䜠偎呚䵕₠呚䵕﹯ﻨ鿿呚䵕呚䵕Ը赹ꤜ赹᱀ҿ瑣牯耐㠔蜸ǠĲ怀耀㠔背㠔à譌㠔ɀ롌㠔ɉ⼠㠕*ば㠕よ㠕Ր嬈㠕㿌高㠖髸㠖汐큠˪怀큰˪怀큰˪怀䵨繍汰ǯ怀繍   䈠則媠怀櫀˩怀繍䜠偎呚䵕₠呚䵕ﱯﻨ鿿呚䵕呚䵕Ը赹ꤜ赹䵨繍呀ǯ怀홐繍   䈠則媠怀氐˩怀繍䜠偎呚䵕₠呚䵕ﭯﻨ鿿呚䵕呚䵕Ը赹ꤜ赹䵨繍춀ǫ怀繍   䈠則媠怀垰˩怀繍䜠偎呚䵕₠呚䵕﩯ﻨ鿿呚䵕呚䵕Ը赹ꤜ赹녔蛠ﴋᖣ퍚뮴蝿老婴崣퍛ﻐ蛨険ᔤ퍚竼荵老碇퍃넼蛠ﹿᕉ퍚뮨蝿䬃㰊퍏녈蛠老ꡭᓻ퍚ᡰ螀ۭ퍚蛛老⩋杮퍛䖱ĀސoMacintosh HD ‎» Users ‎» gsun20 ‎» Downloads ‎» autopipeline-benchmarks-main ‎» commercial-pipelines ‎» adf02_1䵨쪠厰Ǯ怀桠ǌ( ܰ䈠則媠怀韀ˢ怀좰䜠偎呚䵕₠呚䵕ﻨ鿿呚䵕呚䵕Ը赹ꤜ赹䵨检繈⨰Ƿ怀挀繈   䈠則媠怀콰˴怀曐繈䜠偎呚䵕₠呚䵕ﻨ鿿呚䵕呚䵕Ը赹ꤜ赹᱀ҿ瑣牯耐㠔蜸ǠĲ怀耀㠔背㠔à譌㠔ɀ롌㠔ɉ⼠㠕*ば㠕よ㠕Ր嬈㠕㿌高㠖髸㠖汐˪怀˪怀˪怀녔蛠ᖣ퍚뮴蝿戶崣퍛ﻐ蛨老㵫ᔤ퍚竼荵老턉碇퍃넼蛠ⴘᕉ퍚뮨蝿老୙㰊퍏녈蛠老㌫ᓻ퍚ᡰ螀老靟ۭ퍚蛛老䐴杮퍛䵨鸀估Ǯ怀 䈠則媠怀☐˭怀骠䜠偎呚䵕₠呚䵕ﻨ鿿呚䵕呚䵕Ը赹ꤜ赹䵨ꐠ僠Ǯ怀4 䈠則媠怀☰˭怀ꃀ䜠偎呚䵕₠呚䵕ﻨ鿿呚䵕呚䵕Ը赹ꤜ赹䵨칠繍樰ǭ怀죠繍   䈠則媠怀䤐˩怀쬀繍䜠偎呚䵕₠呚䵕ﻨ鿿呚䵕呚䵕Ը赹ꤜ赹䵨买繈⦠Ƿ怀䣰繈   䈠則媠怀˴怀䬐繈䜠偎呚䵕₠呚䵕ﻨ鿿呚䵕呚䵕Ը赹ꤜ赹뮴蝿老拉崣퍛竼荵笧碇퍃뮨蝿蔧㰊퍏䵨ᑤ捰Ǯ怀満᧦ǌ( ܰ䈠則媠怀죐ˣ怀ퟰᑤ䜠偎呚䵕₠呚䵕ﻨ鿿呚䵕呚䵕Ը赹ꤜ赹䵨搰᧦懀Ǯ怀냐ǌ( ܰ䈠則媠怀煀˥怀摰䜠偎呚䵕₠呚䵕ﻨ鿿呚䵕呚䵕Ը赹ꤜ赹䵨Ꮰ往Ǯ怀⣠ǌ( ܰ䈠則媠怀ﻠ˥怀ߠ䜠偎呚䵕₠呚䵕ﻨ鿿呚䵕呚䵕Ը赹ꤜ赹䵨㪀廰Ǯ怀㇀ǌ( ܰ䈠則媠怀ၠ˭怀㢐䜠偎呚䵕₠呚䵕ﻨ鿿呚䵕呚䵕Ը赹ꤜ赹䵨䰠嵀Ǯ怀啠ǌ( ܰ䈠則媠怀騐ˢ怀ڰ䜠偎呚䵕₠呚䵕ﻨ鿿呚䵕呚䵕Ը赹ꤜ赹䵨ꆠ岰Ǯ怀℀ǌ( ܰ䈠則媠怀귐ˢ怀ꚰ䜠偎呚䵕₠呚䵕ﻨ鿿呚䵕呚䵕Ը赹ꤜ赹桀謌老明諐퍨ᴀ荵✵寡퍊欐謌老褶퍨樈謌萳퍨闰謌老饲疴퍃狄謌〚宇퍊朔謌老㔜蠆퍨闘謌툏爧퍛ᴀ荵老ᅕ富퍊䵨㺐繈⤐Ƿ怀㤐繈   䈠則媠怀אּ˴怀㬰繈䜠偎呚䵕₠呚䵕ﻨ鿿呚䵕呚䵕Ը赹ꤜ赹䵨䄠Ǯ怀䉐ǌ( ܰ䈠則媠怀頰ˢ怀玐䜠偎呚䵕₠呚䵕ﻨ鿿呚䵕呚䵕Ը赹ꤜ赹䵨ᨠ䶀Ǯ怀㗠ᑥǌ( ܰ䈠則媠怀蔰ˣ怀௰䜠偎呚䵕₠呚䵕ﻨ鿿呚䵕呚䵕Ը赹ꤜ赹䵨䫰䛀Ǯ怀퐐ǌ( ܰ䈠則媠怀泠ˣ怀뉐䜠偎呚䵕₠呚䵕ﻨ鿿呚䵕呚䵕Ը赹ꤜ赹ᄐ蛿老썗꧐퍚㺈蛱䙈ﬅ퍗䆬蛱Ḥ疴퍃꤈蛻老찢抶퍜굨蛻老筳꟦퍚鸼蛴老腾ꕻ퍚嫌蝧笪鄊퍙ꬴ蛻老 ➻퍗尀蝧ጤ楌퍘ꧤ蛻老ᡐ䶾퍛倁Ā᠐ᠰᡐᡰᢐᢰᣐᣰᤐᤰᥐᥰᦐᦰ᧐᧰ᨐᨰᩐᩰ᪐᪰᫐᫰ᬐᬰ᭐᭰䵨ἀ拠Ǯ怀뉐䈠則媠怀Ā᭰˭怀ᮠ䙆呉呚䵕₠呚䵕ﻨ鿿呚䵕呚䵕Ը赹ꤜ赹䵨톀䘰Ǯ怀딠ǌ. ܰ䈠則媠怀洠ˣ怀謰䜠偎呚䵕₠呚䵕ﻨ鿿呚䵕呚䵕Ը赹ꤜ赹䵨뼐巐Ǯ怀䈠則媠怀Āᰀ˭怀䙆呉呚䵕₠呚䵕ﻨ鿿呚䵕呚䵕Ը赹ꤜ赹䵨嬐繈⭐Ƿ怀喐繈   䈠則媠怀˴怀垰繈䜠偎呚䵕₠呚䵕ﻨ鿿呚䵕呚䵕Ը赹ꤜ赹᱀ҿ瑣牯耐㠔蜸ǠĲ怀耀㠔背㠔à譌㠔ɀ롌㠔ɉ⼠㠕*ば㠕よ㠕Ր嬈㠕㿌高㠖髸㠖汐˪怀˪怀˪怀䵨隀䭀Ǯ怀棠ǌ( ܰ䈠則媠怀僐ˣ怀ꥠᑫ䜠偎呚䵕₠呚䵕ﻨ鿿呚䵕呚䵕Ը赹ꤜ赹䵨旐䔐Ǯ怀籠ǌ( ܰ䈠則媠怀筐ˣ怀烀䜠偎呚䵕₠呚䵕ﻨ鿿呚䵕呚䵕Ը赹ꤜ赹─筦⯯߻䵨匀奐Ǯ怀㲀ǌ( ܰ䈠則媠怀児ˣ怀歠䜠偎呚䵕₠呚䵕ﻨ鿿呚䵕呚䵕Ը赹ꤜ赹䵨棰᧭毠Ǯ怀᱀ǌ) ܰ䈠則媠怀豀˯怀⁀䜠偎呚䵕₠呚䵕ﻨ鿿呚䵕呚䵕Ը赹ꤜ赹䵨湀䪰Ǯ怀ἐǌ( ܰ䈠則媠怀槀ˣ怀Ꝡ䜠偎呚䵕₠呚䵕흯ﻨ鿿呚䵕呚䵕Ը赹ꤜ赹ꪐ໤姈틠œ怀갸໤旐ṙ鏠Ǵ겈໤娈癠ǒ怀췀Ǘ怀䵨ؠ繎䂐Ƿ怀 繎   䈠則媠怀䂀˩怀ˀ繎䜠偎呚䵕₠呚䵕핯ﻨ鿿呚䵕呚䵕Ը赹ꤜ赹䞑Āᒄ¶¶㼼浸⁬敶獲潩㵮ㄢ〮•湥潣楤杮∽呕ⵆ∸㸿㰊䐡䍏奔䕐瀠楬瑳倠䉕䥌⁃ⴢ⼯灁汰⽥䐯䑔倠䥌呓ㄠ〮⼯久•栢瑴㩰⼯睷⹷灡汰⹥潣⽭呄獄倯潲数瑲䱹獩⵴⸱⸰瑤≤ਾ瀼楬瑳瘠牥楳湯∽⸱∰ਾ昼污敳㸯㰊瀯楬瑳ਾ䵨ᑤ撐Ǯ怀ᑤǌ( ܰ䈠則媠怀ⰰˣ怀ᑤ䜠偎呚䵕₠呚䵕퍯ﻨ鿿呚䵕呚䵕Ը赹ꤜ赹䵨캐搀Ǯ怀ᑤǌ( ܰ䈠則媠怀ﴠˠ怀철䜠偎呚䵕₠呚䵕퉯ﻨ鿿呚䵕呚䵕Ը赹ꤜ赹䵨뀰新Ǯ怀걐ǌ( ܰ䈠則媠怀콀ˠ怀刐䜠偎呚䵕₠呚䵕텯ﻨ鿿呚䵕呚䵕Ը赹ꤜ赹䵨痀繈⯠Ƿ怀潐繈   䈠則媠怀쉠˴怀牠繈䜠偎呚䵕₠呚䵕큯ﻨ鿿呚䵕呚䵕Ը赹ꤜ赹䵨맠悠Ǯ怀념ǌ( ܰ䈠則媠怀婀ˠ怀뚀䜠偎呚䵕₠呚䵕콯ﻨ鿿呚䵕呚䵕Ը赹ꤜ赹䵨쏀晀Ǯ怀묀ǌ( ܰ䈠則媠怀筰ˠ怀쁠䜠偎呚䵕₠呚䵕칯ﻨ鿿呚䵕呚䵕Ը赹ꤜ赹䵨춀杠Ǯ怀쓠ǌ( ܰ䈠則媠怀鵐˯怀쨠䜠偎呚䵕₠呚䵕쵯ﻨ鿿呚䵕呚䵕Ը赹ꤜ赹䵨흀曐Ǯ怀캠ǌ( ܰ䈠則媠怀녀˯怀폠䜠偎呚䵕₠呚䵕챯ﻨ鿿呚䵕呚䵕Ը赹ꤜ赹䵨柰Ǯ怀𨊞ǌ( ܰ䈠則媠怀Ꝡ˯怀䜠偎呚䵕₠呚䵕쭯ﻨ鿿呚䵕呚䵕Ը赹ꤜ赹䵨梀Ǯ怀ǌ( ܰ䈠則媠怀끀˯怀䜠偎呚䵕₠呚䵕쩯ﻨ鿿呚䵕呚䵕Ը赹ꤜ赹䵨椐Ǯ怀ǌ( ܰ䈠則媠怀빐˯怀䜠偎呚䵕₠呚䵕쥯ﻨ鿿呚䵕呚䵕Ը赹ꤜ赹䵨ﷰ榠Ǯ怀ǌ( ܰ䈠則媠怀뢐˯怀敖䜠偎呚䵕₠呚䵕졯ﻨ鿿呚䵕呚䵕Ը赹ꤜ赹䵨ޠ樰Ǯ怀０ǌ- ܰ䈠則媠怀钠˯怀р䜠偎呚䵕₠呚䵕읯ﻨ鿿呚䵕呚䵕Ը赹ꤜ赹䵨ᅰ櫀Ǯ怀ࣀǌ( ܰ䈠則媠怀鐀˯怀ฐ䜠偎呚䵕₠呚䵕왯ﻨ鿿呚䵕呚䵕Ը赹ꤜ赹䵨ᬠ歐Ǯ怀ነǌ( ܰ䈠則媠怀谰˯怀ៀ䜠偎呚䵕₠呚䵕앯ﻨ鿿呚䵕呚䵕Ը赹ꤜ赹䵨゠蛀Ǡ怀➰ǌ( ܰ䈠則媠怀೐˭怀⺰䜠偎呚䵕₠呚䵕쑯ﻨ鿿呚䵕呚䵕Ը赹ꤜ赹䵨⻐汰Ǯ怀♀ǌ) ܰ䈠則媠怀铠˯怀⭰䜠偎呚䵕₠呚䵕썯ﻨ鿿呚䵕呚䵕Ը赹ꤜ赹䵨㢀洀Ǯ怀⿰ǌ( ܰ䈠則媠怀閰˯怀㔠䜠偎呚䵕₠呚䵕쉯ﻨ鿿呚䵕呚䵕Ը赹ꤜ赹䵨䉐涐Ǯ怀㦠ǌ( ܰ䈠則媠怀陠˯怀㻰䜠偎呚䵕₠呚䵕셯ﻨ鿿呚䵕呚䵕Ը赹ꤜ赹䵨瘀Ǯ怀蛠ǌ( ܰ䈠則媠怀념˯怀㦠䜠偎呚䵕₠呚䵕쁯ﻨ鿿呚䵕呚䵕Ը赹ꤜ赹䵨驀皐Ǯ怀ǌ( ܰ䈠則媠怀놐˯怀쓀䜠偎呚䵕₠呚䵕뽯ﻨ鿿呚䵕呚䵕Ը赹ꤜ赹䵨풠驰Ǯ怀菰   䈠則媠怀˫怀텀䜠偎呚䵕₠呚䵕빯ﻨ鿿呚䵕呚䵕Ը赹ꤜ赹䵨䪐繂ጠǭ怀퉀繃   䈠則媠怀נּ˶怀㍀繂䜠偎呚䵕₠呚䵕뵯ﻨ鿿呚䵕呚䵕Ը赹ꤜ赹䵨䍠柰Ǡ怀㷠8 @䈠則媠怀艠˭怀䀀䜠偎呚䵕₠呚䵕뱯ﻨ鿿呚䵕呚䵕Ը赹ꤜ赹䵨䵀䍠ǣ怀䞰 p 䈠則媠怀舠˭怀䧠䜠偎呚䵕₠呚䵕뭯ﻨ鿿呚䵕呚䵕Ը赹ꤜ赹䵨壀䭀ǣ怀冠8 @䈠則媠怀葐˭怀啠䜠偎呚䵕₠呚䵕멯ﻨ鿿呚䵕呚䵕Ը赹ꤜ赹䵨憐嵀ǣ怀宀 p 䈠則媠怀萰˭怀帰䜠偎呚䵕₠呚䵕륯ﻨ鿿呚䵕呚䵕Ը赹ꤜ赹䵨澐岰ǣ怀樐8 @䈠則媠怀蛰˭怀氰䜠偎呚䵕₠呚䵕롯ﻨ鿿呚䵕呚䵕Ը赹ꤜ赹䵨硠悠ǣ怀牐 p 䈠則媠怀蛐˭怀甀䜠偎呚䵕₠呚䵕띯ﻨ鿿呚䵕呚䵕Ը赹ꤜ赹䵨脰亠ǣ怀笠8 @䈠則媠怀뿀˭怀緐䜠偎呚䵕₠呚䵕뙯ﻨ鿿呚䵕呚䵕Ը赹ꤜ赹䵨謐尠ǣ怀蕰 p 䈠則媠怀螰˭怀螰䜠偎呚䵕₠呚䵕땯ﻨ鿿呚䵕呚䵕Ը赹ꤜ赹䵨隐撐ǣ怀轠8 @䈠則媠怀럀˭怀錰䜠偎呚䵕₠呚䵕둯ﻨ鿿呚䵕呚䵕Ը赹ꤜ赹䵨齠曐ǣ怀饐 p 䈠則媠怀띰˭怀鰀䜠偎呚䵕₠呚䵕덯ﻨ鿿呚䵕呚䵕Ը赹ꤜ赹䵨ꫠ杠ǣ怀ꎐ8 @䈠則媠怀롰˭怀Ꞁ䜠偎呚䵕₠呚䵕뉯ﻨ鿿呚䵕呚䵕Ը赹ꤜ赹䵨뎰椐ǣ怀궠 p 䈠則媠怀뢀˭怀끐䜠偎呚䵕₠呚䵕녯ﻨ鿿呚䵕呚䵕Ը赹ꤜ赹伀筦⯯߻倀筦⯯㨠ʄ怀ⴀʄ怀ಀʄ怀Ꭰʄ怀⻀ʄ怀⢀ʄ怀׀ʄ怀⻠ʄ怀⤠ʄ怀Ġʄ怀㖀ʄ怀㑠ʄ怀ㆀʄ怀⪠ʄ怀䵨䯰渠Ǯ怀䍰ǌ( ܰ䈠則媠怀踠˯怀䢐䜠偎呚䵕₠呚䵕굯ﻨ鿿呚䵕呚䵕Ը赹ꤜ赹䵨잀瓠Ǯ怀鋐ǌ( ܰ䈠則媠怀릠˯怀쐠䜠偎呚䵕₠呚䵕걯ﻨ鿿呚䵕呚䵕Ը赹ꤜ赹䵨ゐ飀Ǯ怀⬐䅙䝒鬀怀˫怀ⴰ䜠偎呚䵕₠呚䵕꭯ﻨ鿿呚䵕呚䵕Ը赹ꤜ赹䵨ﻀ掞㮠ǭ怀鹿掞 䅙䝒鬀怀妠˷怀ﭠ掞䜠偎呚䵕₠呚䵕ꩯﻨ鿿呚䵕呚䵕Ը赹ꤜ赹㍸п㡐У㐰ʉ怀⭰ʉ怀碰怀㍸пꆐ͝怀肐͝怀虀ǐ怀꺐͘怀갠Ȅ怀鵐͘怀닐͘怀䵨吐溰Ǯ怀䴐ǌ( ܰ䈠則媠怀隐˯怀傰䜠偎呚䵕₠呚䵕ꝯﻨ鿿呚䵕呚䵕Ը赹ꤜ赹䵨恰潀Ǯ怀埐ǌ( ܰ䈠則媠怀膰˯怀崐䜠偎呚䵕₠呚䵕꙯ﻨ鿿呚䵕呚䵕Ը赹ꤜ赹䵨녀掞뚐ǭ怀ꯀ掞  @䅙䝒鬀怀碐˷怀균掞䜠偎呚䵕₠呚䵕ꕯﻨ鿿呚䵕呚䵕Ը赹ꤜ赹䵨鎐掞Ṡǭ怀踐掞 䅙䝒鬀怀緐˷怀逰掞䜠偎呚䵕₠呚䵕ꑯﻨ鿿呚䵕呚䵕Ը赹ꤜ赹䵨鶐掞㈐ǭ怀預掞  @䅙䝒鬀怀繐˷怀騰掞䜠偎呚䵕₠呚䵕ꍯﻨ鿿呚䵕呚䵕Ը赹ꤜ赹䵨릀掞률ǭ怀됀掞 䅙䝒鬀怀猀˷怀똠掞䜠偎呚䵕₠呚䵕ꉯﻨ鿿呚䵕呚䵕Ը赹ꤜ赹  耠 耠  耠       耠        @@@@@@@@떨떨떨痰ᑭ痰ᑭ뼇阄뼇阄믘≞믘≞㜗깢陈㜗깢陈뼇阄❓㼞먂裈❓㼞먂裈䵨緀掟뜠ǭ怀础掟  @䅙䝒鬀怀瓰˷怀穠掟䜠偎呚䵕₠呚䵕齯ﻨ鿿呚䵕呚䵕Ը赹ꤜ赹䵨琠掟끠ǭ怀ퟀ掞 䅙䝒鬀怀細˷怀掞䜠偎呚䵕₠呚䵕鹯ﻨ鿿呚䵕呚䵕Ը赹ꤜ赹䵨쌠掞례ǭ怀붠掞  @䅙䝒鬀怀狠˷怀뿀掞䜠偎呚䵕₠呚䵕鵯ﻨ鿿呚䵕呚䵕Ը赹ꤜ赹䵨쭠掞든ǭ怀엠掞 䅙䝒鬀怀癐˷怀저掞䜠偎呚䵕₠呚䵕鱯ﻨ鿿呚䵕呚䵕Ը赹ꤜ赹䵨픀掞랰ǭ怀쾀掞  @䅙䝒鬀怀秠˷怀토掞䜠偎呚䵕₠呚䵕魯ﻨ鿿呚䵕呚䵕Ը赹ꤜ赹䵍䵍℡℡℡℡℡℡℡℡℡℡℡℡℡℡℡℡℡℡℡℡℡℡℡℡℡℡℡℡℡℡℡℡℡℡℡℡℡℡℡℡℡℡℡℡℡℡℡℡℡℡䵨㥐掟룐ǭ怀绠掟 䅙䝒鬀怀杠˷怀㗰掟䜠偎呚䵕₠呚䵕饯ﻨ鿿呚䵕呚䵕Ը赹ꤜ赹䵨䋰掟꽀ǭ怀㵰掟  @䅙䝒鬀怀窐˷怀㾐掟䜠偎呚䵕₠呚䵕顯ﻨ鿿呚䵕呚䵕Ը赹ꤜ赹䵨⵰繎締Ƿ怀✀繎   䈠則媠怀姀˩怀⨐繎䜠偎呚䵕₠呚䵕陯ﻨ鿿呚䵕呚䵕Ը赹ꤜ赹䵨钐繂頰Ǣ怀禀繂   䈠則媠怀˶怀銠繂䜠偎呚䵕₠呚䵕镯ﻨ鿿呚䵕呚䵕Ը赹ꤜ赹녔蛠老ᖣ퍚侌荵⽴磣퍃뮴蝿老漠崣퍛ﻐ蛨鐁ᔤ퍚竼荵ᝄ碇퍃넼蛠䑷ᕉ퍚뮨蝿老荣㰊퍏녈蛠老͈ᓻ퍚ᡰ螀퍗ۭ퍚蛛老ᜄ杮퍛䵨鲀繃ꂠǢ怀需繃   䈠則媠怀˶怀餠繃䜠偎呚䵕₠呚䵕鍯ﻨ鿿呚䵕呚䵕Ը赹ꤜ赹㘀︀ᩮ똀耀쀀ᩲ䐀⠀ꐀ저耀吀蠀　䵨觰掞᷐ǭ怀葰掞  @䅙䝒鬀怀罠˷怀蚐掞䜠偎呚䵕₠呚䵕遯ﻨ鿿呚䵕呚䵕Ը赹ꤜ赹䵨ࣀ掟‐ǭ怀̀掟  @䅙䝒鬀怀恰˷怀ՠ掟䜠偎呚䵕₠呚䵕软ﻨ鿿呚䵕呚䵕Ը赹ꤜ赹㖠ʄ怀䵨ꜰ掞㷠ǭ怀ꆰ掞 䅙䝒鬀怀疰˷怀ꏐ掞䜠偎呚䵕₠呚䵕赯ﻨ鿿呚䵕呚䵕Ը赹ꤜ赹➀ʄ怀ᴀ荵老롩萠퍚胼荵老魴瞡퍃穠蛦老ᬡ퍃的荵老瘣퍃촘蛨老ᩯ疴퍃贐荵老ⴖ瘵퍃蛦㵶뮖퍘竄蛦老癎坘퍘蚨蒯㜲굙퍄熔蛦앣쭺퍃蛦老㩋ꐭ퍌蛦老긐왮퍙ᴀ荵老ꭩ萯퍚ᧀʄ怀⁠ʄ怀ᬀʄ怀ૠʄ怀⦀ʄ怀ౠʄ怀ՠʄ怀ఠʄ怀⩀ʄ怀㏀ʄ怀⨀ʄ怀❠ʄ怀ὀʄ怀㈠ʄ怀䵨翠掞⺰ǭ怀ೠ掟 䅙䝒鬀怀檠˷怀緰掞䜠偎呚䵕₠呚䵕襯ﻨ鿿呚䵕呚䵕Ը赹ꤜ赹䅐ϟ怀ϰ怀錰×怀ϱ怀㒰ϐ怀﹀ϵ怀惐ȝ怀燠ϟ怀牰Ͼ怀캠ȓ怀؀ϳ怀耀ȝ怀рʄ怀䵨⁰繎拠Ƿ怀᪰繎   䈠則媠怀墰˩怀Ẁ繎䜠偎呚䵕₠呚䵕蕯ﻨ鿿呚䵕呚䵕Ը赹ꤜ赹ᛨᛨᛨ痰ᑭ痰ᑭ뼇阄뼇阄믘≞믘≞㜗깢陈㜗깢陈뼇阄❓㼞먂裈❓㼞먂裈䵨䑐鷐Ǯ怀㍐4䅙䝒鬀怀˫怀䉠䜠偎呚䵕₠呚䵕药ﻨ鿿呚䵕呚䵕Ը赹ꤜ赹ଠʄ怀ఀʄ怀ዀʄ怀⡀ʄ怀Ⱐʄ怀࿀ʄ怀⛀ʄ怀⦠ʄ怀Ⲁʄ怀⠀ʄ怀Рʄ怀Ԡʄ怀㜀ʄ怀⥠ʄ怀磨磨磨痰ᑭ痰ᑭ뼇阄뼇阄믘≞믘≞㜗깢陈㜗깢陈뼇阄❓㼞먂裈❓㼞먂裈ࡠʄ怀㬀ﰃ鿿㐰㔰䔸串￼㓀㪠ﰃ鿿䗠串￼䖨串￼ຐｚ鿿柸ﰀ鿿䕰串￼㿘ﭽ鿿锈￵鿿䜰串￼䛸串￼㌰朸ﰀ鿿㎠䚈串￼웘ﭺ鿿䛀串￼⤰ﰃ鿿⧀ﰃ鿿เｚ鿿㊠머￩鿿䵨繃ﳀǷ怀繃   䈠則媠怀와˨怀繃䜠偎呚䵕₠呚䵕絯ﻨ鿿呚䵕呚䵕Ը赹ꤜ赹䵨捀繀﷠Ƿ怀ᾠ繃   䈠則媠怀㵰˩怀慐繀䜠偎呚䵕₠呚䵕籯ﻨ鿿呚䵕呚䵕Ը赹ꤜ赹  耠 耠  耠       耠        @@@@@@@@【䦘串￼멸￩鿿むﭺ鿿ቐﰃ鿿චｚ鿿䧐串￼ᇰﰃ鿿䤨串￼⾀䥠串￼斸ﰀ鿿䵨繂怐Ǩ怀繂   䈠則媠怀˶怀繂䜠偎呚䵕₠呚䵕祯ﻨ鿿呚䵕呚䵕Ը赹ꤜ赹䳠串￼ﰀ鿿䱰串￼Ⱡⵠ䵐串￼⳰搸ﰀ鿿ᡸﭺ鿿ഀｚ鿿锸￵鿿䴘串￼縷ﰀ鿿蠀筦⯯߻쓸鯹￼⚠膨鯹￼퓘鯹￼봈鯹￼■딘鯹￼ꏨ鯹￼覘鯹￼쳨鯹￼饸鯹￼鯹￼亠鯺￼鯹￼欨ﰀ鿿醈鯹￼괨鯹￼烠ﰀ鿿Ґｚ鿿戨ﰀ鿿⟀０ﵱ鿿⠰镰￵鿿✰⢘ﭺ鿿吘串￼炀ﰀ鿿呐串￼叠串￼厨串￼먰￩鿿抸ﰀ鿿⥐僐串￼ౠｚ鿿俰串￼⧀㭘ﭺ鿿⣀侸串￼砰ﰀ鿿碐ﰀ鿿匀串￼⭐翠ﰀ鿿亠串￼伐串￼羀ﰀ鿿乨串￼⫠⩐捸ﰀ鿿♘ﭺ鿿ರｚ鿿며￩鿿丰串￼ㄐ䢀串￼䟘串￼ᴰﰃ鿿㈐෰ｚ鿿ㆠᵠﰃ鿿몀￩鿿晸ﰀ鿿䡈串￼䠐串￼좸ﭺ鿿䵨＠繌룐Ƿ怀裂繌   䈠則媠怀ˡ怀﯀繌䜠偎呚䵕₠呚䵕煯ﻨ鿿呚䵕呚䵕Ը赹ꤜ赹䵨鴠᧱͠ǧ怀钠᧱ D䈠則媠怀ˤ怀鬰᧱䜠偎呚䵕₠呚䵕灯ﻨ鿿呚䵕呚䵕Ը赹ꤜ赹䵨Ꝡ᧱ϰǧ怀ꇠ᧱&quot;&quot; 䈠則媠怀좐ˤ怀ꐀ᧱䜠偎呚䵕₠呚䵕潯ﻨ鿿呚䵕呚䵕Ը赹ꤜ赹ⶀﰃ鿿멀￩鿿樸ﰀ鿿䅈串￼䇰串￼䆀串￼䆸串￼㦰㨠㞘ﭽ鿿⸐ﰃ鿿㤠ྀｚ鿿䵨대᧱Ҁǧ怀궀᧱ D䈠則媠怀졐ˤ怀꾠᧱䜠偎呚䵕₠呚䵕浯ﻨ鿿呚䵕呚䵕Ը赹ꤜ赹䵨뺠᧱Ԑǧ怀또᧱&quot;&quot; 䈠則媠怀졠ˤ怀뭀᧱䜠偎呚䵕₠呚䵕汯ﻨ鿿呚䵕呚䵕Ը赹ꤜ赹䵨裂繂劐Ǩ怀繂   䈠則媠怀ﻰ˶怀繂䜠偎呚䵕₠呚䵕歯ﻨ鿿呚䵕呚䵕Ը赹ꤜ赹뮴蝿老찳崣퍛녔蛠吣ᖣ퍚ﻐ蛨ꁬᔤ퍚竼荵숝碇퍃ᣬ蝪老鱰暧퍖넼蛠老ꕟᕉ퍚뮨蝿老挐㰊퍏녈蛠老ꑞᓻ퍚ᡰ螀老픲ۭ퍚蛛꼷杮퍛ᣠ蝪惎퍑䵨樠濐Ǯ怀憐ǌ( ܰ䈠則媠怀霐˯怀曀䜠偎呚䵕₠呚䵕桯ﻨ鿿呚䵕呚䵕Ը赹ꤜ赹䵨亐쏰ǡ怀지   䈠則媠怀➠˪怀㊰䜠偎呚䵕₠呚䵕杯ﻨ鿿呚䵕呚䵕Ը赹ꤜ赹감蒯륥궁퍃뮴蝿罬崣퍛녔蛠∡ᖣ퍚ﻐ蛨鑻ᔤ퍚竼荵ぷ碇퍃넼蛠鸃ᕉ퍚뮨蝿老㰊퍏녈蛠兌ᓻ퍚옜蛦老沜퍗ᡰ螀老శۭ퍚蛛老杮퍛䵨繌褀Ƿ怀繌   䈠則媠怀爐ˤ怀繌䜠偎呚䵕₠呚䵕摯ﻨ鿿呚䵕呚䵕Ը赹ꤜ赹藬蛨먡퍗灀蛡ᴅ魤퍏潘蛡老嘍鮂퍏녔蛠ᖣ퍚ﻐ蛨䨟ᔤ퍚竼荵老딆碇퍃넼蛠老鑲ᕉ퍚癸蛢㰊퍏녈蛠老뉛ᓻ퍚灌蛡老ɑ퍏ᡰ螀넇ۭ퍚蛛ꑡ杮퍛뮴蝿老㸢崣퍛똰È怀駄蛥퍃ꋰ蛥腛疴퍃펜蛯꠸⠤퍘蜊㽛泆퍚㐄蝾흀蝛퍃阠蛥䤛眊퍃픘蛯ℋ⠺퍘⭨蝾老ఊ睬퍓蛰⡌퍘䵨뷀繉ሀǦ怀限暐   䈠則媠怀だ˭怀픰槤䜠偎呚䵕₠呚䵕息ﻨ鿿呚䵕呚䵕Ը赹ꤜ赹䵨쒠즐ǡ怀꿀   䈠則媠怀⠠˪怀뇠䜠偎呚䵕₠呚䵕彯ﻨ鿿呚䵕呚䵕Ը赹ꤜ赹ៀ뗠ˋ怀䭀ý怀癳g̀텀ˤ怀텈ˤ怀텈ˤ怀검͠怀검͠怀ꆐė怀۷顟때䀫鶲꟯ꯆ䀫ៀ뽀ˋ怀䡰ý怀癳g̀촰ˤ怀촸ˤ怀촸ˤ怀늀͠怀늀͠怀ꊐė怀㭤俟랍䀪뜬᪴㿳ꌀ筦⯯*镈￵鿿㧘ﭽ鿿㙐㛀䒐串￼䐠串￼䏨串￼໠ｚ鿿ࠀﰃ鿿梸ﰀ鿿᳐ﰃ鿿㗀䑘串￼Ԡ蒹老걵堢퍊㧜荵爬疴퍃⫠蒺老㽻凌퍉蓽萏瞉퍃蛰汚퍛⫼蒺㰛簩퍇퐠蒰老ﭳ眊퍃ퟘ蒵老教ⱋ퍊鴈蒵奊樓퍉해蜕㕀钽퍋鄔蛸老ⱄ搜퍗鴤蒵老ṁ㦟퍇䵨਀繍鬀Ƿ怀Ҁ繍   䈠則媠怀컀ˡ怀ڠ繍䜠偎呚䵕₠呚䵕塯ﻨ鿿呚䵕呚䵕Ը赹ꤜ赹䵨촐繂ۀǥ怀ꑰ繃   䈠則媠怀˶怀볰繁䜠偎呚䵕₠呚䵕坯ﻨ鿿呚䵕呚䵕Ը赹ꤜ赹꤀筦⯯&gt;䵨藀異Ǯ怀좠ǌ( ܰ䈠則媠怀뗰˯怀췐䜠偎呚䵕₠呚䵕呯ﻨ鿿呚䵕呚䵕Ը赹ꤜ赹䵨쪰ǡ怀   䈠則媠怀⡠˪怀䜠偎呚䵕₠呚䵕卯ﻨ鿿呚䵕呚䵕Ը赹ꤜ赹䵨늰櫋꒐Ǥ怀櫌   䈠則媠怀聠˳怀꽐櫋䜠偎呚䵕₠呚䵕副ﻨ鿿呚䵕呚䵕Ը赹ꤜ赹优ﭺ鿿˰ﰃ鿿镀￵鿿ⷰ൐ｚ鿿䬠串￼⻰䩸串￼䪰串￼賰ﵱ鿿ʐﰃ鿿䫨串￼擸ﰀ鿿⺀䵨裂曷䨠ǵ怀妐曷   䈠則媠怀ﶰ˭怀地曱䜠偎呚䵕₠呚䵕佯ﻨ鿿呚䵕呚䵕Ը赹ꤜ赹䵨蟰씐ǡ怀扰   䈠則媠怀⟠˪怀撐䜠偎呚䵕₠呚䵕乯ﻨ鿿呚䵕呚䵕Ը赹ꤜ赹눀筦⯯9䵨繠烰Ǯ怀痰ǌ( ܰ䈠則媠怀頰˯怀笀䜠偎呚䵕₠呚䵕䱯ﻨ鿿呚䵕呚䵕Ը赹ꤜ赹᱀ҿ瑣牯耐㠔蜸ǠĲ怀耀㠔背㠔à譌㠔ɀ롌㠔ɉ⼠㠕*ば㠕よ㠕Ր嬈㠕㿌高㠖髸㠖汐᳀ʍ怀᳘ʍ怀᳘ʍ怀䵨菰Ǯ怀   䈠則媠怀˫怀䜠偎呚䵕₠呚䵕䩯ﻨ鿿呚䵕呚䵕Ը赹ꤜ赹똀筦⯯&lt;쫄荵老縳痁퍃蒯塿ꎲ퍇规荵蕚硳퍃竼荵老锉碇퍃蒯老쀋ꐩ퍇췄蒯ꜚ퍇잤蒯老蠲ꍺ퍇ᴀ荵⬩隌퍇렀筦⯯7ꙀÈ怀䍀串￼䊘串￼䌈串￼㞐㠠℘ﭽ鿿ᤐﰃ鿿㢐䋐串￼楸ﰀ鿿ᣠﰃ鿿镸￵鿿༰ｚ鿿묀" userProvider="筤⯯1᱀ҿ瑣牯耐㠔蜸ǠĲ怀耀㠔背㠔à譌㠔ɀ롌㠔ɉ⼠㠕*ば㠕よ㠕Ր嬈㠕㿌高㠖髸㠖汐˪怀˪怀˪怀᱀ҿ瑣牯耐㠔蜸ǠĲ怀耀㠔背㠔à譌㠔ɀ롌㠔ɉ⼠㠕*ば㠕よ㠕Ր嬈㠕㿌高㠖髸㠖汐˪怀˪怀˪怀筤⯯&amp;筤⯯)筤⯯$ៀᵀʰ怀成Î怀癳g̀Ꙑ˫怀Ꙙ˫怀Ꙙ˫怀ĕ怀ĕ怀䀰䀰䀰䀰筤⯯*筤⯯߻᱀ҿ瑣牯耐㠔蜸ǠĲ怀耀㠔背㠔à譌㠔ɀ롌㠔ɉ⼠㠕*ば㠕よ㠕Ր嬈㠕㿌高㠖髸㠖汐⬠ρ怀⭐ρ怀⭐ρ怀᱀ҿ瑣牯耐㠔蜸ǠĲ怀耀㠔背㠔à譌㠔ɀ롌㠔ɉ⼠㠕*ば㠕よ㠕Ր嬈㠕㿌高㠖髸㠖汐˪怀˪怀˪怀筤⯯+樜螆老ᬾ佰퍕林蜊㈌ぢ퍝蜊老褺ස퍔撸蜍剂疴퍃旐螆慨践퍛蜊老騈퍐掄荵老虮眊퍃蜊㴲踫퍛渜螆䬌豫퍛ꈜ蜉老զ貿퍛᱀ҿ瑣牯耐㠔蜸ǠĲ怀耀㠔背㠔à譌㠔ɀ롌㠔ɉ⼠㠕*ば㠕よ㠕Ր嬈㠕㿌高㠖髸㠖汐˪怀˪怀˪怀筤⯯:筤⯯7筤⯯-筤⯯6蒳⼯䭐퍉㱀蒵虜箖퍃ꓼ蒳鴬㢇퍉⁐蒴稕注퍉㐔蒹砺쭺퍃ꊜ蒲老݃筊퍃艔蒮Ꝋ䠋퍉ꌈ蒲굚禭퍃례蒳老ᝲ笯퍃᱀ҿ瑣牯耐㠔蜸ǠĲ怀耀㠔背㠔à譌㠔ɀ롌㠔ɉ⼠㠕*ば㠕よ㠕Ր嬈㠕㿌高㠖髸㠖汐˪怀˪怀˪怀豈筤⯯5Љê吀礀瀀攀昀愀挀攀 ꤀ ㄀㤀㤀㈀ 匀琀瀀栀攀渀猀漀渀 䈀氀愀欀攀 ⠀䠀漀氀搀椀渀最猀⤀ 䰀琀搀⸀ 䐀愀琀愀 ꤀ ㄀㤀㤀㈀ 唀刀圀⸀ 倀漀爀琀椀漀渀猀 ꤀ ㄀㤀㤀㈀ 䴀椀挀爀漀猀漀昀琀 䌀漀爀瀀⸀ 䄀氀氀 爀椀最栀琀猀 爀攀猀攀爀瘀攀搀⸀ꂄ菎奮皲퍃㧜荵ܞ疴퍃쌠荷魲盕퍃蒲몉퍄獌蒯謻쭺퍃掄荵둘眊퍃Ꚕ蒳老獩낫퍃씀莽⁓矝퍃蒲老鹎솏퍈᱀ҿ瑣牯耐㠔蜸ǠĲ怀耀㠔背㠔à譌㠔ɀ롌㠔ɉ⼠㠕*ば㠕よ㠕Ր嬈㠕㿌高㠖髸㠖汐讠ʊ怀许ʊ怀许ʊ怀ꡬྛ老쐲ᧀ퍄岜ྜྷꅤ퍄䌐ྜ│ꜳᅴ㧜荵老뭢疴퍃ꢀྛꔽ뮵ᅸ舸ྜྷ젤蝛퍃ꮠྛ鬙ᐹᅹꭌྛ老ု볹ஂ࿦老ꍖ㓫퍡ꭔྛ老筁ࣛ핿꺸ྛ老ຜᅹ࿦圳밭ᅸ꼠ྛ崵岠ᅻ᱀ҿ瑣牯耐㠔蜸ǠĲ怀耀㠔背㠔à譌㠔ɀ롌㠔ɉ⼠㠕*ば㠕よ㠕Ր嬈㠕㿌高㠖髸㠖汐˪怀˪怀˪怀᱀ҿ˝瑣牯耐䀎洫ǠĲ怀耀䀎背䀎Ę跬䀎ł꜔䀎ł䀎$䀎䀎ʖ﹨䀎븐뱸䀏벘䀏ィ遠ʽ怀邀ʽ怀邀ʽ怀㰤ꂄ老됞폺⼨ꂅ欮㩤퍳老쵊疴퍃Ὤꂅ老孧쵥퍲ᴀ荵老䘺蝛퍃老‭번할䜘ꂄ老攘簌퍃὘ꂅⵇ쭼퍲䀤ꂄ桉폺霩뮼할老ꄇ뚟할䵨⯠曺챠ǲ怀ೠ揯   䈠則媠怀Ạ˴怀Ꞡ曶䜠偎呚䵕₠呚䵕﹯ﻩ鿿呚䵕呚䵕Ը赹ꤜ赹甸蒹老乜ᶀ퍄瑈蒹老偗퍉ᴀ荵앪퍙畀蒹⴦놣퍉組蒹老空疴퍃田蒹ᡚꓦ퍈書蒹鉵慹퍉琴蒹当聰퍆用蒹老萱퍆䵨ꛀ掙Ǫ怀ꅀ掙  @䅙䝒鬀怀˴怀ꍠ掙䜠偎呚䵕₠呚䵕ﱯﻩ鿿呚䵕呚䵕Ը赹ꤜ赹ankita sharma (Student)'s OneDrive - Arizona State University ‏» ‎‎personal ‏» ‎‎ashar236_sundevils_asu_edu ‏» ‎‎Documentsankita sharma (Student)'s OneDrive - Arizona State University ‏» ‎‎personal ‏» ‎‎ashar236_sundevils_asu_edu ‏» ‎‎Documentsankita sharma (Student)'s OneDrive - Arizona State University ‏» ‎‎personal ‏» ‎‎ashar236_sundevils_asu_edu ‏» ‎‎Documents䵨鴠掙Ǫ怀鞠掙 䅙䝒鬀怀˴怀駀掙䜠偎呚䵕₠呚䵕ﻩ鿿呚䵕呚䵕Ը赹ꤜ赹䵨贀繀Ƿ怀㩐渭   䈠則媠怀틐ˣ怀渮䜠偎呚䵕₠呚䵕ﻩ鿿呚䵕呚䵕Ը赹ꤜ赹ऀ筧⯯਀筧⯯଀筧⯯ఀ筧⯯ഀ筧⯯뮴蝿褡崣퍛녔蛠Фᖣ퍚㴨荵老瘣퍃ﻐ蛨老ꠊᔤ퍚竼荵老Ḡ碇퍃넼蛠쌢ᕉ퍚뮨蝿᱀㰊퍏녈蛠老籡ᓻ퍚ᡰ螀ഴۭ퍚蛛杮퍛ༀ筧⯯䵨璀温Ƿ怀㿐渮   䈠則媠怀졀ˣ怀港䜠偎呚䵕₠呚䵕ﻩ鿿呚䵕呚䵕Ը赹ꤜ赹ᄀ筧⯯%ሀ筧⯯&amp;w怀w怀w怀w怀視w怀猪w怀軸u怀軠u怀䥈s怀䤰s怀ﱸ{怀ﱠ{怀勨y怀勐y怀ㆈz怀ㅰz怀W怀W怀᐀筧⯯ᔀ筧⯯ᘀ筧⯯ᜀ筧⯯)᠀筧⯯ᤀ筧⯯&#10;ᨀ筧⯯3ᬀ筧⯯䵨①港Ƿ怀䠠港   䈠則媠怀鹠˭怀坐港䜠偎呚䵕₠呚䵕ﻩ鿿呚䵕呚䵕Ը赹ꤜ赹뮴蝿㩏崣퍛녔蛠老祈ᖣ퍚ﻐ蛨젫ᔤ퍚膨蛵老茈䜆퍘竼荵老䕺碇퍃넼蛠ᕉ퍚뮨蝿繯㰊퍏녈蛠ꬬᓻ퍚ᡰ螀老꽷ۭ퍚蛛老杮퍛ᨄၜᧀ퍄ᐔၜ老넃ﳁ헣ጴၜّᅹᝰၜ老ࡀ堓ᅷ㧜荵ݑ疴퍃ᓘၜ老ဖ盵퍤ᦈၜ老ᝈ蝛퍃᝜ၜ老宻ᅸᖘၜ老᝼햓ᎀၜ⼍켾ᅷႄၜ支骠ᅸ䵨䴰繂ԐǷ怀ᠰ渧   䈠則媠怀䯀˴怀䢰繃䜠偎呚䵕₠呚䵕ﻩ鿿呚䵕呚䵕Ը赹ꤜ赹ῄྍ鱖퍆셐ྟ老孮젡퍜ꂄ菎老ᙀ皲퍃샀ྟ䄐ᅷ걀ྦྷɾ疴퍃쌠荷呇盕퍃ꅐྠ老啊쯈ᅻ蚨蒯搌굙퍄밐ྟ쭺퍃䃌ྠ老씯婫ᅹ瘨ྤࢭᅸ씀莽瀇矝퍃ڰྠ老❎砣ᅷ완ྟ老㝩빿ᅻᣄྍ老ḵ펛ཨྎ老핽堢퍝ꂄ菎老皲퍃ႜྍ老屲嫴퐲왔ྟ老摧퐕쌠荷湼盕퍃႔ྍ祥읨퍃蚨蒯老㼴굙퍄봄ྟ老桊쭺퍃곐ྦྷ疴퍃씀莽老屬矝퍃세ྏ老祅펞ῄྍ왜퍆ྤ㍕⼒퍚ྤ匠ﺑ퍃ꂄ菎蠈皲퍃굔ྦྷ콧疴퍃쌠荷老㈓盕퍃蚨蒯爚굙퍄쀴ྟ老쭺퍃씀莽老⁠矝퍃ྤ鼈矞헓ྤ老堢퍝ྤ老珞ﺑ퍃ꂄ菎㵡皲퍃꺤ྦྷ朰疴퍃쌠荷꤀盕퍃ྤ老༚砚퍃蚨蒯甆굙퍄뾤ྟ老쨐쭺퍃씀莽訥矝퍃␀筧⯯5─筧⯯*☀筧⯯✀筧⯯'⠀筧⯯߻⤀筧⯯ၘ老ꉡⳁᅻၘ栎觡펕ၘ老ꤼ푑㧜荵老ﰲ疴퍃ၘ老尲ᅴၘ老서딦ᅴ힘ၘ䭐뾗ᅸၘｆ쥘ᅻၘ老堻犋퍊ၘ老剀蝛퍃ၘ老垞푊ၘ老ｳџᅺ䵨沀貍嗰ǲ怀最貍   䈠則媠怀ࡐ˲怀椠貍䜠偎呚䵕₠呚䵕푯ﻩ鿿呚䵕呚䵕Ը赹ꤜ赹뮴蝿老㍟崣퍛녔蛠戔ᖣ퍚ﻐ蛨老這ᔤ퍚竼荵老甠碇퍃넼蛠老ᕉ퍚뮨蝿老븤㰊퍏녈蛠老ᓻ퍚ᡰ螀老ۭ퍚蛛ꐷ杮퍛䵨㋀繄怒Ƿ怀᮰港   䈠則媠怀苐˨怀⽠繄䜠偎呚䵕₠呚䵕퉯ﻩ鿿呚䵕呚䵕Ը赹ꤜ赹䵨㦐港Ƿ怀ଠ港   䈠則媠怀隀˭怀ീ港䜠偎呚䵕₠呚䵕텯ﻩ鿿呚䵕呚䵕Ը赹ꤜ赹⴬證老⳰퍩㏬證왐ﺑ퍃월譊老脾夂퍝윸譊鐣퍍ⷀ證老툰笅퍜ⶸ證老倘츶퍩얄譊⯶퍩儰證老卅䔜퍩⺀證⹝퍩Ⲕ證老ᴫ⼝퍩挸譓老쨮⯝퍩ⷈ證潥ⳑ퍩Ѡ譋昶夂퍝웰譊老锁鐣퍍谠證ਯ倄퍛᭄證老㹆퍩㗴證깈퍩쓀譊ꝲ鴙퍩᪼證鄢ᢺ퍩ᭌ證䍙㹮퍩톌譊老Ⱄ煎퍘䵨渮Ƿ怀繀   䈠則媠怀쫠ˡ怀渮䜠偎呚䵕₠呚䵕칯ﻩ鿿呚䵕呚䵕Ը赹ꤜ赹㈀筧⯯ྩ老朇疴퍃ཨྎ老逳堢퍝폴ྣ蔂⺤푚ႜྍ老嫴퐲세ྏ老贵펞㐀筧⯯&#10;䵨捰繉㑐Ƿ怀巰繉   䈠則媠怀˪怀怐繉䜠偎呚䵕₠呚䵕쩯ﻩ鿿呚䵕呚䵕Ը赹ꤜ赹䵨囐繉㏀Ƿ怀児繉   䈠則媠怀˪怀印繉䜠偎呚䵕₠呚䵕쥯ﻩ鿿呚䵕呚䵕Ը赹ꤜ赹ᣄྍ펛ῄྍ老湆퍆ꂄ菎䄒皲퍃세ྏ老펞ႜྍ塖嫴퐲쌠荷ॹ盕퍃႔ྍ빀읨퍃蚨蒯ᭊ굙퍄଄ྍ縭쭺퍃씀莽Ⰻ矝퍃讀ྐ⁀疴퍃ཨྎ慱堢퍝뮴蝿쵇崣퍛芴ྥ老ѐ斃ᅻ竼荵老ᵊ碇퍃뮨蝿偼㰊퍏駈ྣ老恬㿋ᅷ蛛老너杮퍛䌼蜃楩퍙뮴蝿老崣퍛竼荵㔙碇퍃뮨蝿級㰊퍏蛛老촶杮퍛䵨㄀港Ƿ怀港   䈠則媠怀退˭怀ⶠ港䜠偎呚䵕₠呚䵕앯ﻩ鿿呚䵕呚䵕Ը赹ꤜ赹끌ྦྷͤᅺ껴ྦྷ老㔠疴퍃㣄ྤ老眊퍃깐蒹老䜹鴋퍉㞔ྤ陌ᅸẐྐ輛ᅻ㝌ྤ☗䵲ᅸܬྐ湓㰲ᅼˀྐ老然苤ᅺࣄྐ老ꄲ矄ᅴᴀ荵老䡏蝛퍃淰ྤ帓疴퍃쾌Ⴍ땩㵌ᅻ᪀ྐ셔詏ᅹ㶨ྤ鼧䂝ᅻ⧼ྐꨘ➞ᅹᨌྐ陙묯ᅺ䵨䨰繉㊠Ƿ怀נ繉   䈠則媠怀˪怀䛐繉䜠偎呚䵕₠呚䵕쉯ﻩ鿿呚䵕呚䵕Ը赹ꤜ赹䃘串￼絀門￵鿿櫸ﰀ鿿贐ﰀ鿿㠰ﰃ鿿糐厘ｺ鿿粐䁨串￼䂠串￼࿐ｚ鿿䵨諀祗Ǿ怀鄐祐   䈠則媠怀ᜐ˵怀蝠祗䜠偎呚䵕₠呚䵕쁯ﻩ鿿呚䵕呚䵕Ը赹ꤜ赹䵨嵠ᒕୀǳ怀ﬀᒒ   䈠則媠怀䧰˳怀孰ᒕ䜠偎呚䵕₠呚䵕뽯ﻩ鿿呚䵕呚䵕Ը赹ꤜ赹뵬菄老᠔砅퍃佘获老癈홃퍃䘬莸老鬵碲퍃曨莸老뗳퍃䞸莸老ㅛ疧퍃菂䈵ꪅ퍃橘莸堣쐖퍃爜荵靖瘗퍃痄荵老矹퍃錜荵ꬌ癉퍃艄莸老死퍃윬Ãｚ샮퍃槬莸鍱뗭퍃㊄莼老鸣癎퍃䵨貉異Ƿ怀浠曾   䈠則媠怀莠˩怀ﲠ貈䜠偎呚䵕₠呚䵕뵯ﻩ鿿呚䵕呚䵕Ը赹ꤜ赹䵨ⅰ搉鎰Ǽ怀ᯰ搉   䈠則媠怀Ґ˱怀Ḑ搉䜠偎呚䵕₠呚䵕뱯ﻩ鿿呚䵕呚䵕Ը赹ꤜ赹䵨ﶠ繋묐Ƿ怀낐繌   䈠則媠怀篰ˠ怀됐繌䜠偎呚䵕₠呚䵕뭯ﻩ鿿呚䵕呚䵕Ը赹ꤜ赹䶅ĀꞀÕ錠ʿ怀耀ᰂ䛀Ɲ怀邀˴怀섀͗怀䀀က䂐䁠쀀䁰怀䁵ꔰ­怀Ā￞㍸п㡐У訰ɣ怀꾰ɣ怀聰l怀㍸п판̵怀탐̵怀虀ǐ怀펐̵怀鋐Ϛ怀폐̵怀퍐̵怀ැၜ뙼죣ᅹ࿰ၜ흙鎄ᅴ㧜荵䨿疴퍃ྰၜㅋ鋷ᅺူၜ猍蝛퍃ဠၜ൩햌퍪౔ၜ㌤됿폢࿌ၜᰙ햓ྠၜ✁妏ᅷ䠀筧⯯&#10;䤀筧⯯!蕜蒱鐗䐡퍉衤蒱疴퍃ꅐ莼䭂퍃ⵄ蒳안ඨ퍊荵老͋碹퍃蚈蒱婣퍃诸蒯愆辋퍅鹀̧怀蹀̧怀薀̧怀鑀̧怀阀̧怀鈀̧怀蓀̧怀销̧怀鍀̧怀鿀̧怀Ꙁ̧怀鳀̧怀麀̧怀豀̧怀謀̧怀蛀̧怀蚀̧怀䵨쁠殫衰Ƕ怀鲠排 䈠則媠怀˴怀핀䜠偎呚䵕₠呚䵕덯ﻩ鿿呚䵕呚䵕Ը赹ꤜ赹㍸п㡐Уߐʰ怀ᇰʰ怀鲐f怀㍸п벐Η怀Η怀虀ǐ怀궐Η怀甠Ȕ怀두Η怀꼐Η怀䶅ĀꞀŢ⥀ɦ怀䀀ሢ였Ɨ怀籠怀⾐ᒕ≀Η怀䁙䁙㿰㿰ࣀ­怀āf㍸п㡐У➐ʰ怀ሰʰ怀꽐f怀㍸п麐Η怀긐Η怀虀ǐ怀뽐Η怀ȕ怀뿐Η怀뜐Η怀㍸п㡐У瞰ɠ怀数ɠ怀߰o怀㍸п흐̨怀̨怀虀ǐ怀쨐̨怀开ϱ怀̨怀쁐̨怀儀筧⯯-检̧怀渀̧怀満̧怀滀̧怀焀̧怀ࡀ̧怀࿀̧怀⁀̧怀⍀̧怀⏀̧怀␀̧怀◀̧怀♀̧怀⚀̧怀❀̧怀⠀̧怀⡀̧怀⣀̧怀⬀̧怀⭀̧怀⮀̧怀Ⰰ̧怀㈀̧怀䵨␀ᒕҀǳ怀İᒕ   䈠則媠怀倐˳怀⠰ᒕ䜠偎呚䵕₠呚䵕걯ﻩ鿿呚䵕呚䵕Ը赹ꤜ赹䵨綾藺Ǵ怀촐綴   䈠則媠怀屠˲怀켰綴䜠偎呚䵕₠呚䵕꭯ﻩ鿿呚䵕呚䵕Ը赹ꤜ赹ͪ?ˏέˁ̟x־ʡ˄͘ɉĄʗͻ͓čկʍµ̘̬Χøêՙι2՘ʈˠ́7Ԗ֙υ·¹cHoԠԟԛî֗ζ˹ªԘԗԔׂՕլ٪ԞԜf֐ĹįՒĬ£Äԙ֖í֘Ķ͖֚՚՛ńۉ՟䵨늠Ƕ怀騠0 䈠則媠怀˴怀䜠偎呚䵕₠呚䵕ꥯﻩ鿿呚䵕呚䵕Ը赹ꤜ赹䵨剰ᒕࡰǳ怀䗰ᒕ   䈠則媠怀䷠˳怀伐ᒕ䜠偎呚䵕₠呚䵕ꡯﻩ鿿呚䵕呚䵕Ը赹ꤜ赹뫴蒯老ﭐꞰ퍇슴蒯老匫ꔑ퍇蒯䥆ꎲ퍇謌老㥐ム퍗蒯㬆ꐩ퍇竼荵ⵔ碇퍃췄蒯老⁢ꜚ퍇잤蒯老ĭꍺ퍇뿼蒯搢Ꝼ퍇뼜蒯老ᐻ퍇왬謌老洶ᕽ퍘裈謍老ѕ퍊穬蛽렚涠퍗감蒯䩸궁퍃蒸老鰴䲱퍳襜蒰处퍳忸蒰d疴퍃蒸老촪扜퍳Ӭ蒰䠧퍇掄荵ౄ眊퍃ᵴ蒹老ﱑ䴋퍅ᘠ蒰老帣ꕬ퍃襜蒰老褕崞퍳ቀ͙怀㖀͙怀㶀͙怀㹀͙怀ी͙怀၀͙怀⹀͙怀ᘀ͙怀㺀͙怀㾀͙怀㼀͙怀㷀͙怀㡀͙怀ᆀ͙怀ក͙怀࿀͙怀ᅀ͙怀⎀͙怀⊀͙怀ᩀ͙怀ႀ͙怀ᡀ͙怀㘀͙怀ᮀ͙怀᱀͙怀ࠀ͙怀㰀͙怀䵨䟀搉衰Ǽ怀䉀搉   䈠則媠怀Რ˱怀䑠搉䜠偎呚䵕₠呚䵕ꑯﻩ鿿呚䵕呚䵕Ը赹ꤜ赹㍸п㡐У綰ɠ怀子ɠ怀ﺰm怀㍸п̯怀찐̯怀虀ǐ怀휐̯怀ばϕ怀̯怀큐̯怀㍸п㡐У崐ɠ怀曰ɠ怀␐o怀㍸п﬐̨怀헐̨怀虀ǐ怀톐̨怀灰ϋ怀컐̨怀ﱐ̨怀䵨梠揠ᕠǴ怀挠揠   䈠則媠怀㑀˴怀敀揠䜠偎呚䵕₠呚䵕ꅯﻩ鿿呚䵕呚䵕Ը赹ꤜ赹䵨逰替ǲ怀誰替   䈠則媠怀箠˵怀賐替䜠偎呚䵕₠呚䵕ꁯﻩ鿿呚䵕呚䵕Ը赹ꤜ赹怀筧⯯㍸п㡐Уʀ怀컰ʀ怀䫰怀㍸п̥怀슐̥怀虀ǐ怀̥怀⋀χ怀퐐̥怀̥怀媀̦怀姀̦怀婀̦怀妀̦怀奀̦怀夀̦怀塀̦怀壀̦怀埀̦怀嬀̦怀墀̦怀圀̦怀址̦怀囀̦怀嚀̦怀噀̦怀嘀̦怀䵨攠ᒔỰǳ怀徠ᒔ 䅙䝒鬀怀䭠˳怀懀ᒔ䜠偎呚䵕₠呚䵕鱯ﻩ鿿呚䵕呚䵕Ը赹ꤜ赹䄀̦怀䀀̧怀䁀̧怀䂀̧怀䃀̧怀䄀̧怀䅀̧怀䆀̧怀䇀̧怀䈀̧怀䉀̧怀䊀̧怀䋀̧怀䌀̧怀䍀̧怀䎀̧怀䏀̧怀䐀̧怀㍸п㡐У姰ɦ怀困ɦ怀峰怀㍸п̮怀̮怀虀ǐ怀㘐̡怀㊰϶怀⊐̡怀┐̡怀ﲰ蛾瘿孡퍕ﱜ蛾老ᑪ疴퍃瑈蛮걆此퍔玬蛮怵鈤퍑瑘蛮귕퍔華蛾襊ཙ퍍ﷄ蛾老遙蝛퍃ﴀ蛾老扙죫퍔瑐蛮老噿쾌퍔ﱌ蛾䙯瀭퍓ﱄ蛾老덐쪿퍕瘝蛾老橵퍑泔蛽ᄁ퍛勀蜅䴒疴퍃쭤蛽老ꝿ硤퍌ꏄ蛽老ਗ銃퍘ᴀ荵老爄ꇴ퍋॰莹老앗鄕퍃穴蛽䑈ਆ퍗粠蛽老⬣ຈ퍘꓄蛽9鑈퍋掄荵ḇ眊퍃阘螆老唻蝛퍃ᴀ荵老預燎퍘爘蛽찮蟡퍅꒴蛽！钟퍋栀筧⯯ 䵨浠ᒔᮐǳ怀柠ᒔ  @䅙䝒鬀怀丰˳怀樀ᒔ䜠偎呚䵕₠呚䵕陯ﻩ鿿呚䵕呚䵕Ը赹ꤜ赹器᩷⟘İ怀Ꞙ䎸㉠ń怀栠호⨑䍰㻨衈愀細⧭ዠ案夠짠⽰夠짠㍸п㡐У昐ɠ怀䙐ɠ怀バo怀㍸пᶐ̫怀쬐̨怀虀ǐ怀⌐̫怀碀ϋ怀᷐̫怀Ẑ̫怀氀筧⯯߻㍸п㡐Уꤐʀ怀땐ʀ怀䮰怀㍸п̥怀̥怀虀ǐ怀텐̥怀㴀χ怀̥怀̥怀渀筧⯯7㍸п㡐У칰ʀ怀ʀ怀뉐怀㍸п﯐̥怀̥怀虀ǐ怀̥怀Ạχ怀̥怀쿐̥怀㍸п㡐У殐ʙ怀翐ʙ怀붐怀㍸п⺐͙怀ዐ͙怀虀ǐ怀ᝐ͙怀䖰ϥ怀Ẑ͙怀ᄐ͙怀䵨㮰搉蔐Ǽ怀㘰搉   䈠則媠怀Ẁ˱怀㡐搉䜠偎呚䵕₠呚䵕蹯ﻩ鿿呚䵕呚䵕Ը赹ꤜ赹  耠 耠  耠       耠        @@@@@@@@㍸п㡐У⳰ɫ怀ጐɫ怀鬐怀㍸п㫐ͼ怀촐ͽ怀虀ǐ怀㈐ͼ怀退Ș怀㷐ͼ怀័ͼ怀참ᮋ᰸⨎嬨狠˙怀㻨狠˙怀狠˙怀鞐ų怀狠˙怀鰸⨚狠˙怀狠˙怀喝牀˙怀狠˙怀牀˙怀牀˙怀牀˙怀狠˙怀牀˙怀狠˙怀狠˙怀䡀̦怀䩀̦怀䧀̦怀厀̦怀䥀̦怀叀̦怀䤀̦怀䢀̦怀吀̦怀䪀̦怀䝀̦怀哀̦怀䦀̦怀䜀̦怀䛀̦怀䚀̦怀䬀̦怀䙀̦怀䒀̦怀䈀̦怀䃀̦怀䂀̦怀瘀筧⯯)㬀͙怀㯀͙怀ᖀ͙怀 ͙怀㣀͙怀׀͙怀฀͙怀⒀͙怀㦀͙怀ྀ͙怀ሀ͙怀ᜀ͙怀≀͙怀㢀͙怀㫀͙怀㝀͙怀ᛀ͙怀㤀͙怀㙀͙怀䖱ĀސmMacintosh HD ‎» Users ‎» gsun20 ‎» Downloads ‎» autopipeline-benchmarks-main ‎» commercial-pipelines ‎» a06_1䵨᐀搉輰Ǽ怀຀搉   䈠則媠怀͠˱怀Ⴀ搉䜠偎呚䵕₠呚䵕虯ﻩ鿿呚䵕呚䵕Ը赹ꤜ赹鶴蛽老ﴽ貒퍜翴蛽䡃햑퍜鿘蛽老︇銃퍘吘蜅老ɳ疴퍃鸜蛽罖硤퍌॰莹老鴎鄕퍃鬬蛽老荊ਆ퍗꒼蛽踿鑈퍋繰蛽老갺眊퍃䰄螇깧蝛퍃肄蛽老䝵퍝꒸蛽老䴲钟퍋場謋老偶痴퍃袰謋特碇퍃襨謋ﵺ蝇퍨堌謋老‼퍚謌㱟礍퍨作荵ᕼ痮퍃䖱ĀސmMacintosh HD ‎» Users ‎» gsun20 ‎» Downloads ‎» autopipeline-benchmarks-main ‎» commercial-pipelines ‎» a06_1ꋀ̧怀鯀̧怀頀̧怀꓀̧怀赀̧怀鉀̧怀闀̧怀鋀̧怀趀̧怀需̧怀陀̧怀ꏀ̧怀鎀̧怀駀̧怀ꗀ̧怀鄀̧怀鐀̧怀錀̧怀騀̧怀蘀̧怀躀̧怀葀̧怀跀̧怀踀̧怀ꘀ̧怀鴀̧怀ꃀ̧怀齀̧怀ꂄ菎老谷皲퍃補莻奄쪓퍃㧜荵老饠疴퍃쌠荷老쥞盕퍃蒲眨몉퍄蒰老扴쭺퍃蒲老砅낫퍃씀莽幆矝퍃蒲老Ὂ솏퍈㍸п㡐У⥰ʰ怀ʐʰ怀鵐f怀㍸пꮐΗ怀귐Η怀虀ǐ怀ꯐΗ怀짐Ȓ怀눐Η怀볐Η怀䵨䐀揢﬐ǲ怀ꔀ揫   䈠則媠怀ﶀ˲怀⨐曾䜠偎呚䵕₠呚䵕罯ﻩ鿿呚䵕呚䵕Ը赹ꤜ赹뮴蝿崣퍛竼荵老儧碇퍃뮨蝿老긡㰊퍏蛛䌙杮퍛䵨휀槬㷠ǰ怀톀槬   䈠則媠怀焀˷怀펠槬䜠偎呚䵕₠呚䵕絯ﻩ鿿呚䵕呚䵕Ը赹ꤜ赹㍸п㡐У襐ʊ怀ꑐʊ怀怀㍸п̢怀瓐̢怀虀ǐ怀̢怀聰ȼ怀̢怀읐̢怀䵨㑠揫ǳ怀ર貇   䈠則媠怀㉀˴怀曾䜠偎呚䵕₠呚䵕筯ﻩ鿿呚䵕呚䵕Ը赹ꤜ赹蛴ꕣ술퍃﹬蛩老呋퍕ﹸ蛩老╕퍕﷠蛩卡匳퍖࢜蜽䙁퍕큜蜇꽙퍑Ӹ蜃ᐾ퍕р蜃老䥒㵫퍍蛩섐퍒ʄ蛫丐퍕䵨Ⴐ綹毠Ǳ怀ᇀ櫄   䈠則媠怀˪怀勀櫆䜠偎呚䵕₠呚䵕祯ﻩ鿿呚䵕呚䵕Ը赹ꤜ赹㍸п㡐У娐ɠ怀環ɠ怀鞰j怀㍸п㟐̷怀㝐̷怀虀ǐ怀㡐̷怀Ϙ怀㢐̷怀㠐̷怀䵨큠曷튐ǲ怀氰揫   䈠則媠怀ﷀ˲怀ᢐ曾䜠偎呚䵕₠呚䵕睯ﻩ鿿呚䵕呚䵕Ը赹ꤜ赹摸丯￼垐丯￼囨丯￼坘丯￼윸鱢￼嚰丯￼熸ﾘ鿿螸Ⅵ�熰ﾘ鿿相ﰄ鿿螠Ⅵ�쑸鱢￼쨘鱢￼摀丯￼螘Ⅵ�噸丯￼巰ﵹ鿿圠丯￼埈丯￼䖱Āތ㇠改㕢㍥搷㙥㐸散㠳散挵㍦㕤㐸搲昳ⴷ㡥㈷㤲ㄴ戭敤ⴵ戴㠹㤭摣ⴵ㜲㔷捥ㄵ㠴挲㘭㜸ⰳ㐴ㅣ慤㜶昹㡦㘴挳愸㔸改挲㉢ㄵ〴ㅢ昭ㄲ㕡㘳ⴲ㉦㙤㐭收ⴶㅡ扣㔭㈲㠶㘲愰挵ⴹ㔷〶挬㡤㘳㈶㘶ㄱ㑣慣慡昸㕣㉢㝥㠲敥ㄸⵤ戳搶挶㔴㘭㜳ⴷ戴㕦㤭㤷ⴲ扤㡦ㅥ㠸〱㠸㜭㈵1䵨環替ǲ怀컰曼   䈠則媠怀ﹰ˲怀煐替䜠偎呚䵕₠呚䵕瑯ﻩ鿿呚䵕呚䵕Ը赹ꤜ赹䵨赀揩ﮠǲ怀噐替   䈠則媠怀ﴀ˲怀곐書䜠偎呚䵕₠呚䵕獯ﻩ鿿呚䵕呚䵕Ը赹ꤜ赹ៀᫀʺ怀㭠Ð怀癳g̀ﱠ˴怀ﱨ˴怀ﱨ˴怀赸Ė怀趐Ė怀䀴䀴䀴䀴ៀ⮠ʻ怀朐Í怀癳g̀ᴀ˷怀ᴈ˷怀ᴈ˷怀蹸Ė怀躐Ė怀䀰䀰䀰䀰䵨꜐朦㌰Ǿ怀峐朩   䈠則媠怀虐˰怀廰朩䜠偎呚䵕₠呚䵕灯ﻩ鿿呚䵕呚䵕Ը赹ꤜ赹䵨琀曾쨠ǲ怀満曾   䈠則媠怀Ｐ˲怀炠曾䜠偎呚䵕₠呚䵕潯ﻩ鿿呚䵕呚䵕Ը赹ꤜ赹䵨㾀貉⨰Ƕ怀㨀貉   䈠則媠怀㡐˯怀㰠貉䜠偎呚䵕₠呚䵕湯ﻩ鿿呚䵕呚䵕Ը赹ꤜ赹⼴蛣ⱓ퍝簸蛤老ⅺ퍑蛛甩⛃퍏음蛨老먝뚳퍋연蛲疴퍃읈蛲老䜓ꉥ퍓蛤Ὧ殘퍖蛤老疧퍃蝀老줼痉퍃荵遵碹퍃ஸ蛝老줙阪퍓ৈ蛣老㽊퍏࿥老뉅蝛퍃⬘蛣椯㴯퍏ﲨ鿿⠘ﲬ鿿魘＆鿿쾘ﲨ鿿鬨＆鿿쾐ﲨ鿿ﲨ鿿꽸⠐ﲬ鿿丳￼쬘﷦鿿䵨⏠闰ǯ怀@@ Ā䈠則媠怀聀˩怀⫰䜠偎呚䵕₠呚䵕歯ﻩ鿿呚䵕呚䵕Ը赹ꤜ赹䵨촠祛犠Ǳ怀梐祘   䈠則媠怀셠˫怀櫇䜠偎呚䵕₠呚䵕橯ﻩ鿿呚䵕呚䵕Ը赹ꤜ赹䵨苀替ǲ怀書   䈠則媠怀羠˵怀書䜠偎呚䵕₠呚䵕楯ﻩ鿿呚䵕呚䵕Ը赹ꤜ赹䵨䙠ꐀǯ怀䎐   䈠則媠怀聐˩怀←䜠偎呚䵕₠呚䵕桯ﻩ鿿呚䵕呚䵕Ը赹ꤜ赹뮴蝿老餘崣퍛竼荵♿碇퍃뮨蝿େ㰊퍏蛛』杮퍛ᴀ荵老졼퍑琠蛶뜕疴퍃舔蝵老慕쫧퍍ᴀ荵老䑴ꦉ퍗肐蝵老估犙퍙ᴀ荵老㰢赭퍗ᴀ荵老吟쾻퍍萼蝵老腻ㄭ퍗ᴀ荵老氯䱎퍘腔蝵턎퍛䵨耐曾ǲ怀窐曾   䈠則媠怀ｰ˲怀粰曾䜠偎呚䵕₠呚䵕敯ﻩ鿿呚䵕呚䵕Ը赹ꤜ赹鬀筧⯯(䵨Ƞ替ǲ怀尐替   䈠則媠怀ﺰ˲怀ﻀ曾䜠偎呚䵕₠呚䵕捯ﻩ鿿呚䵕呚䵕Ը赹ꤜ赹䵨㓀漌ୀǲ怀⽀漌   䈠則媠怀㥀˲怀ㅠ漌䜠偎呚䵕₠呚䵕扯ﻩ鿿呚䵕呚䵕Ը赹ꤜ赹公ၒ老ݰ筀퍉橬荵老쭍眅퍃亐ၒ老먫魢ᅸ冔ၒ老䬭췣ᅺ㧜荵老赶疴퍃兜ၒ꩎报ᅸ錜荵ᅿ癉퍃兔ၒ①ᔈ퍋倌ၒ瞉퍃农ၒశ蝛퍃儼ၒ老Լ厮퍣俀ၒ老괞癎퍃兌ၒȘ첏퍄䵨擄曼ǲ怀曼   䈠則媠怀ﻰ˲怀曼䜠偎呚䵕₠呚䵕息ﻩ鿿呚䵕呚䵕Ը赹ꤜ赹䵨矀櫊툀ǵ怀ؠ櫌   䈠則媠怀떠˳怀ࡀ櫌䜠偎呚䵕₠呚䵕彯ﻩ鿿呚䵕呚䵕Ը赹ꤜ赹῀蒳老ቜၓ퍈효蔋老ᡁ碲퍃蒮ⵖ呣퍊횬蔋疧퍃䵨砐ᬛ즐Ǵ怀ᬞ   䈠則媠怀ᜠ˵怀瘠ᬛ䜠偎呚䵕₠呚䵕嵯ﻩ鿿呚䵕呚䵕Ը赹ꤜ赹䵨壐握ǵ怀㙠綵   䈠則媠怀깐˳怀限槩䜠偎呚䵕₠呚䵕屯ﻩ鿿呚䵕呚䵕Ը赹ꤜ赹䵨造貋팠ǳ怀詠貋   䈠則媠怀˴怀踰貋䜠偎呚䵕₠呚䵕孯ﻩ鿿呚䵕呚䵕Ը赹ꤜ赹॰蜂老퍃ᴀ荵老頥疒퍃̀蒰ﭏ瘃퍃傴蛶ᰵ疴퍃Ș蜂老ଓ盕퍃μ蒰♀疧퍃鍨蒶怽瘗퍃ب蒰老獽盨퍃㤀蛶ὪῩ퍇ᴀ荵老꘎鞌퍃Ȉ蜂老尩矝퍃͜蒰畎퍃ᴀ荵老豶綏퍜ᴀ荵老豈ﳳᅸ퉌Ⴧ老帴໌폠Ⴧਅ䅔໌Ⴧ老䠖ᰶ폇튔Ⴧ攮ᅶჇ老穸퍃Ⴧ⑜폍Ⴧ老蜨ᘎ퍜Ⴧ老坼⎮໌Ⴧᑾᅹ꜀筧⯯߻䈀Ӎ老䄜먡퍗灀蛡ై魤퍏潘蛡㱽鮂퍏녔蛠老밆ᖣ퍚ﻐ蛨老⭳ᔤ퍚竼荵老逌碇퍃佈蛤쬽⯨퍓넼蛠老簘ᕉ퍚뮨蝿攲㰊퍏녈蛠흍ᓻ퍚灌蛡豯퍏ᡰ螀唓ۭ퍚蛛饾杮퍛뮴蝿老᝺崣퍛䵨漎≐Ǿ怀ក漏   䈠則媠怀빠˰怀흐漎䜠偎呚䵕₠呚䵕噯ﻩ鿿呚䵕呚䵕Ը赹ꤜ赹雈郠老㈡퍥겘郠ᰣ퍈鞰郡老㘾杧퍾饀郡렁枧퍾並郞老둟ⵉ퍾郢ᭃ樚퍾郢셸燼퍾顸郡老椆杼퍾郢老괰樀퍾餴郠幉＿퍃䵨㑐漋ᾀǲ怀⻐漋   䈠則媠怀㦀˲怀ヰ漋䜠偎呚䵕₠呚䵕呯ﻩ鿿呚䵕呚䵕Ը赹ꤜ赹爜荵尡瘗퍃⩼蛞老挍粉퍗㦀荵老䤋碲퍃ᴀ荵ᥤ퍍㧜荵老战疴퍃橬荵老儸眅퍃痐荵老穵瞉퍃⑜蛝⥿疧퍃蛬訋퍘ᴀ荵䡛퍐␔蛝팁眊퍃鼜蜇踧ꭜ퍜뉌蜀啢걃퍜荵戀砟퍃ਘ蛸老줒쪠퍗蛬ὣⷁ퍞蛬焎퍉জ蛸老㬘ࣨ퍊蛬鑽ﳚ퍙蛬︣犝퍝䖱ĀސmMacintosh HD ‎» Users ‎» gsun20 ‎» Downloads ‎» autopipeline-benchmarks-main ‎» commercial-pipelines ‎» a05_1䵨ῐᬜ펰Ǯ怀甐ᬛ   䈠則媠怀˨怀ᱰᬜ䜠偎呚䵕₠呚䵕偯ﻩ鿿呚䵕呚䵕Ը赹ꤜ赹䵨ⱰᬜǮ怀⛰ᬜ   䈠則媠怀˨怀⤐ᬜ䜠偎呚䵕₠呚䵕佯ﻩ鿿呚䵕呚䵕Ը赹ꤜ赹䵨㤐ᬜǮ怀㎐ᬜ   䈠則媠怀˨怀㖰ᬜ䜠偎呚䵕₠呚䵕乯ﻩ鿿呚䵕呚䵕Ը赹ꤜ赹䵨䖰ᬜ횀Ǯ怀䀰ᬜ   䈠則媠怀˨怀䉐ᬜ䜠偎呚䵕₠呚䵕䵯ﻩ鿿呚䵕呚䵕Ը赹ꤜ赹䵨嘰ᬜỰǠ怀傰ᬜ   䈠則媠怀侐˫怀勐ᬜ䜠偎呚䵕₠呚䵕䱯ﻩ鿿呚䵕呚䵕Ը赹ꤜ赹䵨拐ᬜ೰Ǡ怀嵐ᬜ   䈠則媠怀긐˫怀彰ᬜ䜠偎呚䵕₠呚䵕䭯ﻩ鿿呚䵕呚䵕Ը赹ꤜ赹䵨潰ᬜ䄠Ǡ怀槰ᬜ   䈠則媠怀㩀˪怀氐ᬜ䜠偎呚䵕₠呚䵕䩯ﻩ鿿呚䵕呚䵕Ը赹ꤜ赹䵨簐ᬜ扐Ǡ怀皐ᬜ   䈠則媠怀攠˪怀碰ᬜ䜠偎呚䵕₠呚䵕䥯ﻩ鿿呚䵕呚䵕Ը赹ꤜ赹䵨ؠ揧ﳀǲ怀纰曶   䈠則媠怀﵀˲怀⅀曾䜠偎呚䵕₠呚䵕䡯ﻩ鿿呚䵕呚䵕Ը赹ꤜ赹䵨艰貋챠ǳ怀糰貋   䈠則媠怀쀰˴怀缐貋䜠偎呚䵕₠呚䵕䝯ﻩ鿿呚䵕呚䵕Ը赹ꤜ赹MapMapMapMapMapMap Geography&#10;UniqueNameNameTBDImageNameWP(Admin Division 2 (County/district/other)), P(Admin Division 1 (State/province/other))=P(Admin Division 1 (State/province/other)), P(Country/region)Country/regionDescription115942XLO_Datatypes_Disambig120734182916XLO_Datatypes_Noresults&#10;PowerBIRibbonWorkDataConvert to Organization datamyour organization's data.&#10;&#10;You can expand the data types dropdown to see what data types are available to youPower BIOrganization&#10;UniqueNameNameTBDImageName&#10;P(WikiPageID)kSelect a matching result. To view more results, select Change to specify a data type or modify your search.Powered by Power BI&#10;DataTypes_PBI191662XLO_OrgDT_NoResultsHighlightedFrom your organizationMore from your organization...!Show more Organization data types-Finance_dce6b7bc99684509897ab6a26c05f173.data-Finance_dce6b7bc99684509897ab6a26c05f173.data0Geographic_2a1a98f23b16478f90b00d39cc08695d.data0Geographic_2a1a98f23b16478f90b00d39cc08695d.data.v2.1601652342626/en-US/en.en-US.zh-CN.zh-Hans/ahttps://enrichment.osi.office.net/OfficeEnrichment/v2.1601652342626/en-US/en.en-US.zh-CN.zh-Hans/&#10;Recently used筧⯯2筧⯯&gt;䵨殦두Ƿ怀僀殪   䈠則媠怀ऐ˩怀勠殪䜠偎呚䵕₠呚䵕፯ﻩ鿿呚䵕呚䵕Ը赹ꤜ赹ៀ疀ʽ怀甠Ð怀癳g̀ﷀ˴怀﷈˴怀﷈˴怀Ė怀Ė怀䀴䀴䀴䀴的荵鬍瘣퍃胼荵老瞡퍃㧜荵砥疴퍃犌薣老퍊ኤ薣老驫퍊㦤薣왜퍊ሄ薣䉦ퟛ퍊뮜薯渻퍊솴薯訊퍊볈薯老䑡퍊筧⯯?筧⯯@筧⯯7䵨㟰綿Ǵ怀㉰綿   䈠則媠怀煐˲怀㒐綿䜠偎呚䵕₠呚䵕൯ﻩ鿿呚䵕呚䵕Ը赹ꤜ赹筧⯯;筧⯯0筧⯯:筧⯯4勌ޔ老䔽偦࠲嬬ސ老棂ᅹ啬ސ老䣄풨㧜荵㙙疴퍃顈ސ老朧ᔈ퍋嗌ސ錽텆퍠幼ސ老퍊仜ސ≩氨࠲匠ސ老横࠲氘ࠃꨤ蝛퍃储ސ老艢᲍ᅺ峜ސ老搘첏퍄筧⯯1豈筧⯯9切筧⯯6㍸п㡐У뵐ɣ怀륰ɣ怀꠰l怀㍸п̵怀̵怀虀ǐ怀̵怀뾠Ϛ怀̵怀̵怀녔蛠Ʌᖣ퍚뮴蝿⠢崣퍛ﻐ蛨ൎᔤ퍚竼荵䤰碇퍃넼蛠老嘧ᕉ퍚뮨蝿뜕㰊퍏녈蛠ᵎᓻ퍚ᡰ螀魱ۭ퍚蛛쵮杮퍛ﴀ筧⯯+︀筧⯯߻＀筧⯯5  耠 耠  耠       耠        @@@@@@@@䵨ዀ繎嚀Ƿ怀ീ繎   䈠則媠怀奠˩怀འ繎䜠偎呚䵕₠呚䵕﹯ﻨ鿿呚䵕呚䵕Ը赹ꤜ赹᱀ҿ瑣牯耐㠔蜸ǠĲ怀耀㠔背㠔à譌㠔ɀ롌㠔ɉ⼠㠕*ば㠕よ㠕Ր嬈㠕㿌高㠖髸㠖汐큠˪怀큰˪怀큰˪怀䵨繍汰ǯ怀繍   䈠則媠怀櫀˩怀繍䜠偎呚䵕₠呚䵕ﱯﻨ鿿呚䵕呚䵕Ը赹ꤜ赹䵨繍呀ǯ怀홐繍   䈠則媠怀氐˩怀繍䜠偎呚䵕₠呚䵕ﭯﻨ鿿呚䵕呚䵕Ը赹ꤜ赹䵨繍춀ǫ怀繍   䈠則媠怀垰˩怀繍䜠偎呚䵕₠呚䵕﩯ﻨ鿿呚䵕呚䵕Ը赹ꤜ赹녔蛠ﴋᖣ퍚뮴蝿老婴崣퍛ﻐ蛨険ᔤ퍚竼荵老碇퍃넼蛠ﹿᕉ퍚뮨蝿䬃㰊퍏녈蛠老ꡭᓻ퍚ᡰ螀ۭ퍚蛛老⩋杮퍛䖱ĀސoMacintosh HD ‎» Users ‎» gsun20 ‎» Downloads ‎» autopipeline-benchmarks-main ‎» commercial-pipelines ‎» adf02_1䵨쪠厰Ǯ怀桠ǌ( ܰ䈠則媠怀韀ˢ怀좰䜠偎呚䵕₠呚䵕ﻨ鿿呚䵕呚䵕Ը赹ꤜ赹䵨检繈⨰Ƿ怀挀繈   䈠則媠怀콰˴怀曐繈䜠偎呚䵕₠呚䵕ﻨ鿿呚䵕呚䵕Ը赹ꤜ赹᱀ҿ瑣牯耐㠔蜸ǠĲ怀耀㠔背㠔à譌㠔ɀ롌㠔ɉ⼠㠕*ば㠕よ㠕Ր嬈㠕㿌高㠖髸㠖汐˪怀˪怀˪怀녔蛠ᖣ퍚뮴蝿戶崣퍛ﻐ蛨老㵫ᔤ퍚竼荵老턉碇퍃넼蛠ⴘᕉ퍚뮨蝿老୙㰊퍏녈蛠老㌫ᓻ퍚ᡰ螀老靟ۭ퍚蛛老䐴杮퍛䵨鸀估Ǯ怀 䈠則媠怀☐˭怀骠䜠偎呚䵕₠呚䵕ﻨ鿿呚䵕呚䵕Ը赹ꤜ赹䵨ꐠ僠Ǯ怀4 䈠則媠怀☰˭怀ꃀ䜠偎呚䵕₠呚䵕ﻨ鿿呚䵕呚䵕Ը赹ꤜ赹䵨칠繍樰ǭ怀죠繍   䈠則媠怀䤐˩怀쬀繍䜠偎呚䵕₠呚䵕ﻨ鿿呚䵕呚䵕Ը赹ꤜ赹䵨买繈⦠Ƿ怀䣰繈   䈠則媠怀˴怀䬐繈䜠偎呚䵕₠呚䵕ﻨ鿿呚䵕呚䵕Ը赹ꤜ赹뮴蝿老拉崣퍛竼荵笧碇퍃뮨蝿蔧㰊퍏䵨ᑤ捰Ǯ怀満᧦ǌ( ܰ䈠則媠怀죐ˣ怀ퟰᑤ䜠偎呚䵕₠呚䵕ﻨ鿿呚䵕呚䵕Ը赹ꤜ赹䵨搰᧦懀Ǯ怀냐ǌ( ܰ䈠則媠怀煀˥怀摰䜠偎呚䵕₠呚䵕ﻨ鿿呚䵕呚䵕Ը赹ꤜ赹䵨Ꮰ往Ǯ怀⣠ǌ( ܰ䈠則媠怀ﻠ˥怀ߠ䜠偎呚䵕₠呚䵕ﻨ鿿呚䵕呚䵕Ը赹ꤜ赹䵨㪀廰Ǯ怀㇀ǌ( ܰ䈠則媠怀ၠ˭怀㢐䜠偎呚䵕₠呚䵕ﻨ鿿呚䵕呚䵕Ը赹ꤜ赹䵨䰠嵀Ǯ怀啠ǌ( ܰ䈠則媠怀騐ˢ怀ڰ䜠偎呚䵕₠呚䵕ﻨ鿿呚䵕呚䵕Ը赹ꤜ赹䵨ꆠ岰Ǯ怀℀ǌ( ܰ䈠則媠怀귐ˢ怀ꚰ䜠偎呚䵕₠呚䵕ﻨ鿿呚䵕呚䵕Ը赹ꤜ赹桀謌老明諐퍨ᴀ荵✵寡퍊欐謌老褶퍨樈謌萳퍨闰謌老饲疴퍃狄謌〚宇퍊朔謌老㔜蠆퍨闘謌툏爧퍛ᴀ荵老ᅕ富퍊䵨㺐繈⤐Ƿ怀㤐繈   䈠則媠怀אּ˴怀㬰繈䜠偎呚䵕₠呚䵕ﻨ鿿呚䵕呚䵕Ը赹ꤜ赹䵨䄠Ǯ怀䉐ǌ( ܰ䈠則媠怀頰ˢ怀玐䜠偎呚䵕₠呚䵕ﻨ鿿呚䵕呚䵕Ը赹ꤜ赹䵨ᨠ䶀Ǯ怀㗠ᑥǌ( ܰ䈠則媠怀蔰ˣ怀௰䜠偎呚䵕₠呚䵕ﻨ鿿呚䵕呚䵕Ը赹ꤜ赹䵨䫰䛀Ǯ怀퐐ǌ( ܰ䈠則媠怀泠ˣ怀뉐䜠偎呚䵕₠呚䵕ﻨ鿿呚䵕呚䵕Ը赹ꤜ赹ᄐ蛿老썗꧐퍚㺈蛱䙈ﬅ퍗䆬蛱Ḥ疴퍃꤈蛻老찢抶퍜굨蛻老筳꟦퍚鸼蛴老腾ꕻ퍚嫌蝧笪鄊퍙ꬴ蛻老 ➻퍗尀蝧ጤ楌퍘ꧤ蛻老ᡐ䶾퍛倁Ā᠐ᠰᡐᡰᢐᢰᣐᣰᤐᤰᥐᥰᦐᦰ᧐᧰ᨐᨰᩐᩰ᪐᪰᫐᫰ᬐᬰ᭐᭰䵨ἀ拠Ǯ怀뉐䈠則媠怀Ā᭰˭怀ᮠ䙆呉呚䵕₠呚䵕ﻨ鿿呚䵕呚䵕Ը赹ꤜ赹䵨톀䘰Ǯ怀딠ǌ. ܰ䈠則媠怀洠ˣ怀謰䜠偎呚䵕₠呚䵕ﻨ鿿呚䵕呚䵕Ը赹ꤜ赹䵨뼐巐Ǯ怀䈠則媠怀Āᰀ˭怀䙆呉呚䵕₠呚䵕ﻨ鿿呚䵕呚䵕Ը赹ꤜ赹䵨嬐繈⭐Ƿ怀喐繈   䈠則媠怀˴怀垰繈䜠偎呚䵕₠呚䵕ﻨ鿿呚䵕呚䵕Ը赹ꤜ赹᱀ҿ瑣牯耐㠔蜸ǠĲ怀耀㠔背㠔à譌㠔ɀ롌㠔ɉ⼠㠕*ば㠕よ㠕Ր嬈㠕㿌高㠖髸㠖汐˪怀˪怀˪怀䵨隀䭀Ǯ怀棠ǌ( ܰ䈠則媠怀僐ˣ怀ꥠᑫ䜠偎呚䵕₠呚䵕ﻨ鿿呚䵕呚䵕Ը赹ꤜ赹䵨旐䔐Ǯ怀籠ǌ( ܰ䈠則媠怀筐ˣ怀烀䜠偎呚䵕₠呚䵕ﻨ鿿呚䵕呚䵕Ը赹ꤜ赹─筦⯯߻䵨匀奐Ǯ怀㲀ǌ( ܰ䈠則媠怀児ˣ怀歠䜠偎呚䵕₠呚䵕ﻨ鿿呚䵕呚䵕Ը赹ꤜ赹䵨棰᧭毠Ǯ怀᱀ǌ) ܰ䈠則媠怀豀˯怀⁀䜠偎呚䵕₠呚䵕ﻨ鿿呚䵕呚䵕Ը赹ꤜ赹䵨湀䪰Ǯ怀ἐǌ( ܰ䈠則媠怀槀ˣ怀Ꝡ䜠偎呚䵕₠呚䵕흯ﻨ鿿呚䵕呚䵕Ը赹ꤜ赹ꪐ໤姈틠œ怀갸໤旐ṙ鏠Ǵ겈໤娈癠ǒ怀췀Ǘ怀䵨ؠ繎䂐Ƿ怀 繎   䈠則媠怀䂀˩怀ˀ繎䜠偎呚䵕₠呚䵕핯ﻨ鿿呚䵕呚䵕Ը赹ꤜ赹䞑Āᒄ¶¶㼼浸⁬敶獲潩㵮ㄢ〮•湥潣楤杮∽呕ⵆ∸㸿㰊䐡䍏奔䕐瀠楬瑳倠䉕䥌⁃ⴢ⼯灁汰⽥䐯䑔倠䥌呓ㄠ〮⼯久•栢瑴㩰⼯睷⹷灡汰⹥潣⽭呄獄倯潲数瑲䱹獩⵴⸱⸰瑤≤ਾ瀼楬瑳瘠牥楳湯∽⸱∰ਾ昼污敳㸯㰊瀯楬瑳ਾ䵨ᑤ撐Ǯ怀ᑤǌ( ܰ䈠則媠怀ⰰˣ怀ᑤ䜠偎呚䵕₠呚䵕퍯ﻨ鿿呚䵕呚䵕Ը赹ꤜ赹䵨캐搀Ǯ怀ᑤǌ( ܰ䈠則媠怀ﴠˠ怀철䜠偎呚䵕₠呚䵕퉯ﻨ鿿呚䵕呚䵕Ը赹ꤜ赹䵨뀰新Ǯ怀걐ǌ( ܰ䈠則媠怀콀ˠ怀刐䜠偎呚䵕₠呚䵕텯ﻨ鿿呚䵕呚䵕Ը赹ꤜ赹䵨痀繈⯠Ƿ怀潐繈   䈠則媠怀쉠˴怀牠繈䜠偎呚䵕₠呚䵕큯ﻨ鿿呚䵕呚䵕Ը赹ꤜ赹䵨맠悠Ǯ怀념ǌ( ܰ䈠則媠怀婀ˠ怀뚀䜠偎呚䵕₠呚䵕콯ﻨ鿿呚䵕呚䵕Ը赹ꤜ赹䵨쏀晀Ǯ怀묀ǌ( ܰ䈠則媠怀筰ˠ怀쁠䜠偎呚䵕₠呚䵕칯ﻨ鿿呚䵕呚䵕Ը赹ꤜ赹䵨춀杠Ǯ怀쓠ǌ( ܰ䈠則媠怀鵐˯怀쨠䜠偎呚䵕₠呚䵕쵯ﻨ鿿呚䵕呚䵕Ը赹ꤜ赹䵨흀曐Ǯ怀캠ǌ( ܰ䈠則媠怀녀˯怀폠䜠偎呚䵕₠呚䵕챯ﻨ鿿呚䵕呚䵕Ը赹ꤜ赹䵨柰Ǯ怀𨊞ǌ( ܰ䈠則媠怀Ꝡ˯怀䜠偎呚䵕₠呚䵕쭯ﻨ鿿呚䵕呚䵕Ը赹ꤜ赹䵨梀Ǯ怀ǌ( ܰ䈠則媠怀끀˯怀䜠偎呚䵕₠呚䵕쩯ﻨ鿿呚䵕呚䵕Ը赹ꤜ赹䵨椐Ǯ怀ǌ( ܰ䈠則媠怀빐˯怀䜠偎呚䵕₠呚䵕쥯ﻨ鿿呚䵕呚䵕Ը赹ꤜ赹䵨ﷰ榠Ǯ怀ǌ( ܰ䈠則媠怀뢐˯怀敖䜠偎呚䵕₠呚䵕졯ﻨ鿿呚䵕呚䵕Ը赹ꤜ赹䵨ޠ樰Ǯ怀０ǌ- ܰ䈠則媠怀钠˯怀р䜠偎呚䵕₠呚䵕읯ﻨ鿿呚䵕呚䵕Ը赹ꤜ赹䵨ᅰ櫀Ǯ怀ࣀǌ( ܰ䈠則媠怀鐀˯怀ฐ䜠偎呚䵕₠呚䵕왯ﻨ鿿呚䵕呚䵕Ը赹ꤜ赹䵨ᬠ歐Ǯ怀ነǌ( ܰ䈠則媠怀谰˯怀ៀ䜠偎呚䵕₠呚䵕앯ﻨ鿿呚䵕呚䵕Ը赹ꤜ赹䵨゠蛀Ǡ怀➰ǌ( ܰ䈠則媠怀೐˭怀⺰䜠偎呚䵕₠呚䵕쑯ﻨ鿿呚䵕呚䵕Ը赹ꤜ赹䵨⻐汰Ǯ怀♀ǌ) ܰ䈠則媠怀铠˯怀⭰䜠偎呚䵕₠呚䵕썯ﻨ鿿呚䵕呚䵕Ը赹ꤜ赹䵨㢀洀Ǯ怀⿰ǌ( ܰ䈠則媠怀閰˯怀㔠䜠偎呚䵕₠呚䵕쉯ﻨ鿿呚䵕呚䵕Ը赹ꤜ赹䵨䉐涐Ǯ怀㦠ǌ( ܰ䈠則媠怀陠˯怀㻰䜠偎呚䵕₠呚䵕셯ﻨ鿿呚䵕呚䵕Ը赹ꤜ赹䵨瘀Ǯ怀蛠ǌ( ܰ䈠則媠怀념˯怀㦠䜠偎呚䵕₠呚䵕쁯ﻨ鿿呚䵕呚䵕Ը赹ꤜ赹䵨驀皐Ǯ怀ǌ( ܰ䈠則媠怀놐˯怀쓀䜠偎呚䵕₠呚䵕뽯ﻨ鿿呚䵕呚䵕Ը赹ꤜ赹䵨풠驰Ǯ怀菰   䈠則媠怀˫怀텀䜠偎呚䵕₠呚䵕빯ﻨ鿿呚䵕呚䵕Ը赹ꤜ赹䵨䪐繂ጠǭ怀퉀繃   䈠則媠怀נּ˶怀㍀繂䜠偎呚䵕₠呚䵕뵯ﻨ鿿呚䵕呚䵕Ը赹ꤜ赹䵨䍠柰Ǡ怀㷠8 @䈠則媠怀艠˭怀䀀䜠偎呚䵕₠呚䵕뱯ﻨ鿿呚䵕呚䵕Ը赹ꤜ赹䵨䵀䍠ǣ怀䞰 p 䈠則媠怀舠˭怀䧠䜠偎呚䵕₠呚䵕뭯ﻨ鿿呚䵕呚䵕Ը赹ꤜ赹䵨壀䭀ǣ怀冠8 @䈠則媠怀葐˭怀啠䜠偎呚䵕₠呚䵕멯ﻨ鿿呚䵕呚䵕Ը赹ꤜ赹䵨憐嵀ǣ怀宀 p 䈠則媠怀萰˭怀帰䜠偎呚䵕₠呚䵕륯ﻨ鿿呚䵕呚䵕Ը赹ꤜ赹䵨澐岰ǣ怀樐8 @䈠則媠怀蛰˭怀氰䜠偎呚䵕₠呚䵕롯ﻨ鿿呚䵕呚䵕Ը赹ꤜ赹䵨硠悠ǣ怀牐 p 䈠則媠怀蛐˭怀甀䜠偎呚䵕₠呚䵕띯ﻨ鿿呚䵕呚䵕Ը赹ꤜ赹䵨脰亠ǣ怀笠8 @䈠則媠怀뿀˭怀緐䜠偎呚䵕₠呚䵕뙯ﻨ鿿呚䵕呚䵕Ը赹ꤜ赹䵨謐尠ǣ怀蕰 p 䈠則媠怀螰˭怀螰䜠偎呚䵕₠呚䵕땯ﻨ鿿呚䵕呚䵕Ը赹ꤜ赹䵨隐撐ǣ怀轠8 @䈠則媠怀럀˭怀錰䜠偎呚䵕₠呚䵕둯ﻨ鿿呚䵕呚䵕Ը赹ꤜ赹䵨齠曐ǣ怀饐 p 䈠則媠怀띰˭怀鰀䜠偎呚䵕₠呚䵕덯ﻨ鿿呚䵕呚䵕Ը赹ꤜ赹䵨ꫠ杠ǣ怀ꎐ8 @䈠則媠怀롰˭怀Ꞁ䜠偎呚䵕₠呚䵕뉯ﻨ鿿呚䵕呚䵕Ը赹ꤜ赹䵨뎰椐ǣ怀궠 p 䈠則媠怀뢀˭怀끐䜠偎呚䵕₠呚䵕녯ﻨ鿿呚䵕呚䵕Ը赹ꤜ赹伀筦⯯߻倀筦⯯㨠ʄ怀ⴀʄ怀ಀʄ怀Ꭰʄ怀⻀ʄ怀⢀ʄ怀׀ʄ怀⻠ʄ怀⤠ʄ怀Ġʄ怀㖀ʄ怀㑠ʄ怀ㆀʄ怀⪠ʄ怀䵨䯰渠Ǯ怀䍰ǌ( ܰ䈠則媠怀踠˯怀䢐䜠偎呚䵕₠呚䵕굯ﻨ鿿呚䵕呚䵕Ը赹ꤜ赹䵨잀瓠Ǯ怀鋐ǌ( ܰ䈠則媠怀릠˯怀쐠䜠偎呚䵕₠呚䵕걯ﻨ鿿呚䵕呚䵕Ը赹ꤜ赹䵨ゐ飀Ǯ怀⬐䅙䝒鬀怀˫怀ⴰ䜠偎呚䵕₠呚䵕꭯ﻨ鿿呚䵕呚䵕Ը赹ꤜ赹䵨ﻀ掞㮠ǭ怀鹿掞 䅙䝒鬀怀妠˷怀ﭠ掞䜠偎呚䵕₠呚䵕ꩯﻨ鿿呚䵕呚䵕Ը赹ꤜ赹㍸п㡐У㐰ʉ怀⭰ʉ怀碰怀㍸пꆐ͝怀肐͝怀虀ǐ怀꺐͘怀갠Ȅ怀鵐͘怀닐͘怀䵨吐溰Ǯ怀䴐ǌ( ܰ䈠則媠怀隐˯怀傰䜠偎呚䵕₠呚䵕ꝯﻨ鿿呚䵕呚䵕Ը赹ꤜ赹䵨恰潀Ǯ怀埐ǌ( ܰ䈠則媠怀膰˯怀崐䜠偎呚䵕₠呚䵕꙯ﻨ鿿呚䵕呚䵕Ը赹ꤜ赹䵨녀掞뚐ǭ怀ꯀ掞  @䅙䝒鬀怀碐˷怀균掞䜠偎呚䵕₠呚䵕ꕯﻨ鿿呚䵕呚䵕Ը赹ꤜ赹䵨鎐掞Ṡǭ怀踐掞 䅙䝒鬀怀緐˷怀逰掞䜠偎呚䵕₠呚䵕ꑯﻨ鿿呚䵕呚䵕Ը赹ꤜ赹䵨鶐掞㈐ǭ怀預掞  @䅙䝒鬀怀繐˷怀騰掞䜠偎呚䵕₠呚䵕ꍯﻨ鿿呚䵕呚䵕Ը赹ꤜ赹䵨릀掞률ǭ怀됀掞 䅙䝒鬀怀猀˷怀똠掞䜠偎呚䵕₠呚䵕ꉯﻨ鿿呚䵕呚䵕Ը赹ꤜ赹  耠 耠  耠       耠        @@@@@@@@떨떨떨痰ᑭ痰ᑭ뼇阄뼇阄믘≞믘≞㜗깢陈㜗깢陈뼇阄❓㼞먂裈❓㼞먂裈䵨緀掟뜠ǭ怀础掟  @䅙䝒鬀怀瓰˷怀穠掟䜠偎呚䵕₠呚䵕齯ﻨ鿿呚䵕呚䵕Ը赹ꤜ赹䵨琠掟끠ǭ怀ퟀ掞 䅙䝒鬀怀細˷怀掞䜠偎呚䵕₠呚䵕鹯ﻨ鿿呚䵕呚䵕Ը赹ꤜ赹䵨쌠掞례ǭ怀붠掞  @䅙䝒鬀怀狠˷怀뿀掞䜠偎呚䵕₠呚䵕鵯ﻨ鿿呚䵕呚䵕Ը赹ꤜ赹䵨쭠掞든ǭ怀엠掞 䅙䝒鬀怀癐˷怀저掞䜠偎呚䵕₠呚䵕鱯ﻨ鿿呚䵕呚䵕Ը赹ꤜ赹䵨픀掞랰ǭ怀쾀掞  @䅙䝒鬀怀秠˷怀토掞䜠偎呚䵕₠呚䵕魯ﻨ鿿呚䵕呚䵕Ը赹ꤜ赹䵍䵍℡℡℡℡℡℡℡℡℡℡℡℡℡℡℡℡℡℡℡℡℡℡℡℡℡℡℡℡℡℡℡℡℡℡℡℡℡℡℡℡℡℡℡℡℡℡℡℡℡℡䵨㥐掟룐ǭ怀绠掟 䅙䝒鬀怀杠˷怀㗰掟䜠偎呚䵕₠呚䵕饯ﻨ鿿呚䵕呚䵕Ը赹ꤜ赹䵨䋰掟꽀ǭ怀㵰掟  @䅙䝒鬀怀窐˷怀㾐掟䜠偎呚䵕₠呚䵕顯ﻨ鿿呚䵕呚䵕Ը赹ꤜ赹䵨⵰繎締Ƿ怀✀繎   䈠則媠怀姀˩怀⨐繎䜠偎呚䵕₠呚䵕陯ﻨ鿿呚䵕呚䵕Ը赹ꤜ赹䵨钐繂頰Ǣ怀禀繂   䈠則媠怀˶怀銠繂䜠偎呚䵕₠呚䵕镯ﻨ鿿呚䵕呚䵕Ը赹ꤜ赹녔蛠老ᖣ퍚侌荵⽴磣퍃뮴蝿老漠崣퍛ﻐ蛨鐁ᔤ퍚竼荵ᝄ碇퍃넼蛠䑷ᕉ퍚뮨蝿老荣㰊퍏녈蛠老͈ᓻ퍚ᡰ螀퍗ۭ퍚蛛老ᜄ杮퍛䵨鲀繃ꂠǢ怀需繃   䈠則媠怀˶怀餠繃䜠偎呚䵕₠呚䵕鍯ﻨ鿿呚䵕呚䵕Ը赹ꤜ赹㘀︀ᩮ똀耀쀀ᩲ䐀⠀ꐀ저耀吀蠀　䵨觰掞᷐ǭ怀葰掞  @䅙䝒鬀怀罠˷怀蚐掞䜠偎呚䵕₠呚䵕遯ﻨ鿿呚䵕呚䵕Ը赹ꤜ赹䵨ࣀ掟‐ǭ怀̀掟  @䅙䝒鬀怀恰˷怀ՠ掟䜠偎呚䵕₠呚䵕软ﻨ鿿呚䵕呚䵕Ը赹ꤜ赹㖠ʄ怀䵨ꜰ掞㷠ǭ怀ꆰ掞 䅙䝒鬀怀疰˷怀ꏐ掞䜠偎呚䵕₠呚䵕赯ﻨ鿿呚䵕呚䵕Ը赹ꤜ赹➀ʄ怀ᴀ荵老롩萠퍚胼荵老魴瞡퍃穠蛦老ᬡ퍃的荵老瘣퍃촘蛨老ᩯ疴퍃贐荵老ⴖ瘵퍃蛦㵶뮖퍘竄蛦老癎坘퍘蚨蒯㜲굙퍄熔蛦앣쭺퍃蛦老㩋ꐭ퍌蛦老긐왮퍙ᴀ荵老ꭩ萯퍚ᧀʄ怀⁠ʄ怀ᬀʄ怀ૠʄ怀⦀ʄ怀ౠʄ怀ՠʄ怀ఠʄ怀⩀ʄ怀㏀ʄ怀⨀ʄ怀❠ʄ怀ὀʄ怀㈠ʄ怀䵨翠掞⺰ǭ怀ೠ掟 䅙䝒鬀怀檠˷怀緰掞䜠偎呚䵕₠呚䵕襯ﻨ鿿呚䵕呚䵕Ը赹ꤜ赹䅐ϟ怀ϰ怀錰×怀ϱ怀㒰ϐ怀﹀ϵ怀惐ȝ怀燠ϟ怀牰Ͼ怀캠ȓ怀؀ϳ怀耀ȝ怀рʄ怀䵨⁰繎拠Ƿ怀᪰繎   䈠則媠怀墰˩怀Ẁ繎䜠偎呚䵕₠呚䵕蕯ﻨ鿿呚䵕呚䵕Ը赹ꤜ赹ᛨᛨᛨ痰ᑭ痰ᑭ뼇阄뼇阄믘≞믘≞㜗깢陈㜗깢陈뼇阄❓㼞먂裈❓㼞먂裈䵨䑐鷐Ǯ怀㍐4䅙䝒鬀怀˫怀䉠䜠偎呚䵕₠呚䵕药ﻨ鿿呚䵕呚䵕Ը赹ꤜ赹ଠʄ怀ఀʄ怀ዀʄ怀⡀ʄ怀Ⱐʄ怀࿀ʄ怀⛀ʄ怀⦠ʄ怀Ⲁʄ怀⠀ʄ怀Рʄ怀Ԡʄ怀㜀ʄ怀⥠ʄ怀磨磨磨痰ᑭ痰ᑭ뼇阄뼇阄믘≞믘≞㜗깢陈㜗깢陈뼇阄❓㼞먂裈❓㼞먂裈ࡠʄ怀㬀ﰃ鿿㐰㔰䔸串￼㓀㪠ﰃ鿿䗠串￼䖨串￼ຐｚ鿿柸ﰀ鿿䕰串￼㿘ﭽ鿿锈￵鿿䜰串￼䛸串￼㌰朸ﰀ鿿㎠䚈串￼웘ﭺ鿿䛀串￼⤰ﰃ鿿⧀ﰃ鿿เｚ鿿㊠머￩鿿䵨繃ﳀǷ怀繃   䈠則媠怀와˨怀繃䜠偎呚䵕₠呚䵕絯ﻨ鿿呚䵕呚䵕Ը赹ꤜ赹䵨捀繀﷠Ƿ怀ᾠ繃   䈠則媠怀㵰˩怀慐繀䜠偎呚䵕₠呚䵕籯ﻨ鿿呚䵕呚䵕Ը赹ꤜ赹  耠 耠  耠       耠        @@@@@@@@【䦘串￼멸￩鿿むﭺ鿿ቐﰃ鿿චｚ鿿䧐串￼ᇰﰃ鿿䤨串￼⾀䥠串￼斸ﰀ鿿䵨繂怐Ǩ怀繂   䈠則媠怀˶怀繂䜠偎呚䵕₠呚䵕祯ﻨ鿿呚䵕呚䵕Ը赹ꤜ赹䳠串￼ﰀ鿿䱰串￼Ⱡⵠ䵐串￼⳰搸ﰀ鿿ᡸﭺ鿿ഀｚ鿿锸￵鿿䴘串￼縷ﰀ鿿蠀筦⯯߻쓸鯹￼⚠膨鯹￼퓘鯹￼봈鯹￼■딘鯹￼ꏨ鯹￼覘鯹￼쳨鯹￼饸鯹￼鯹￼亠鯺￼鯹￼欨ﰀ鿿醈鯹￼괨鯹￼烠ﰀ鿿Ґｚ鿿戨ﰀ鿿⟀０ﵱ鿿⠰镰￵鿿✰⢘ﭺ鿿吘串￼炀ﰀ鿿呐串￼叠串￼厨串￼먰￩鿿抸ﰀ鿿⥐僐串￼ౠｚ鿿俰串￼⧀㭘ﭺ鿿⣀侸串￼砰ﰀ鿿碐ﰀ鿿匀串￼⭐翠ﰀ鿿亠串￼伐串￼羀ﰀ鿿乨串￼⫠⩐捸ﰀ鿿♘ﭺ鿿ರｚ鿿며￩鿿丰串￼ㄐ䢀串￼䟘串￼ᴰﰃ鿿㈐෰ｚ鿿ㆠᵠﰃ鿿몀￩鿿晸ﰀ鿿䡈串￼䠐串￼좸ﭺ鿿䵨＠繌룐Ƿ怀裂繌   䈠則媠怀ˡ怀﯀繌䜠偎呚䵕₠呚䵕煯ﻨ鿿呚䵕呚䵕Ը赹ꤜ赹䵨鴠᧱͠ǧ怀钠᧱ D䈠則媠怀ˤ怀鬰᧱䜠偎呚䵕₠呚䵕灯ﻨ鿿呚䵕呚䵕Ը赹ꤜ赹䵨Ꝡ᧱ϰǧ怀ꇠ᧱&quot;&quot; 䈠則媠怀좐ˤ怀ꐀ᧱䜠偎呚䵕₠呚䵕潯ﻨ鿿呚䵕呚䵕Ը赹ꤜ赹ⶀﰃ鿿멀￩鿿樸ﰀ鿿䅈串￼䇰串￼䆀串￼䆸串￼㦰㨠㞘ﭽ鿿⸐ﰃ鿿㤠ྀｚ鿿䵨대᧱Ҁǧ怀궀᧱ D䈠則媠怀졐ˤ怀꾠᧱䜠偎呚䵕₠呚䵕浯ﻨ鿿呚䵕呚䵕Ը赹ꤜ赹䵨뺠᧱Ԑǧ怀또᧱&quot;&quot; 䈠則媠怀졠ˤ怀뭀᧱䜠偎呚䵕₠呚䵕汯ﻨ鿿呚䵕呚䵕Ը赹ꤜ赹䵨裂繂劐Ǩ怀繂   䈠則媠怀ﻰ˶怀繂䜠偎呚䵕₠呚䵕歯ﻨ鿿呚䵕呚䵕Ը赹ꤜ赹뮴蝿老찳崣퍛녔蛠吣ᖣ퍚ﻐ蛨ꁬᔤ퍚竼荵숝碇퍃ᣬ蝪老鱰暧퍖넼蛠老ꕟᕉ퍚뮨蝿老挐㰊퍏녈蛠老ꑞᓻ퍚ᡰ螀老픲ۭ퍚蛛꼷杮퍛ᣠ蝪惎퍑䵨樠濐Ǯ怀憐ǌ( ܰ䈠則媠怀霐˯怀曀䜠偎呚䵕₠呚䵕桯ﻨ鿿呚䵕呚䵕Ը赹ꤜ赹䵨亐쏰ǡ怀지   䈠則媠怀➠˪怀㊰䜠偎呚䵕₠呚䵕杯ﻨ鿿呚䵕呚䵕Ը赹ꤜ赹감蒯륥궁퍃뮴蝿罬崣퍛녔蛠∡ᖣ퍚ﻐ蛨鑻ᔤ퍚竼荵ぷ碇퍃넼蛠鸃ᕉ퍚뮨蝿老㰊퍏녈蛠兌ᓻ퍚옜蛦老沜퍗ᡰ螀老శۭ퍚蛛老杮퍛䵨繌褀Ƿ怀繌   䈠則媠怀爐ˤ怀繌䜠偎呚䵕₠呚䵕摯ﻨ鿿呚䵕呚䵕Ը赹ꤜ赹藬蛨먡퍗灀蛡ᴅ魤퍏潘蛡老嘍鮂퍏녔蛠ᖣ퍚ﻐ蛨䨟ᔤ퍚竼荵老딆碇퍃넼蛠老鑲ᕉ퍚癸蛢㰊퍏녈蛠老뉛ᓻ퍚灌蛡老ɑ퍏ᡰ螀넇ۭ퍚蛛ꑡ杮퍛뮴蝿老㸢崣퍛똰È怀駄蛥퍃ꋰ蛥腛疴퍃펜蛯꠸⠤퍘蜊㽛泆퍚㐄蝾흀蝛퍃阠蛥䤛眊퍃픘蛯ℋ⠺퍘⭨蝾老ఊ睬퍓蛰⡌퍘䵨뷀繉ሀǦ怀限暐   䈠則媠怀だ˭怀픰槤䜠偎呚䵕₠呚䵕息ﻨ鿿呚䵕呚䵕Ը赹ꤜ赹䵨쒠즐ǡ怀꿀   䈠則媠怀⠠˪怀뇠䜠偎呚䵕₠呚䵕彯ﻨ鿿呚䵕呚䵕Ը赹ꤜ赹ៀ뗠ˋ怀䭀ý怀癳g̀텀ˤ怀텈ˤ怀텈ˤ怀검͠怀검͠怀ꆐė怀۷顟때䀫鶲꟯ꯆ䀫ៀ뽀ˋ怀䡰ý怀癳g̀촰ˤ怀촸ˤ怀촸ˤ怀늀͠怀늀͠怀ꊐė怀㭤俟랍䀪뜬᪴㿳ꌀ筦⯯*镈￵鿿㧘ﭽ鿿㙐㛀䒐串￼䐠串￼䏨串￼໠ｚ鿿ࠀﰃ鿿梸ﰀ鿿᳐ﰃ鿿㗀䑘串￼Ԡ蒹老걵堢퍊㧜荵爬疴퍃⫠蒺老㽻凌퍉蓽萏瞉퍃蛰汚퍛⫼蒺㰛簩퍇퐠蒰老ﭳ眊퍃ퟘ蒵老教ⱋ퍊鴈蒵奊樓퍉해蜕㕀钽퍋鄔蛸老ⱄ搜퍗鴤蒵老ṁ㦟퍇䵨਀繍鬀Ƿ怀Ҁ繍   䈠則媠怀컀ˡ怀ڠ繍䜠偎呚䵕₠呚䵕塯ﻨ鿿呚䵕呚䵕Ը赹ꤜ赹䵨촐繂ۀǥ怀ꑰ繃   䈠則媠怀˶怀볰繁䜠偎呚䵕₠呚䵕坯ﻨ鿿呚䵕呚䵕Ը赹ꤜ赹꤀筦⯯&gt;䵨藀異Ǯ怀좠ǌ( ܰ䈠則媠怀뗰˯怀췐䜠偎呚䵕₠呚䵕呯ﻨ鿿呚䵕呚䵕Ը赹ꤜ赹䵨쪰ǡ怀   䈠則媠怀⡠˪怀䜠偎呚䵕₠呚䵕卯ﻨ鿿呚䵕呚䵕Ը赹ꤜ赹䵨늰櫋꒐Ǥ怀櫌   䈠則媠怀聠˳怀꽐櫋䜠偎呚䵕₠呚䵕副ﻨ鿿呚䵕呚䵕Ը赹ꤜ赹优"/>
      </Event>
      <Event time="2024-01-12T21:39:49.29" id="{BF738B53-363A-4490-BED1-157F30676715}">
        <Attribution userId="婐ꁉ쀱殁ᘮ卼併䴸,,0ᖊ0ᖊ쨀ʄ怀⡑ƶ怀呚䵕₠呚䵕みﻸ鿿呚䵕呚䵕乄䍏耀ڻ婹䣀y怀ā⽀y怀ڻ⼰ڽĀ㌀Δ怀ć怀팀ć怀￦￦￦￦￦￦￦￦￦￦￦￦￦￦￦￦㍸п㡐У蹐ˌ怀蹰ˌ怀嚐怀㍸пᆐͫ怀ᇐͫ怀虀ǐ怀ᔐͫ怀硐Ȃ怀ᕐͫ怀๐ͫ怀䡰ڻ婹一y怀ā⽀y怀䶈ڻ!⼰ڽĀ!퀀ć怀ڻ婹儐y怀ā⽀y怀ڻ⼰ڽĀ" userName="筵⯯#䵨ꫀᒔ▰ǳ怀뷀ᒖ   䈠則媠怀䦐˷怀ꍐᒘ䜠偎呚䵕₠呚䵕瑯ﻻ鿿呚䵕呚䵕Ը赹ꤜ赹Author࠼ÿꀀ匿 Ɠ怀췔糀Ȱ怀耀Bꌈ粐Ȱ怀耀籠Ȱ怀耀.ttfЀ跈Ą怀跠Ą怀Ԁ̠܀u怀E&lt;resolutionId provider=&quot;None&quot;&gt;&lt;localId name=&quot;Author&quot;/&gt;&lt;/resolutionId&gt;'Microsoft.Office.Excel.PowerQueryCoauthPython provided by Anaconda䖨⨁䆨⨗ᦨ⨙嶨⨙ꆨ⨙⨁⨙⨙᱀ҿ庬瑣牯耐㠔蜸ǠĲ怀耀㠔背㠔à譌㠔ɀ롌㠔ɉ⼠㠕*ば㠕よ㠕Ր嬈㠕㿌高㠖髸㠖汐ᡠ怀ᣀ怀ᣀ怀https://www.anaconda.com/excel᱀ҿ廤瑣牯耐㠔蜸ǠĲ怀耀㠔背㠔à譌㠔ɀ롌㠔ɉ⼠㠕*ば㠕よ㠕Ր嬈㠕㿌高㠖髸㠖汐토ˠ怀톨ˠ怀톨ˠ怀᱀ҿ廈瑣牯耐㠔蜸ǠĲ怀耀㠔背㠔à譌㠔ɀ롌㠔ɉ⼠㠕*ば㠕よ㠕Ր嬈㠕㿌高㠖髸㠖汐ૠ怀ୀ怀ୀ怀䵨첰握᧠Ǵ怀揠   䈠則媠怀ム˴怀揠䜠偎呚䵕₠呚䵕楯ﻻ鿿呚䵕呚䵕Ը赹ꤜ赹䵨蘠繁新Ƿ怀繀   䈠則媠怀셰˶怀苀繁䜠偎呚䵕₠呚䵕桯ﻻ鿿呚䵕呚䵕Ը赹ꤜ赹᱀ҿ廰瑣牯耐㠔蜸ǠĲ怀耀㠔背㠔à譌㠔ɀ롌㠔ɉ⼠㠕*ば㠕よ㠕Ր嬈㠕㿌高㠖髸㠖汐ˠ怀ˠ怀ˠ怀E/Users/gsun20/Desktop/projects/cactus/ChatGPTwithSQLscript/react/log/䵨嚰ᒘ⽀ǳ怀儰ᒘ   䈠則媠怀䮐˷怀卐ᒘ䜠偎呚䵕₠呚䵕敯ﻻ鿿呚䵕呚䵕Ը赹ꤜ赹䵨럐ᒘĠǳ怀떰ᒘ   䈠則媠怀弰˷怀군ᒖ䜠偎呚䵕₠呚䵕摯ﻻ鿿呚䵕呚䵕Ը赹ꤜ赹䵨绀஥䔐ǳ怀祀஥   䈠則媠怀텰˲怀筠஥䜠偎呚䵕₠呚䵕捯ﻻ鿿呚䵕呚䵕Ը赹ꤜ赹䵨쿀땰Ǵ怀㨠   䈠則媠怀⣠ˢ怀繀䜠偎呚䵕₠呚䵕扯ﻻ鿿呚䵕呚䵕Ը赹ꤜ赹᱀ҿ庂瑣牯耐㠔蜸ǠĲ怀耀㠔背㠔à譌㠔ɀ롌㠔ɉ⼠㠕*ば㠕よ㠕Ր嬈㠕㿌高㠖髸㠖汐푰ˠ怀풀ˠ怀풀ˠ怀鼀筵⯯&amp;䵨㯰஥䱠ǳ怀蕐஥   䈠則媠怀˲怀蝰஥䜠偎呚䵕₠呚䵕彯ﻻ鿿呚䵕呚䵕Ը赹ꤜ赹ꄀ筵⯯ꈀ筵⯯,菃鉩뺴퍃莸⌵뺑퍃莸숨碲퍃菊老㘨뗳퍃절莶Q鄕퍃菊ꁰ矹퍃菊老眳瘗퍃⋀莹ꍰ疧퍃菊ꨕ퍃菊老㸑諉퍃祈莻刦퍃並莸㈎뗭퍃婢莸쏪퍃틌莶Ṥ쏖퍃謋갑魴퍨場謋紹痴퍃袰謋老፜碇퍃堌謋振‼퍚作荵갳痮퍃ꔀ筵⯯߻蒳쁚遐퍇蒳〳썒퍈蒳摣疴퍃蒳ㅤ䪕퍇ࣰ蒳純䛼퍉倀蔁쌽퍈᱀ҿ庐瑣牯耐㠔蜸ǠĲ怀耀㠔背㠔à譌㠔ɀ롌㠔ɉ⼠㠕*ば㠕よ㠕Ր嬈㠕㿌高㠖髸㠖汐ហ怀᠀怀᠀怀଀蛠㥇퍑앐蛮老虈퍝䲔蛣老앋ꝷ퍑ᦀ蛠老♄哦퍑蛟老逮퍘竼荵靡碇퍃아蛮ᵍ￪퍔ਸ蛠畴幉퍖수蛮老읦ᔺ퍝蛛老㵘杮퍛蛟썈퍘謋老稢魴퍨場謋老殺痴퍃堌謋‼퍚作荵老䠳痮퍃ៀ˚怀ǠÁ怀癳g̀ˠ怀ˠ怀ˠ怀⫀͵怀⫀͵怀ꪐĄ怀텎岑쏾䀧쏉ൂ䀦꬀筵⯯-가筵⯯ w怀w怀䟸s怀䟠s怀s怀s怀惨s怀惐s怀閈p怀镰p怀ﳨ{怀ﳐ{怀䇘怀䇀怀剸y怀剠y怀ೈy怀ರy怀뱸G怀뱠G怀W怀W怀䵨ꍠ஥䛀ǳ怀鷠஥   䈠則媠怀첰˲怀ꀀ஥䜠偎呚䵕₠呚䵕兯ﻻ鿿呚䵕呚䵕Ը赹ꤜ赹᱀ҿ弢瑣牯耐㠔蜸ǠĲ怀耀㠔背㠔à譌㠔ɀ롌㠔ɉ⼠㠕*ば㠕よ㠕Ր嬈㠕㿌高㠖髸㠖汐ˠ怀ˠ怀ˠ怀뜜證老朜箑퍩㏬證老＿ﺑ퍃ⷀ證老ᄇ笅퍜ⶸ證老픽츶퍩뉌證老簷⯶퍩뛘證䔜퍩댈證老ࡠꔁ퍩⺀證륾⹝퍩Ⲕ證老☔⼝퍩挸譓精⯝퍩ⷈ證ⳑ퍩⴬證⳰퍩䵨攠祠ǣ怀啐ǌ( ܰ䈠則媠怀愰˯怀懀䜠偎呚䵕₠呚䵕乯ﻻ鿿呚䵕呚䵕Ը赹ꤜ赹᱀ҿ廪瑣牯耐㠔蜸ǠĲ怀耀㠔背㠔à譌㠔ɀ롌㠔ɉ⼠㠕*ば㠕よ㠕Ր嬈㠕㿌高㠖髸㠖汐ˠ怀ˠ怀ˠ怀᱀ҿ延瑣牯耐㠔蜸ǠĲ怀耀㠔背㠔à譌㠔ɀ롌㠔ɉ⼠㠕*ば㠕よ㠕Ր嬈㠕㿌高㠖髸㠖汐ˠ怀ˠ怀ˠ怀䳀헸丳￼했丳￼핐丳￼픘丳￼䳸퓠丳￼ꯐ⎨ﷳ鿿헀丳￼鿸ﭸ鿿ꢰꭠ꫐㙘酩ĀƠʰ怀ᴀ荵老뜗鷣퍈忸蒰老숸疴퍃襜蒰퍉쪸荵老괎盨퍃瑈蒰老뱃❸퍉Ӭ蒰⸱퍇掄荵⨤眊퍃猐蒰艊鞌퍃ᘠ蒰老鑣ꕬ퍃ذ蒰老輶矝퍃襜蒰老똖퍉䵨ᔀ஥䒀ǳ怀␀ண   䈠則媠怀연˲怀鎰஥䜠偎呚䵕₠呚䵕䝯ﻻ鿿呚䵕呚䵕Ը赹ꤜ赹᱀ҿ异瑣牯耐㠔蜸ǠĲ怀耀㠔背㠔à譌㠔ɀ롌㠔ɉ⼠㠕*ば㠕よ㠕Ր嬈㠕㿌高㠖髸㠖汐ˠ怀ˠ怀ˠ怀᱀ҿ廼瑣牯耐㠔蜸ǠĲ怀耀㠔背㠔à譌㠔ɀ롌㠔ɉ⼠㠕*ば㠕よ㠕Ր嬈㠕㿌高㠖髸㠖汐ˠ怀ˠ怀ˠ怀᱀ҿ弈瑣牯耐㠔蜸ǠĲ怀耀㠔背㠔à譌㠔ɀ롌㠔ɉ⼠㠕*ば㠕よ㠕Ր嬈㠕㿌高㠖髸㠖汐ˠ怀ˠ怀ˠ怀᱀ҿ弎瑣牯耐㠔蜸ǠĲ怀耀㠔背㠔à譌㠔ɀ롌㠔ɉ⼠㠕*ば㠕よ㠕Ր嬈㠕㿌高㠖髸㠖汐ˠ怀ˠ怀ˠ怀場謋老渍痴퍃謋졊魴퍨作荵痮퍃᱀ҿ弔瑣牯耐㠔蜸ǠĲ怀耀㠔背㠔à譌㠔ɀ롌㠔ɉ⼠㠕*ば㠕よ㠕Ր嬈㠕㿌高㠖髸㠖汐ˠ怀ˠ怀ˠ怀᱀ҿ弚瑣牯耐㠔蜸ǠĲ怀耀㠔背㠔à譌㠔ɀ롌㠔ɉ⼠㠕*ば㠕よ㠕Ր嬈㠕㿌高㠖髸㠖汐ˠ怀ˠ怀ˠ怀TableStyleMedium3PivotStyleLight251868_01_01_明治_明_Meiji_M|1912_07_30_大正_大_Taisho_T|1926_12_25_昭和_昭_Showa_S|1989_01_08_平成_平_Heisei_H|2019_05_01_令和_令_Reiwa_RTableStyleMedium4TableStyleMedium5TableStyleMedium6TableStyleMedium7TableStyleMedium8TableStyleMedium9TableStyleMedium10TableStyleMedium11TableStyleMedium12TableStyleMedium13TableStyleMedium14TableStyleMedium15TableStyleMedium16TableStyleMedium17TableStyleMedium18TableStyleMedium19TableStyleMedium20TableStyleMedium21TableStyleMedium22TableStyleMedium23TableStyleMedium24TableStyleMedium25TableStyleMedium26TableStyleMedium27TableStyleMedium28TableStyleDark1TableStyleDark2TableStyleDark3TableStyleDark4TableStyleDark5TableStyleDark6TableStyleDark7TableStyleDark8TableStyleDark9࠼ï耀&#10; ∠ȷ怀耀≌ԃȅ̄܅Ѕ⇰ȷ怀耀똀ͧ怀 耀.ttfЀ怀怀怀怀ԁƐ뉐u怀TableStyleDark10TableStyleDark11PivotStyleLight1PivotStyleLight2PivotStyleLight3PivotStyleLight4PivotStyleLight5PivotStyleLight6PivotStyleLight7PivotStyleLight8PivotStyleLight9PivotStyleLight10PivotStyleLight11PivotStyleLight12PivotStyleLight13PivotStyleLight14PivotStyleLight15PivotStyleLight16PivotStyleLight17PivotStyleLight18PivotStyleLight19PivotStyleLight20PivotStyleLight21PivotStyleLight22PivotStyleLight23PivotStyleLight24࠼ʯ耀 ȣ怀耀♦ᬬЂ؇Ѕȅ̃썀ͧ怀 耀쉀ͧ怀 耀.ttfЀ傀怀傀怀僠怀僠怀̀ɘ뱠u怀࠼ʯ耀 締ȷ怀耀♦⚘Ђ؇Ѕअ̃엀ͧ怀 耀ꄠñ怀 (耀.ttfЀ兀怀兀怀冠怀冠怀̂ɘ뱠u怀࠼ʯ耀 䁠ȴ怀耀♦㐴ЂȅЅअ̃䀰ȴ怀耀繀ȷ怀耀.ttfЀ刀怀刀怀剠怀剠怀ԂƐ뱠u怀࠼ʯ耀 䅐ȴ怀耀♦莰ЂȃЅȅ̃䃰ȴ怀耀䃀ȴ怀耀.ttfЀ勀怀勀怀匠怀匠怀ԀĬ뱠u怀࠼ʯ耀 䇠ȴ怀耀♦㞼ЂȃЅअ̃䆰ȴ怀耀였ͧ怀 耀.ttfЀ厀怀厀怀叠怀叠怀ԂĬ뱠u怀࠼ʯ耀 䌀ȴ怀耀♦☘ЂȅЅȅ̃䊠ȴ怀耀䉰ȴ怀耀.ttfЀ呀怀呀怀咠怀咠怀ԀƐ뱠u怀࠼ʯ耀 䏰ȴ怀耀♦⻼ЂȇЅȅ̃䎐ȴ怀耀䍠ȴ怀耀.ttfЀ唀怀唀怀啠怀啠怀Ԁɘ뱠u怀࠼ʯ耀 䒀ȴ怀耀♦㎰ЂȇЅअ̃䑐ȴ怀耀욀ͧ怀 耀.ttfЀ嗀怀嗀怀嘠怀嘠怀Ԃɘ뱠u怀࠼ 䔐ȴ怀耀ཛྷូЄЅȇȍGigiЀGigiЀ.ttfЀ嚀怀嚀怀址怀址怀ԀƐ볐u怀࠼ 䖠ȴ怀耀ꣵ直ଂȈĂऄ̂䗐ȴ怀耀졀ͧ怀 耀.ttfЀ垠怀垠怀塠怀塠怀Ԃʼ뵀u怀࠼ 䛰ȴ怀耀ꣵଂȈĂȄ̂䚐ȴ怀耀䙠ȴ怀耀.ttfЀ壀怀壀怀夠怀夠怀Ԁʼ뵀u怀࠼ 䟠ȴ怀耀ꣵ홈ଂ؅ĂȄ̂䞀ȴ怀耀䝐ȴ怀耀.ttfЀ妀怀妀怀姠怀姠怀̀Ɛ뵀u怀࠼ 䣐ȴ怀耀ꣵଂȅĂऄ̂䡰ȴ怀耀䡀ȴ怀耀.ttfЀ婀怀婀怀媠怀媠怀ԂƐ뵀u怀࠼ 䧀ȴ怀耀ꣵଂȅĂȄ̂䥠ȴ怀耀䤰ȴ怀耀.ttfЀ嬀怀嬀怀孠怀孠怀ԀƐ뵀u怀࠼ʇ耀䩐ȴ怀耀ԟଂȈĂऄ̂䪀ȴ怀耀즀ͧ怀 耀.ttfЀ寀怀寀怀岀怀岀怀Ԃʼ붰u怀࠼ʇ耀䮠ȴ怀耀ԟ࣠ଂȈĂȄ̂䭀ȴ怀耀䬐ȴ怀耀.ttfЀ峠怀峠怀嵀怀嵀怀Ԁʼ붰u怀࠼ʇ耀䰰ȴ怀耀ԟიଂ؈Ăऄ̂䰀ȴ怀耀지ͧ怀 耀.ttfЀ嶠怀嶠怀帀怀帀怀̂ʼ붰u怀࠼ʇ耀䳰ȴ怀耀ԟ೘ଂ؈ĂȄ̂䳀ȴ怀耀쭀ͧ怀 耀.ttfЀ幠怀幠怀廀怀廀怀̀ʼ붰u怀࠼ʇ耀䶀ȴ怀耀ԟ೔ଂ؊Ăऄ̂䵐ȴ怀耀쳀ͧ怀 耀.ttfЀ张怀张怀往怀往怀̠̂붰u怀࠼ʇ耀亠ȴ怀耀ԟைଂ؊ĂȄ̂乀ȴ怀耀丐ȴ怀耀.ttfЀ忠怀忠怀恀怀恀怀̠̀붰u怀࠼ʇ耀估ȴ怀耀ԟૌଂ؆Ăऄ̂伀ȴ怀耀쵀ͧ怀 耀.ttfЀ悠怀悠怀愀怀愀怀̂Ǵ붰u怀࠼ʇ耀俰ȴ怀耀ԟ௜ଂ؃Ăऄ̂俀ȴ怀耀폀ͧ怀 耀.ttfЀ慠怀慠怀懀怀懀怀̂Ĭ붰u怀࠼ʇ耀儐ȴ怀耀ԟҔଂ؃ĂȄ̂傰ȴ怀耀傀ȴ怀耀.ttfЀ戠怀戠怀技怀技怀̀Ĭ붰u怀࠼ʇ耀刀ȴ怀耀ԟրଂ؆ĂȄ̂冠ȴ怀耀兰ȴ怀耀.ttfЀ拠怀拠怀捀怀捀怀̀Ǵ붰u怀࠼ʇ耀剠ȴ怀耀ԟଂЋĂȄ̂타ͧ怀 耀튀ͧ怀 耀.ttfЀ掠怀掠怀搀怀搀怀̀΄붰u怀࠼ʇ耀厀ȴ怀耀ԟଂȆĂऄ̂匠ȴ怀耀勰ȴ怀耀.ttfЀ摠怀摠怀擀怀擀怀ԂǴ붰u怀࠼ʇ耀吐ȴ怀耀ԟ梅ଂȃĂऄ̂叠ȴ怀耀훀ͧ怀 耀.ttfЀ攠怀攠怀斀怀斀怀ԂĬ붰u怀࠼ʇ耀唰ȴ怀耀ԟ◈ଂȃĂȄ̂哐ȴ怀耀咠ȴ怀耀.ttfЀ无怀无怀晀怀晀怀ԀĬ붰u怀࠼ʇ耀嘠ȴ怀耀ԟଡ଼ଂȆĂȄ̂嗀ȴ怀耀喐ȴ怀耀.ttfЀ暠怀暠怀最怀最怀ԀǴ붰u怀࠼ʇ耀嚀ȴ怀耀ԟଂȋĂȄ̂힀ͧ怀 耀ͧ怀 耀.ttfЀ杠怀杠怀柀怀柀怀Ԁ΄붰u怀࠼ࠇ耀B䀀!因ȴ怀耀ʏ呂ଂȅȄȄ̂GishaԀGishaԀ.ttfЀ栠怀栠怀棠怀棠怀ԀƐ븠u怀࠼ࠇ耀B䀀!址ȴ怀耀ʏﻼଂȈȄȄ̂GishaԀGisha Bold਀.ttfЀ楀怀楀怀榠怀榠怀Ԁʼ븠u怀࠼ 堀ȴ怀耀蔞ࠐ̂ࠈ؂āāͧ怀 耀ͧ怀 耀.ttfЀ樀怀樀怀櫀怀櫀怀ȀƐ뺐u怀࠼ʇ 夠ȴ怀耀尩ଂȅȂȂЂ墐ȴ怀耀壀ȴ怀耀.ttfЀ欠怀欠怀毠怀毠怀ԀƐ뼀u怀࠼ʇ 娐ȴ怀耀尩쌜ଂȇȂȂЂ妰ȴ怀耀妀ȴ怀耀.ttfЀ汀怀汀怀沠怀沠怀Ԁʼ뼀u怀࠼ʇ 媠ȴ怀耀尩ଂȆȂंЂ婰ȴ怀耀ͧ怀 耀.ttfЀ洀怀洀怀浠怀浠怀Ԃʼ뼀u怀࠼ʇ 寀ȴ怀耀尩௼ଂȅȂंЂ孠ȴ怀耀嬰ȴ怀耀.ttfЀ淀怀淀怀渠怀渠怀ԂƐ뼀u怀࠼ 峠ȴ怀耀蔞⥼Ȃȅ̅ȅ̃屐ȴ怀耀岀ȴ怀耀.ttfЀ満怀満怀潀怀潀怀؀Ɛ뽰u怀࠼ 巐ȴ怀耀蔞⺰ȂȆ̆ȅ̃嵰ȴ怀耀嵀ȴ怀耀.ttfЀ澠怀澠怀瀀怀瀀怀؀ʼ뽰u怀࠼ 廀ȴ怀耀蔞␘Ȃȅ̅अ̃幠ȴ怀耀帰ȴ怀耀.ttfЀ灠怀灠怀烀怀烀怀ԂƐ뽰u怀࠼ 彐ȴ怀耀A叨Goudy Type਀张ȴ怀耀.ttfЀ焠怀焠怀燠怀燠怀Ԁʼ嗠w怀࠼ 怐ȴ怀耀AㅌGoudy Type਀忠ȴ怀耀.ttfЀ牀怀牀怀犠怀犠怀Ԃʼ嗠w怀࠼ 愀ȴ怀耀A㊠Goudy Type਀惐ȴ怀耀.ttfЀ猀怀猀怀獠怀獠怀ԂƐ嗠w怀࠼ 憐ȴ怀耀A䮄Goudy Type਀Goudy Type਀.ttfЀ珀怀珀怀琠怀琠怀ԀƐ嗠w怀࠼ˇꀀƟ 戠ȴ怀耀਽롸ଂȅȄȄ̂Grandviewऀ懰ȴ怀耀.ttfЀ璀怀璀怀畀怀畀怀ԀƐ啰w怀࠼ˇꀀƟ 拠ȴ怀耀਽띰ଂȅȄȄ̂Grandviewऀ抰ȴ怀耀.ttfЀ疠怀疠怀瘀怀瘀怀Ԁʼ啰w怀࠼ˇꀀƟ 掠ȴ怀耀਽퐰ଂȅȄȄ̂Grandviewऀ捰ȴ怀耀.ttfЀ癠怀癠怀盀怀盀怀ԂƐ啰w怀࠼ˇꀀƟ 摠ȴ怀耀਽퓀ଂȅȄȄ̂Grandviewऀ搰ȴ怀耀.ttfЀ眠怀眠怀瞀怀瞀怀Ԃʼ啰w怀࠼ˇꀀƟ 晀ȴ怀耀뻄ଂȅȄȄ̂无ȴ怀耀斀ȴ怀耀.ttfЀ矠怀矠怀碠怀碠怀ԀƐ傠w怀࠼ˇꀀƟ 曐ȴ怀耀ଂȅȄȄ̂暠ȴ怀耀ͧ怀 耀.ttfЀ礀怀礀怀祠怀祠怀ԂƐ傠w怀࠼耀杠ȴ怀耀ʏ邸ଂЅȂȂЂGrotesqueऀGrotesqueऀ.ttfЀ秀怀秀怀窀怀窀怀ԀƐ淰w怀࠼耀柰ȴ怀耀ʏ邔ଂЈȂȂЂGrotesqueऀ柀ȴ怀耀.ttfЀ章怀章怀筀怀筀怀Ԁʼ淰w怀࠼耀椐ȴ怀耀ʏ郄ଂЃȂȂЂ械ȴ怀耀梀ȴ怀耀.ttfЀ箠怀箠怀簀怀簀怀ԀĬ淰w怀࠼ʯ뀀系槗0䀈楰ȴ怀耀਽ᓸÌଂĀāāGulimԀGulimԀ.ttfЀ糀怀籠怀繀怀締怀ԀƐ䴠w怀࠼ʯ뀀系槗0䀈槐ȴ怀耀਽᡼ÌଂआĀāāGulimCheࠀGulimCheࠀ.ttfЀÀ怀`怀ƀ怀Ġ怀ԀƐ䫰w怀࠼ʯ뀀系槗0䀈樰ȴ怀耀਽ᔤÌଂĀāāDotumԀDotumԀ.ttfЀɀ怀Ǡ怀π怀͠怀ԀƐ䯐w怀࠼ʯ뀀系槗0䀈檐ȴ怀耀਽᡼ÌଂआĀāāDotumCheࠀDotumCheࠀ.ttfЀҀ怀Р怀؀怀֠怀ԀƐ凰w怀࠼ࠃ! 氐ȴ怀耀옠Ȃ̆ЅȅЃ殰ȴ怀耀歐ȴ怀耀.ttfЀ٠怀٠怀ܠ怀ܠ怀ԀƐ涀w怀࠼ࠃ! 沠ȴ怀耀욘Ȃ̈ԇȅЃ汰ȴ怀耀呂ͧ怀 耀.ttfЀހ怀ހ怀ߠ怀ߠ怀Ԁʼ涀w怀࠼ 洰ȴ怀耀蔞４ЄԅȂȇHarrington਀Harrington਀.ttfЀࡀ怀ࡀ怀ऀ怀ऀ怀ԀƐ澰w怀࠼˿⫇涐ȴ怀耀㌳ଂउHGGothicEऀHGGothicEऀ.ttfЀী怀ॠ怀ୀ怀ૠ怀ԀƐ曰w怀࠼˿⫇淰ȴ怀耀㌳ଂ HGPGothicE਀HGPGothicE਀.ttfЀఀ怀஠怀඀怀ഠ怀ԀƐ滐w怀࠼˿⫇湐ȴ怀耀㌳ଂ HGSGothicE਀HGSGothicE਀.ttfЀเ怀෠怀࿀怀འ怀ԀƐ桀w怀࠼˿⫇溰ȴ怀耀㌳렬¢ȂईHGMinchoEऀHGMinchoEऀ.ttfЀႀ怀ဠ怀ሀ怀ᆠ怀ԀƐ歐w怀࠼茀⊰ȷ怀耀ཛྷḄଂІȂȂЂDokChampaऀDokChampaऀ.ttfЀ怀怀怀怀ԀƐ닀u怀࠼ï耀&#10; ⌐ȷ怀耀԰ԃȅ̄ԄЇ럀ͧ怀 耀诠ñ怀#(耀.ttfЀ怀怀怀怀ԀƐ댰u怀࠼ï耀&#10; ⍰ȷ怀耀⽰ԃȅ̄ԇЇ례ͧ怀 耀賐ñ怀&quot;(耀.ttfЀ怀怀怀怀ԁƐ댰u怀࠼⁧耀耀A ⏐ȷ怀耀᧛ꀈଂ̈Ѓ̃ЂDubaiԀDubai Bold਀.ttfЀ怀怀怀怀Ԁʼ뎠u怀࠼⃯耀⁊쀀A ①ȷ怀耀B餠ଂЈāāЁDubaiԀ␰ȷ怀耀.ttfЀ怀怀怀怀Ԃʼ뎠u怀࠼⃯耀⁊쀀A ═ȷ怀耀B韨ଂЅāāЁDubaiԀ┠ȷ怀耀.ttfЀ怀怀怀怀ԂƐ뎠u怀࠼⁧耀耀A ♰ȷ怀耀᧛ꆈଂ̃Ѓ̃Ђ☐ȷ怀耀◠ȷ怀耀.ttfЀ怀怀怀怀ԀĬ뎠u怀࠼⃯耀⁊쀀A ❠ȷ怀耀B鲼ଂЄāāЁ✀ȷ怀耀⛐ȷ怀耀.ttfЀ怀怀怀怀ԂĬ뎠u怀࠼⁧耀耀A ⢀ȷ怀耀᧛ꂰଂ̆Ѓ̃Ђ⠠ȷ怀耀⟰ȷ怀耀.ttfЀ怀怀怀怀ԀǴ뎠u怀࠼⃯耀⁊쀀A ⥰ȷ怀耀B骜ଂІāāЁ⤐ȷ怀耀⣠ȷ怀耀.ttfЀ怀怀怀怀ԂǴ뎠u怀࠼⁧耀耀A ⨰ȷ怀耀᧛ꢰଂ̅Ѓ̃ЂDubaiԀ⨀ȷ怀&#10;耀.ttfЀ怀怀怀怀ԀƐ뎠u怀࠼偟ꀀAȀࠀЄ⫀ȷ怀耀イ地Ebrima؀Ebrima؀.ttfЀ怀怀怀怀ԀƐ됐u怀࠼偟ꀀAȀࠀЄ⭐ȷ怀耀イ萔Ebrima؀⬠ȷ怀耀.ttfЀ怀怀怀怀Ԁʼ됐u怀࠼ʇ Ɵ Ⲡȷ怀耀B빰Ⱀȷ怀耀ⱀȷ怀耀.ttfЀ怀怀怀怀ԀƐ뒀u怀࠼ʇ Ɵ ⶐȷ怀耀Bⴰȷ怀耀ⴀȷ怀耀.ttfЀ怀怀怀怀ԂƐ뒀u怀࠼ ⺀ȷ怀耀Ԟ우ଂ܉ԃȄЂ⸠ȷ怀&#10;耀ⷰȷ怀&#10;耀.ttfЀ怀怀怀怀Ԁʼ듰u怀࠼ ⽰ȷ怀耀Ԟ큨ଂԈԃȄЈ⼐ȷ怀&#10;耀⻠ȷ怀&#10;耀.ttfЀ怀怀怀怀Ԁɘ듰u怀࠼ だȷ怀耀ԞଂȄԃȄЈ　ȷ怀耀⿐ȷ怀耀.ttfЀ怀怀怀怀ԀĬ듰u怀࠼ ㅐȷ怀耀Ԟ퍤ଂȆԃȄЈヰȷ怀耀ダȷ怀耀.ttfЀ怀怀怀怀ԀƐ듰u怀࠼o耀J ㆰȷ怀耀ᜊ專ଂ̅ĄȂЁEuphemiaࠀEuphemiaࠀ.ttfЀ怀怀怀怀ԀƐ땠u怀࠼/ꀀKက㌰ȷ怀耀宀&#10;܈Ȁ̀㋐ȷ怀耀㉰ȷ怀耀.ttfЀ怀怀怀怀Ԁʼ뗐u怀࠼/ꀀKက㐠ȷ怀耀ᗸ܅Ȁ̀㏀ȷ怀耀㎐ȷ怀耀.ttfЀ怀怀怀怀ԀĬ뗐u怀࠼/ꀀKက㒰ȷ怀耀攨&#10;܅Ȁ̀㒀ȷ怀耀멀ͧ怀 耀.ttfЀ怀怀怀怀ԀƐ뗐u怀࠼/耀J倀Ɠ 㘀ȷ怀耀A喘㕰ȷ怀耀㖠ȷ怀耀.ttfЀ怀怀怀怀Ԁʼ뙀u怀࠼ 㜠ȷ怀耀蔞齘؄ԅȆȂЊ㚐ȷ怀&#10;耀㛀ȷ怀&#10;耀.ttfЀ怀怀怒怀怒怀ԀƐ뚰u怀࠼ 㞀ȷ怀耀鰩؃ȉԄ܂̂ForteԀForteԀ.ttfЀ燎怀燎怀婢怀婢怀ԀƐ뜠u怀࠼ÿꀀ恋倀 㢠ȷ怀耀B㞴㠐ȷ怀&#10;耀㡀ȷ怀&#10;耀.ttfЀ﫠怀﫠怀ﮠ怀ﮠ怀ԀƐ랐u怀࠼ʇ 㨠ȷ怀耀Ԟⶨଂ̅ĂȂЂ㧀ȷ怀耀㥠ȷ怀耀.ttfЀﰀ怀ﰀ怀ﳀ怀ﳀ怀ԀƐ렀u怀࠼ʇ 㪰ȷ怀耀Ԟ満ଂ̅ĂंЂ㪀ȷ怀耀밀ͧ怀 耀.ttfЀﴠ怀ﴠ怀ﶀ怀ﶀ怀ԂƐ렀u怀࠼ʇ 㰀ȷ怀耀ʏࠠଂ̇ĂȂЂ㭰ȷ怀耀㮠ȷ怀耀.ttfЀ﷠怀﷠怀ﺠ怀ﺠ怀Ԁɘ롰u怀࠼ʇ 㱠ȷ怀耀ʏ魼ଂ؇ЃȂЂ봀ͧ怀 耀변ͧ怀 耀.ttfЀ＀怀＀怀｠怀｠怀̀ɘ롰u怀࠼ʇ 㳰ȷ怀耀ʏଂ̇ĂंЂ㳀ȷ怀耀부ͧ怀 耀.ttfЀ糀怀糀怀締怀締怀Ԃɘ롰u怀࠼ʇ 㸐ȷ怀耀ʏ難ଂ̉ĂȂЂ㶰ȷ怀耀㶀ȷ怀耀.ttfЀ籠怀籠怀纠怀纠怀Ԁ΄롰u怀࠼ʇ 㺠ȷ怀耀ʏ☴ଂ̉ĂंЂ㹰ȷ怀耀뷀ͧ怀 耀.ttfЀ素怀素怀罠怀罠怀Ԃ΄롰u怀࠼ʇ 㿀ȷ怀耀ԟଂ̆ĂȂЂ㽠ȷ怀耀㼰ȷ怀耀.TTFЀ簀怀簀怀缀怀缀怀ԀƐ롰u怀࠼ʇ ︐ȣ怀耀ʏଂ؆ЃȂЂ뻀ͧ怀 耀빀ͧ怀 耀.ttfЀ怀怀＀怀＀怀̀Ɛ롰u怀࠼ʇ ﳰȣ怀耀ʏ⥴ଂ̆ĂंЂȣ怀耀뽀ͧ怀 耀.TTFЀ怀怀怀怀ԂƐ롰u怀࠼ࠃ! ȣ怀耀ʏᓈข̅ĆāāFrankRuehl਀FrankRuehl਀.ttfЀ怀怀怀怀ԀƐ룠u怀࠼ ȣ怀耀ཛྷ﷜ࠃȄȃଅЄȣ怀耀Ｐȣ怀耀.ttfЀ怀怀ﺠ怀ﺠ怀ԀƐ륐u怀࠼ 칀ȣ怀耀蔞㈸ЂȆ̆ȊЃ쳰ȣ怀耀ȣ怀耀.ttfЀ怀怀﹀怀﹀怀ԀĬ맀u怀࠼˯⁋倀 ȣ怀耀煀ЄԆစȂȍGabriolaࠀGabriolaࠀ.ttfЀ怀怀怀怀ԀƐ먰u怀࠼耀Ȁ　ȣ怀耀ⅈ錐ଂȅȄȄ̂Gadugi؀Gadugi؀.ttfЀ怀怀怀怀ԀƐ몠u怀࠼耀Ȁ　ȣ怀耀ⅈ곌ଂȈȄȄ̂Gadugi؀ȣ怀耀.ttfЀ怀怀怀怀Ԁʼ몠u怀࠼ʇȣ怀耀棵쾸ȂЄ̃ā̈GaramondࠀGaramondࠀ.ttfЀ怀怀䀀怀䀀怀ԀƐ묐u怀࠼ʇ좠ȣ怀耀棵큼ȂЈ̃ć̈Garamondࠀȣ怀&#10;耀.ttfЀ䁠怀䁠怀䃀怀䃀怀Ԁʼ묐u怀࠼ʇ ȣ怀耀棵ꠘȂЄ̃ā̈Garamondࠀ삐ȣ怀耀.ttfЀ䄠怀䄠怀䆀怀䆀怀ԂƐ묐u怀࠼ ȣ怀耀궬ଂȅȄȄ̂Gautami܀Gautami܀.TTFЀ䇠怀䇠怀䊠怀䊠怀ԀƐ뮀u怀࠼ 툰ȣ怀耀⡴ଂȈȄȄ̂Gautami܀퐐ȣ怀耀.ttfЀ䌀怀䌀怀䍠怀䍠怀Ԁʼ뮀u怀࠼ʇ ȣ怀耀霊㲐ЂȅЅȅ̃Georgia܀Georgia܀.ttfЀ䏀怀䏀怀䒀怀䒀怀ԀƐ믰u怀࠼ʇ ﯐ȣ怀耀霊ഐЂȈЅȅ̂Georgia܀ȣ怀耀.ttfЀ䓠怀䓠怀䕀怀䕀怀Ԁʼ믰u怀࠼ʇ ȣ怀耀霊ჀЂȅЅअ̃Georgia܀ﹰȣ怀耀.ttfЀ䖠怀䖠怀䘀怀䘀怀ԂƐ믰u怀࠼ʇ 퓐ȣ怀耀霊ᷘЂȈЅअ̂Georgia܀ȣ怀耀.ttfЀ䙠怀䙠怀䛀怀䛀怀Ԃʼ믰u怀࠼ʯ耀 푰ȣ怀耀♦㡐ЂȊЅȅ̂ȣ怀耀ȣ怀耀.ttfЀ䜠怀䜠怀䟠怀䟠怀Ԁ΄뱠u怀࠼ʯ耀 練ȣ怀耀♦㍀ЂȊЅअ̂퍐ȣ怀耀쀀ͧ怀 耀.ttfЀ䡀怀䡀怀䢠怀䢠怀Ԃ΄뱠u怀࠼ʯ耀 ﵐȣ怀耀♦⩨ЂȈЅȅ̂ȣ怀耀ȣ怀耀.ttfЀ䤀怀䤀怀䥠怀䥠怀Ԁʼ뱠u怀࠼ʯ耀 ȣ怀耀♦㣴ЂȈЅअ̂ȣ怀耀ﭰȣ怀耀.ttfЀ䧀怀䧀怀䨠怀䨠怀Ԃʼ뱠u怀࠼ʯ耀 지ȣ怀耀♦⊄Ђ؊Ѕȅ̂ȣ怀耀ȣ怀耀.ttfЀ䪀怀䪀怀䫠怀䫠怀̀΄뱠u怀࠼ʯ耀 ȣ怀耀♦㔈Ђ؊Ѕअ̂횀ȣ怀耀쁀ͧ怀 耀.ttfЀ䭀怀䭀怀䮠怀䮠怀̂΄뱠u怀࠼ʯ耀 ȣ怀耀♦⛸Ђ؈Ѕȅ̂ȣ怀耀ȣ怀耀.ttfЀ䰀怀䰀怀䱠怀䱠怀̀ʼ뱠u怀࠼ʯ耀 ȣ怀耀♦㉨Ђ؈Ѕअ̂ȣ怀耀솀ͧ怀 耀.ttfЀ䳀怀䳀怀䴠怀䴠怀̂ʼ뱠u怀࠼ʯ耀 ȣ怀耀♦䐄Ђ؅Ѕअ̃ȣ怀耀ȣ怀耀.ttfЀ䶀怀䶀怀䷠怀䷠怀̂Ɛ뱠u怀࠼ʯ耀 擄ȣ怀耀♦┸Ђ؃Ѕȅ̃픰ȣ怀耀ȣ怀耀.ttfЀ乀怀乀怀亠怀亠怀̀Ĭ뱠u怀࠼ʯ耀 ﾐȣ怀耀♦㰈Ђ؃Ѕअ̃텰ȣ怀耀싀ͧ怀 耀.ttfЀ伀怀伀怀你怀你怀̂Ĭ뱠u怀࠼ʯ耀 ﰰȣ怀耀♦㪸Ђ؅Ѕȅ̃ȣ怀耀ȣ怀耀.ttfЀ俀怀俀怀倠怀倠怀̀Ɛ뱠u怀࠼ʇ 낐ȷ怀耀尩䓈ЂІԅअЃ끠ȷ怀耀ꮀͧ怀 耀.ttfЀ⠠怀⠠怀⢀怀⢀怀ԂƐꦐu怀࠼ʇ 넠ȷ怀耀㗂亰ЂІԅȅЃCentury܀Century܀.ttfЀ⣠怀⣠怀⦠怀⦠怀ԀƐꨀu怀࠼ 뉀ȷ怀耀琄Ђ̅Ԉȅ̃뇠ȷ怀耀곀ͧ怀 耀.ttfЀ⨀怀⨀怀⫀怀⫀怀ԀƐꩰu怀࠼ 닐ȷ怀耀ཛྷ斸ȄЄဃȇȆChiller܀Chiller܀.ttfЀ⬠怀⬠怀⯠怀⯠怀؀Ɛꫠu怀࠼¯ꀀJ倀 댰ȷ怀耀ꑜ̅Ȁ̀껀ͧ怀 耀김ͧ怀 耀.ttfЀⱀ怀ⱀ怀ⴀ怀ⴀ怀ԀƐꭐu怀࠼ 뎐ȷ怀耀蔞슠ȄԈȆ̂̂Colonna MT਀Colonna MT਀.ttfЀⵠ怀ⵠ怀⸠怀⸠怀ԀƐꯀu怀࠼ڇ 뒰ȷ怀耀♦Δ༃ȇ̃ȂЂ될ȷ怀&#10;耀두ȷ怀&#10;耀.ttfЀ⺀怀⺀怀⽀怀⽀怀ԀƐ갰u怀࠼ڇ 떠ȷ怀耀♦시༃ȉ̃ȂЂ땀ȷ怀&#10;耀딐ȷ怀耀.ttfЀ⾠怀⾠怀　怀　怀Ԁʼ갰u怀࠼ڇ 뚐ȷ怀耀♦숀༃ȇ̃؂Ђ똰ȷ怀&#10;耀똀ȷ怀耀.ttfЀだ怀だ怀ダ怀ダ怀ԂƐ갰u怀࠼ڇ 뜠ȷ怀耀♦럼༃ȉ̃؂Ђ뛰ȷ怀&#10;耀뀀ͧ怀 耀.ttfЀㄠ怀ㄠ怀ㆀ怀ㆀ怀Ԃʼ갰u怀࠼/耀⁛က례ȷ怀耀̅ȀЀ럠ȷ怀耀랰ȷ怀耀.ttfЀ㇠怀㇠怀㊠怀㊠怀Ԁ΄겠u怀࠼/耀⁛က뤰ȷ怀耀ក̅ऀЀ룐ȷ怀耀뢠ȷ怀耀.ttfЀ㌀怀㌀怀㍠怀㍠怀Ԃ΄겠u怀࠼/耀⁛က맰ȷ怀耀̈ȀЀCongenialऀ맀ȷ怀耀.ttfЀ㏀怀㏀怀㐠怀㐠怀Ԁʼ겠u怀࠼/耀⁛က몰ȷ怀耀ៜ̈ऀЀCongenialऀ몀ȷ怀耀.ttfЀ㒀怀㒀怀㓠怀㓠怀Ԃʼ겠u怀࠼/耀⁛က뮠ȷ怀耀႔̅ऀЀCongenialऀ뭰ȷ怀耀.ttfЀ㕀怀㕀怀㖠怀㖠怀ԂƐ겠u怀࠼/耀⁛က변ȷ怀耀磻̅ȀЀ뱠ȷ怀耀배ȷ怀耀.ttfЀ㘀怀㘀怀㙠怀㙠怀ԀĬ겠u怀࠼/耀⁛က붰ȷ怀耀ຸ̅ऀЀ뵐ȷ怀耀봠ȷ怀耀.ttfЀ㛀怀㛀怀㜠怀㜠怀ԂĬ겠u怀࠼/耀⁛က빰ȷ怀耀琉̅ȀЀCongenialऀ빀ȷ怀耀.ttfЀ㞀怀㞀怀㟠怀㟠怀ԀƐ겠u怀࠼/耀⁛က뾐ȷ怀耀⠔̅ȀЀ뼰ȷ怀耀뼀ȷ怀耀.ttfЀ㡀怀㡀怀㢠怀㢠怀Ԁɘ겠u怀࠼/耀⁛က纠Ȩ怀耀ᙰ̅ऀЀ绐Ȩ怀耀냀ͧ怀 耀.ttfЀ㤀怀㤀怀㥠怀㥠怀Ԃɘ겠u怀࠼/耀⁛ကȷ怀耀ᰰ̅ȀЀ盰Ȩ怀耀瞰Ȩ怀耀.ttfЀ㧀怀㧀怀㨠怀㨠怀Ԁú겠u怀࠼/耀⁛ကȷ怀耀݈̅ऀЀ`ȷ怀耀넀ͧ怀 耀.ttfЀ㪀怀㪀怀㫠怀㫠怀Ԃú겠u怀࠼ۿﳿƟ怀Ġȷ怀耀ଂआȂ̄ЂConsolasࠀConsolasࠀ.ttfЀ㭀怀㭀怀㰀怀㰀怀ԀƐ괐u怀࠼ۿﳿƟ怀ưȷ怀耀ଂइȂ̄ЂConsolasࠀƀȷ怀&#10;耀.ttfЀ㱠怀㱠怀㳀怀㳀怀Ԁʼ괐u怀࠼ۿﳿƟ怀ɰȷ怀耀ԸଂआȂ਄ЂConsolasࠀɀȷ怀耀.ttfЀ㴠怀㴠怀㶀怀㶀怀ԂƐ괐u怀࠼ۿﳿƟ怀̰ȷ怀耀᱘ଂइȂ਄ЂConsolasࠀ̀ȷ怀耀.ttfЀ㷠怀㷠怀㹀怀㹀怀Ԃʼ괐u怀࠼˯ꀀ⁋䀀Ɵ ϰȷ怀耀먄̂Ȇ̅̆̃Constantia਀Constantia਀.TTFЀ㺠怀㺠怀㽠怀㽠怀ԀƐ궀u怀࠼˯ꀀ⁋䀀Ɵ Ҁȷ怀耀잨̂ȇ̆̆̃Constantia਀ѐȷ怀耀.TTFЀ쀀怀쀀怀쁠怀쁠怀Ԁʼ궀u怀࠼˯ꀀ⁋䀀Ɵ Հȷ怀耀뮨̂Ȇ̅ਆ̃Constantia਀Ԑȷ怀耀.TTFЀ샀怀샀怀선怀선怀ԂƐ궀u怀࠼˯ꀀ⁋䀀Ɵ ؀ȷ怀耀환̂ȇ̆ਆ̃Constantia਀אȷ怀耀.TTFЀ솀怀솀怀쇠怀쇠怀Ԃʼ궀u怀" userProvider="筶⯯߻䵨읐嬀ǡ怀   䈠則媠怀ᨐ˪怀쏐䜠偎呚䵕₠呚䵕⑯ﻸ鿿呚䵕呚䵕Ը赹ꤜ赹ڻ婹䱀y怀ā⽀y怀ڻ⼰ڽĀ%㷀Δ怀ą怀ą怀䵨촰港啠Ƿ怀잰港   䈠則媠怀⾠˶怀짐港䜠偎呚䵕₠呚䵕≯ﻸ鿿呚䵕呚䵕Ը赹ꤜ赹繀͘怀繀͘怀繀͘怀繀͘怀繀͘怀繀͘怀繀͘怀繀͘怀繀͘怀繀͘怀繀͘怀繀͘怀繀͘怀繀͘怀繀͘怀繀͘怀繀͘怀繀͘怀繀͘怀繀͘怀繀͘怀繀͘怀繀͘怀繀͘怀繀͘怀繀͘怀繀͘怀繀͘怀繀͘怀繀͘怀繀͘怀繀͘怀ˈ婐ꁉ쀱殁ᘮ卼併䴸,,0ꀀᖁ0ꀀᖁ쉠ʄ怀⡟ƶ怀呚䵕₠呚䵕ⁿﻸ鿿呚䵕呚䵕乄䍏耀䵨⼰繁捰Ƿ怀ⴐ繁   䈠則媠怀쎠˶怀掠繁䜠偎呚䵕₠呚䵕Ὧﻸ鿿呚䵕呚䵕Ը赹ꤜ赹https://odc.officeapps.live.com/odc/servicemanager/serviceremove࠼⛿ꄕ퀀Ɵ 챠Ȳ怀耀ཛྷ찀Ȳ怀&#10;耀쯐Ȳ怀耀.ttfЀ怀怀怀怀Ԁʼu怀࠼⛿ꄕ퀀Ɵ 쭰Ȳ怀耀ཛྷ쭀Ȳ怀&#10;耀燀ͦ怀 耀.ttfЀ怀怀怀怀Ԃʼu怀https://odc.officeapps.live.com/odc/servicemanager/userconnectedhttps://odc.officeapps.live.com/odc/servicemanager/servicedetailsˈ婐ꁉ쀱殁ᘮ卼併䴸((((ŀ怀ᖅŀ怀ᖅʄ怀͙챠ƶ怀呚䵕₠呚䵕᥿ﻸ鿿呚䵕呚䵕乄䍏耀https://excelcs.officeapps.live.com/xlauto/excelautomation.svc/resthttps://excelcs.officeapps.live.com/exlps/excelprint.svc/exlPrint࠼⛿ꄕ퀀Ɵ 칀Ȳ怀耀ཛྷ樂췠Ȳ怀&#10;耀춰Ȳ怀&#10;耀.ttfЀ怀怀怀怀ԀƐu怀࠼/耀&#10;콠Ȳ怀耀ˑ渰Ȃ̈ԅȅЂ컐Ȳ怀耀케Ȳ怀耀.ttfЀ怀怀怀怀Ԁʼu怀࠼/耀&#10;큐Ȳ怀耀ˑꄐȂ̈ԅअЂ쿰Ȳ怀耀쿀Ȳ怀耀.ttfЀ怀怀怀怀Ԃʼu怀࠼/耀&#10;텰Ȳ怀耀ˑ搜Ȃ̅ԅȅЂ턐Ȳ怀耀탠Ȳ怀耀.ttfЀ怀怀怀怀ԀƐu怀࠼/耀&#10;퉠Ȳ怀耀ˑ裄Ȃ̅ԅअЂ툀Ȳ怀耀퇐Ȳ怀耀.ttfЀ횀怀횀怀챠怀챠怀ԂƐu怀࠼/耀&#10;퍐Ȳ怀耀ˑ斤Ȃ̃ԅȅЂ티Ȳ怀耀틀Ȳ怀耀.ttfЀ怀怀怀怀ԀĬu怀࠼/耀&#10;폠Ȳ怀耀ˑ迄Ȃ̃ԅअЂ펰Ȳ怀耀纀ͦ怀 耀.ttfЀ怀怀怀怀ԂĬu怀࠼/耀&#10;풠Ȳ怀耀B퉬ĂЀĄā́Sagona؀푰Ȳ怀&#10;耀.ttfЀ怀怀怀怀ԂƐu怀࠼/耀&#10;할Ȳ怀耀B鲼ĂЀĄā́Sagona؀픰Ȳ怀耀.ttfЀ怀怀怀怀ԀƐu怀࠼聇ꀀ횰Ȳ怀耀ޮ獨Ȃ̅ЅȅЃ혠Ȳ怀&#10;耀홐Ȳ怀&#10;耀.ttfЀ怀怀怀怀ԀƐu怀࠼ 힠Ȳ怀耀ޮ쓰ЃȆ؄ࠇЉ흀Ȳ怀耀휐Ȳ怀耀.ttfЀ怀怀怀怀Ԁʼu怀࠼耀Ȳ怀耀਽蘔Seaford܀Ȳ怀耀.ttfЀ怀怀怀怀ԀƐu怀࠼耀Ȳ怀耀਽蘘Seaford܀Ȳ怀耀.ttfЀ怀怀怀怀Ԁʼu怀࠼耀Ȳ怀耀਽阌Seaford܀Ȳ怀耀.ttfЀ怀怀怀怀ԂƐu怀࠼耀Ȳ怀耀਽鍌Seaford܀Ȳ怀耀.ttfЀ怀怀怀怀Ԃʼu怀࠼耀Ȳ怀耀਽飰쨠Ȳ怀耀쪰Ȳ怀耀.ttfЀ쟠怀쟠怀怀怀ԀƐu怀࠼耀Ȳ怀耀਽錸Ȳ怀耀Ȳ怀耀.ttfЀ怀怀怀怀ԂƐu怀࠼ʏ 䜁Ȳ怀耀਽瑌Ȳ怀耀Ȳ怀耀.ttfЀ怀怀怀怀ԀƐu怀࠼ʏ 䜁Ȳ怀耀਽燴Ȳ怀耀Ȳ怀耀.ttfЀ豈怀豈怀怒怀怒怀Ԁʼu怀࠼ʏȲ怀耀ޮﲠଃЅ̀Ȳ怀耀Ȳ怀耀.ttfЀ燎怀燎怀婢怀婢怀ԀƐu怀࠼ʏȲ怀耀ޮଃЈ̀Ȳ怀耀Ȳ怀耀.ttfЀ﫠怀﫠怀נּ怀נּ怀Ԁʼu怀࠼⻿쀀 ǿ Ȳ怀耀ꮅ튐ଂȅȄȄ̂Segoe UIࠀSegoe UIࠀ.ttfЀﮠ怀ﮠ怀ﱠ怀ﱠ怀ԀƐu怀࠼⻿쀀 ǿ Ȳ怀耀ꮅꈐଂȈȄȄ̂Segoe UIࠀȲ怀&#10;耀.ttfЀﳀ怀ﳀ怀ﴠ怀ﴠ怀Ԁʼu怀䵨悐繆ௐǷ怀皠繆   䈠則媠怀䌀˴怀磀繆䜠偎呚䵕₠呚䵕ｯﻷ鿿呚䵕呚䵕Ը赹ꤜ赹䵨딀港ꢀǴ怀㱠繇   䈠則媠怀⿰˷怀끐港䜠偎呚䵕₠呚䵕﹯ﻷ鿿呚䵕呚䵕Ը赹ꤜ赹᱀ҿ幸瑣牯耐㠔蜸ǠĲ怀耀㠔背㠔à譌㠔ɀ롌㠔ɉ⼠㠕*ば㠕よ㠕Ր嬈㠕㿌高㠖髸㠖汐ᗠʢ怀ᗸʢ怀ᗸʢ怀䶅ĀꞀËˆ怀쀀ᤎ梀Ɩ怀媠怀᧳㤀͠怀䀀䂙䀸萐ú怀ā耀㳀͠怀 &#10;&#10;#$%笐ﾘ鿿攠丯￼蓐끈鱢￼漐ﵹ鿿夘丯￼댨鱢￼䨨ﰄ鿿擨丯￼奐丯￼墨丯￼궈鱢￼堸丯￼堀丯￼塰丯￼ᾘ鱮￼ᾀ鱮￼壠丯￼ὸ鱮￼莀笘ﾘ鿿贆老顑퍲廊贆ȷꥁ퍲贆⹗齂퍲贆쀼髆퍲贆攆Ꙍ퍲ﯔ贆푓駬퍲贆老ꑟ퍲䵨梠ꔠǷ怀撐   䈠則媠怀變˴怀暰䜠偎呚䵕₠呚䵕ﻷ鿿呚䵕呚䵕Ը赹ꤜ赹⁌ၜ汱䙰핵‼ၜ遖穑ᅺ‬ၜ老蘜瘒펼㧜荵疴퍃᷸ၜ老ꐠ죤ᅻ“ၜ깤햶펴掄荵老眊퍃‴ၜ老╀ﮪᅶ⁘ၜ譵蝛퍃⁄ၜ簡ᢿ퐕䵨߰蔐Ǯ怀א   䈠則媠怀˫怀ॐ䜠偎呚䵕₠呚䵕ﻷ鿿呚䵕呚䵕Ը赹ꤜ赹AD◸莼老베퍃뵠޺䝔끤࠲껀莹老퐤륲퍃鵌莽老녚륔퍃䓀莸老痴퍃ᰌ莾띶뤵퍃ꔘ莾老䍲迆퍃莼ﶚ퍃퉨莽昹랬퍃作荵老큖痮퍃☄莼老㨅벮퍃᱀ҿ幮瑣牯耐㠔蜸ǠĲ怀耀㠔背㠔à譌㠔ɀ롌㠔ɉ⼠㠕*ば㠕よ㠕Ր嬈㠕㿌高㠖髸㠖汐ᕠʢ怀ᕸʢ怀ᕸʢ怀聠怀怀䀀怀넠d怀᪠怀怀ॠ怀怀꓀怀䃰Â怀말ú怀듐Ð怀钠¥怀ڐÂ怀烀Ï怀װ×怀귰ú怀藰ð怀㍸п㡐У탐ʊ怀ʊ怀ரe怀㍸п贐ͦ怀膐ͦ怀虀ǐ怀ͦ怀魀ρ怀欐Ι怀ͦ怀䚸蛡ᄐ퍓峄蛰老ᅴಁ퍙㣜蛡老ꈇ茣퍛尼蛰녿﹕퍗나蛩꘡㌆퍘藜蛸老腪స퍙㤨蛡ꙵ娘퍓䋴蛰老謹ಪ퍙㦨蛡┍ယ퍜䋰蛰鉵౛퍙䚐蛡老䉍栽퍛蚰蛠ल퍊ጀ筹⯯5䵨薰繌洀Ƿ怀翰繌   䈠則媠怀ᴠˣ怀菀繌䜠偎呚䵕₠呚䵕ﻷ鿿呚䵕呚䵕Ը赹ꤜ赹貨蔈ꌾ믂퍈뵠菈老似阒퍃T蒵鼭疴퍃Ẩ蒴娚퍉봀菈老䈪馇퍃ⷰ蒿老兀뼇퍉阔蒱老꽍띛퍃뵘菈老쥄슻퍃蒵老ꨘꂫ퍈부菈老脷钍퍃뵨菈老䄥齾퍃鍔荵̰瘵퍃ﳰ莺줕ꬢ퍃쓨荵老㜒瞲퍃딐荵㔪眅퍃莴老痴퍃畤莺老奛ꭅ퍃ⓔ莽老荡ﱶ퍃鍄荵老ݣ瞉퍃▌莹老灌ꩪ퍃䐰蓾老刴ꐏ퍃櫀蒯老ꡞ몟퍄嗠莺ᝅ肾퍃作荵ᵍ痮퍃ꨔ莻魻꬏퍃᱀ҿ幒瑣牯耐㠔蜸ǠĲ怀耀㠔背㠔à譌㠔ɀ롌㠔ɉ⼠㠕*ば㠕よ㠕Ր嬈㠕㿌高㠖髸㠖汐뗀Ì怀똈Ì怀똈Ì怀䵨砀繌悠Ƿ怀燠繌   䈠則媠怀ˤ怀璠繌䜠偎呚䵕₠呚䵕ﻷ鿿呚䵕呚䵕Ը赹ꤜ赹䵨ﴐ替ǲ怀ꌐ曼   䈠則媠怀朰˵怀聆替䜠偎呚䵕₠呚䵕ﻷ鿿呚䵕呚䵕Ը赹ꤜ赹䵨鶐蛀Ƿ怀魰   䈠則媠怀쭠˴怀鯠䜠偎呚䵕₠呚䵕ﻷ鿿呚䵕呚䵕Ը赹ꤜ赹䵨ꢀǮ怀   䈠則媠怀˫怀䜠偎呚䵕₠呚䵕ﻷ鿿呚䵕呚䵕Ը赹ꤜ赹誈蒮老䴮ǰ퍅ㇴ蒼老봩᠔퍇熼蒱ꡓ퍃橘蒱老ᱰ뗳퍃Ⅸ蒴቗疴퍃ᖔ蒹老ꑃ퍉샠蒮老ば鴶퍄媘蒳㸧ꮧ퍈柠蒱꜋퍉凘蒸老行眊퍃曠蒱老⨓⹊퍄曐蒱詺뗭퍃漉漉漉漉漉쟐漉쟐漉쟐漉쟐漉쟐漉쟐漉쟐漉쟐漉쟐漉쟐漉쟐漉쟐漉쟐漉规荵鰚硳퍃ΐ蒵⠺믤퍈橨荵嬏痴퍃딐荵卅眅퍃ᴀ荵老鼡ﱶ퍃竼荵謒碇퍃臠荵老錍磨퍃鍄荵老᜸瞉퍃폼荵睦眚퍃作荵老喙痮퍃␔蒲琧밍퍈ᴀ荵老靓퍙Ⲱ荵睥眏퍃ៀ筀˔怀꣰ú怀癳g̀睐˥怀睘˥怀睘˥怀휀͡怀휀͡怀ₐĈ怀䝅沈褏䀰욧蝋䀰᱀ҿ幨瑣牯耐㠔蜸ǠĲ怀耀㠔背㠔à譌㠔ɀ롌㠔ɉ⼠㠕*ば㠕よ㠕Ր嬈㠕㿌高㠖髸㠖汐㦀˯怀㦈˯怀㦈˯怀ៀ螀˒怀뎐ú怀癳g̀瓰˥怀瓸˥怀瓸˥怀͡怀͡怀⊐Ĉ怀⾃Ꙍ䀩맵諚䀩䵨ꄰ⫀ǥ怀鮰2 0䈠則媠怀㤠˯怀鷐䜠偎呚䵕₠呚䵕ﻷ鿿呚䵕呚䵕Ը赹ꤜ赹䞑Āᒅºº傉䝎਍ਚഀ䡉剄ఀ㈀؈栀㨅:琙塅却景睴牡e摁扯⁥浉条剥慥祤쥱㱥尀䑉呁ﱢ̿耩恩䘡辑쾏ꉿ‴␫ƨ瞻烯䁫ౖࡓ䰃鳸꺄꬘氆⛮ۊꙬ琓꣒円ꌍ䘚谵ᡪフ㒒泠墜奙ꟽඊĀꙬ鴥윒䕉䑎䊮艠䵨飰ݐǥ怀鍰 䈠則媠怀㨐˯怀閐䜠偎呚䵕₠呚䵕ﻷ鿿呚䵕呚䵕Ը赹ꤜ赹Ö怀㖘螇㕸螇䱬蒳䰐蒳䢀蒳ಔ蠻蠻䆬衊䆠衊棌ྦ椤ྦ琜蛮ﱔ蛾툰蜩퉰蜩퉤蜩튤蜩琘蛮筌蠹溔蠼ﳈ衚⳰蠽笨蠹衐衐匔莵ㆴ菈ꐴ蟐ꋴ蟐갸蒴궄蒴蛇⠀筹⯯6䵨ﯠ薠Ǯ怀   䈠則媠怀˫怀䜠偎呚䵕₠呚䵕홯ﻷ鿿呚䵕呚䵕Ը赹ꤜ赹䵨녠蝐Ƿ怀᧡   䈠則媠怀꫐˷怀글䜠偎呚䵕₠呚䵕핯ﻷ鿿呚䵕呚䵕Ը赹ꤜ赹䵨唐渮Ƿ怀渭   䈠則媠怀˩怀攰繂䜠偎呚䵕₠呚䵕푯ﻷ鿿呚䵕呚䵕Ը赹ꤜ赹䵨猀貎柰ǲ怀胀渮   䈠則媠怀ঠ˲怀❠貍䜠偎呚䵕₠呚䵕퍯ﻷ鿿呚䵕呚䵕Ը赹ꤜ赹┰ꂅ老桚疴퍃Ὤꂅ老靐쵥퍲♸ꂅ老✬啺퍣⚌ꂅ老밫⃫퍆᭄ꂅ豚퍔⼸ꂅ锲蝛퍃὘ꂅ뜿쭼퍲⚴ꂅἪ࠯퍳箰〖牐〖摀〖徐〖冀〖䍰〖㕠〖⊠〖ᷰ〖ᒐ〖ର〖〕〕칀〕ꐐ〕쓠〕扰〕ฐ〕朠〕蟰〕䬀〕酐〕䓐뾽ᙐ҅냨ࠌ囘郣䗨蔙킘虘裈譳躟굠觥ꖹ㸸躌뵀輢뢸䠠鎈闶霎镀雴䂈頍寠讶禀靻䝀鋙汰鐮ⅸ饡Ῐ騵ꭨꞌ珰痠碘ஂ錘鱯ꠄࡰ菔　筹⯯)䖱ĀސmMacintosh HD ‎» Users ‎» gsun20 ‎» Downloads ‎» autopipeline-benchmarks-main ‎» commercial-pipelines ‎» a06_0E&lt;resolutionId provider=&quot;None&quot;&gt;&lt;localId name=&quot;Author&quot;/&gt;&lt;/resolutionId&gt;䀠賶老쾠퍨誨贄♦퍆踼贄覨퍆覤贄老≟쓓퍨踬贄嘅쮄퍅ᷨ賵บ퍅詘贄老䭇ﶆ퍲䀌賶老顱쾷퍨謴贄이肸퍆᳐賵老푺眊퍃봔賵啲疴퍃㈰賵졈蕨퍆Ɒ賵浪퍆㐀筹⯯1㔀筹⯯߻뮴蝿⽢崣퍛竼荵老茶碇퍃뮨蝿ﹺ㰊퍏蛛老䔓杮퍛㜀筹⯯9㠀筹⯯&lt;ጘࣕⲰ࣓⨠࣓躸࣐摉瀀ﯓ㈙艚锡룕⊑Õ⯠࣓樠贆老ḝ퍅楀贆老륉퍅曬贆쥬疴퍃梸贆老ĩ빔퍱澀贆ꍪ퍅濘贆픉瀊퍲楈贆老뼸鏸퍆栔贆老怆砚퍃暈贆老ᙏ眊퍃槈贆老翋퍆栜贆䉑퍃樐贆老﨣Ꮞ퍄㬀筹⯯?朰贂老섧᪠퍆賵퍼恄퍆賵老硥ᙄ퍆ȼ賶Ⰹ疴퍃煜贂老䕺惤퍆掼賴ꁨ퍆浤賵老畫퍲泸賵㥝扇퍆煐贂똟愘퍆榘賵멗턙퍲濼贂㐼퍲棤贂老퍲ｰ賵덅抒퍆˼贃老ࡵ뜰퍲֐贃腝퍲ྔ贃老䱚箄퍲Δ贃뙘퍲Ҭ贃老⥯뙉퍲㙐贃댦筚퍲Ĥ贃๴׼퍳贃老ﰡ紭퍲贂籞퍲ﰰ贂䙘㜰퍳㸀筹⯯@㼀筹⯯ݼ莽ꤠ퍃获老ȼ꣣퍃获㨇땳퍃犔获礕컥퍃册莺老驎ﳘ퍃ش莸老ᤫ옙퍃获老뚋퍃ᘄ莽老둠﹍퍃樠丳￼ﰗ鿿ॸﭾ鿿≸ￆ鿿嬈丳￼ﰗ鿿槨丳￼잰嫐丳￼은媘丳￼孀丳￼Ｋ鿿우◨ﰖ鿿䵨∠ꇀǷ怀    䈠則媠怀훐˴怀迠䜠偎呚䵕₠呚䵕뵯ﻷ鿿呚䵕呚䵕Ը赹ꤜ赹졀妸丳￼짠Ｋ鿿쥀橘丳￼奈丳￼檐丳￼妀丳￼⚨ﰖ鿿죐≰ￆ鿿ﰗ鿿ﰗ鿿姰丳￼⇘ﭾ鿿샀؀Ȟ怀āऻ鸫嘏Ǫ怀䄀洁汵砭捰⠠灁汰⥥佟数卮整p쟸丳￼托﷩鿿␘ﭾ鿿㈐쑀丳￼㋰舰ﴣ鿿녰丳￼놨丳￼쟀丳￼쒰丳￼뾐ﲈ鿿㊀있丳￼Ř蛧老阗颁퍚Ą蛧老ￂ퍘⻜蛬㙨맫퍍팘蛤수ࠫ퍙ﶸ蛦老푢궬퍈Հ蛧老牽襭퍆ư蛧ﰘ퍑Ǥ蛧捋ሯ퍑https://arizonastateu-my.sharepoint.com/personal/gsun20_sundevils_asu_edu廈Ⅿ�燨➬�䙨傸忸䳘㇘姈Ⅿ�䊘Ⅿ�Ⳙ俈Ⅿ�么䞘Ⅿ�㺨䊈㦨哈Ⅿ�ៀ⧀ʨ怀ꃐ×怀癳g̀箐˪怀箘˪怀箘˪怀䥸Ĉ怀䦐Ĉ怀䀴䀴䀴䀴䵨繋姠Ƿ怀繋   䈠則媠怀擀ˣ怀繋䜠偎呚䵕₠呚䵕땯ﻷ鿿呚䵕呚䵕Ը赹ꤜ赹鵬護퍫灰護老鈯⊂퍫烠護팠疴퍃鵴護ꅔࡕ퍫礀護䠩粵퍎覜護֊퍫礌護老ꁙ๸퍫芈護᠊垉퍓꘸護老⌭퍫臨護老脽垛퍓韀護老娺☍퍫盠護큄癎퍃胠護뭈↮퍫ៀ혀ʨ怀ઠ×怀癳g̀䱰˪怀䱸˪怀䱸˪怀䵸Ĉ怀䶐Ĉ怀䀴䀴䀴䀴ៀʨ怀๠×怀癳g̀估˪怀伸˪怀伸˪怀乸Ĉ怀亐Ĉ怀䀴䀴䀴䀴ៀ䄀ʨ怀綐×怀癳g̀愠˪怀愨˪怀愨˪怀佸Ĉ怀侐Ĉ怀䀴䀴䀴䀴ៀʨ怀ዀ×怀癳g̀冀˪怀冈˪怀冈˪怀偸Ĉ怀傐Ĉ怀䀴䀴䀴䀴ៀﯠʨ怀⛀×怀癳g̀台˪怀司˪怀司˪怀典Ĉ怀冐Ĉ怀䀴䀴䀴䀴ៀ蟀ʨ怀⧠×怀癳g̀噐˪怀噘˪怀噘˪怀剸Ĉ怀劐Ĉ怀䀴䀴䀴䀴ꔴ莸碲퍃䟬菃률뙥퍃땈莿老氹眅퍃莸老尃疧퍃웤莸䝿벇퍃爜荵老脾瘗퍃⹠菅D퍃똠莿老蹜瞉퍃뿌莸老꜎퍃ꏤ莾老屸퍃ៀ鑀ʨ怀⯀×怀癳g̀声˪怀壸˪怀壸˪怀呸Ĉ怀咐Ĉ怀䀴䀴䀴䀴ៀꅠʨ怀ऐ×怀癳g̀宐˪怀官˪怀官˪怀啸Ĉ怀喐Ĉ怀䀴䀴䀴䀴嘀筹⯯߻띐뚀틸ﷴ鿿㢨혒또幐丳￼楀丳￼ㅠￇ鿿⑨ﰖ鿿觘ﭸ鿿巠丳￼쒐帘丳￼쐠쬰ﰗ鿿쎐庈丳￼쮐ﰗ鿿椈丳￼Ｋ鿿ៀʩ怀×怀癳g̀̐˪怀̘˪怀̘˪怀巀͌怀巀͌怀妐Ĉ怀풕栉尢䀶䁏愓σ䀰ៀꥠʨ怀ꎠ×怀癳g̀뷐˪怀뷘˪怀뷘˪怀넀͌怀넀͌怀媐Ĉ怀榭燞캊䀨뾱黬఼䀩쑰ﰗ鿿弰丳￼숐솀忘丳￼徠丳￼梘丳￼Ｋ鿿∨ￆ鿿棐丳￼쐐ﰗ鿿슀彨丳￼⾸ﭾ鿿⎨ﰖ鿿ៀ뇠ʨ怀竀×怀癳g̀幠˪怀幨˪怀幨˪怀屸Ĉ怀岐Ĉ怀䀴䀴䀴䀴劸丳￼勰丳￼矨丳￼㒘ﭾ鿿胠ﰗ鿿⩨ﰖ鿿탠텐匨丳￼砠丳￼⊀ￆ鿿占丳￼쬠Ｋ鿿큐肀ﰗ鿿帀筹⯯ៀ俠ʨ怀沰×怀癳g̀掰˪怀掸˪怀掸˪怀彸Ĉ怀徐Ĉ怀䀴䀴䀴䀴䵨易놀Ƿ怀뚐   䈠則媠怀펠˷怀䜠偎呚䵕₠呚䵕齯ﻷ鿿呚䵕呚䵕Ը赹ꤜ赹ៀ峀ʨ怀䒰×怀癳g̀晠˪怀晨˪怀晨˪怀慸Ĉ怀憐Ĉ怀䀴䀴䀴䀴紘譶疴퍃鄠譶老ᵯ찑퍈毰譶蔢̢퍫薠譶老愸ᚔ퍫Ꞙ譶ꝉⶕ퍫矨譶老瑪ㄕ퍫謄譶頂⛶퍗ꃠ譶崺㗜퍫ꐀ譶老樓퍉漴譶ꔃẜ퍫鄘譶ᜆ㶎퍙쫐Ｋ鿿喐丳￼췰眈丳￼啘丳￼着丳￼ㅀￇ鿿ﰗ鿿쳰嘀丳￼嗈丳￼酘ﭸ鿿⣨ﰖ鿿춀ﰗ鿿灰護老虊⊂퍫烠護瘴疴퍃鵴護老ᬅࡕ퍫礀護䍺粵퍎覜護老祭֊퍫礌護老๺๸퍫芈護老੨垉퍓Ꙑ護ꍧ⌭퍫臨護老‧垛퍓韀護老ꕧ☍퍫盠護癎퍃胠護老‍↮퍫긨丳￼鲘ﭸ鿿硘丳￼碐丳￼箰剈丳￼刐丳￼闠ﰗ鿿귰丳￼Ｋ鿿簠ㅸￇ鿿凘丳￼筰蕠ﰗ鿿⬨ﰖ鿿䵨⽀曹ﵐǲ怀替   䈠則媠怀巠˵怀ⵐ曹䜠偎呚䵕₠呚䵕饯ﻷ鿿呚䵕呚䵕Ը赹ꤜ赹傌蜀⥄ﱶ퍃鍔荵老脢瘵퍃며蛻老ŵﱗ퍘暐蛢퍗鳀蛶老帜嵆퍘蛜渂狅퍘꺬蛛老ࠝ㡧퍝꺜蛛獗脧퍛臠荵鄈磨퍃ﭼ蒲멪퍄눀蛜뽸ﰺ퍘Ҩ蛜鱁퍗核蛢ꝧﱭ퍘됈蛻땟술퍘Ｋ鿿呀丳￼衘ﭸ鿿ㅨￇ鿿쿀⦨ﰖ鿿咰丳￼合丳￼컀睸丳￼﷐ﰗ鿿ﵰﰗ鿿呸丳￼瞰丳￼콐馌蛺簐퍙똔蜷笘퍙ោ蜆老ṇ暧퍚蛺⌹疴퍃믌蜷쐨瞉퍃럜蜷老ብ㲚퍚뙜蜷老䩷㰗퍚뗰蜷੮軉퍃ូ蜆老䠞ᚩ퍅뢘蜷老缝㴊퍚렰蜷絎﫫퍑뛄蜷老뵺㰬퍚쯰坐丳￼團丳￼因丳￼챠嚨丳￼쭠⠨ﰖ鿿쪀Ｋ鿿ㅐￇ鿿盐丳￼ﰗ鿿皘丳￼聸ﭸ鿿ﰗ鿿ᥨ丳￼මｶ鿿聰丳￼胠丳￼䕰辘ﰕ鿿䔀ධｶ鿿䡰肨丳￼ᤰ丳￼ᄨ蛜老蝺쓠퍑贀蛢꧂퍏螁깛時퍛螁ﬡᧃ퍏賸蛢老䥘旵퍛뒀蛰老퍐ྜ蛜老遶뿇퍎釘蛟퍊ޜ蛜䥖駉퍝鉀蛟〞砚퍃亐蒱老蕫辋퍅ƨ蛜老葑瘼퍎蛛罟ﲝ퍎蛛ᠠԠ퍍거譴﹚㈀퍫ꯄ譴렧謱퍚ꯌ譴ଛ疴퍃걌譴攨㉸퍫뢬譴䕩퍃뛸譴앁﹙퍪겤譴老訽眊퍃갰譴礊퍃겔譴老䄁㉞퍫갼譴老︐¿퍞㧜荵疴퍃⸌ਦ老硼뵵આ노ਬ漚ყ퍗됸ਬଦ䛩퍗커ਦ老̊蝛퍃댰ਬᘙ쀋અ땐ਬ洂‼퍚둄ਬ老켷䜎퍗둈ਬ褯અݸਦ饡粟퍙ៀ틠ʩ怀×怀癳g̀閠˭怀閨˭怀閨˭怀䭀͌怀䭀͌怀澐Ĉ怀酨糭锿䀱뾱黬఼䀩ៀʩ怀터×怀癳g̀ ˪怀¨˪怀¨˪怀侀͌怀侀͌怀炐Ĉ怀ᑻ䞮뫡䀯䁏愓σ䀰ៀʩ怀틀×怀癳g̀Ѐ˪怀Ј˪怀Ј˪怀往͌怀往͌怀熐Ĉ怀沋ﯧ솩䀹䁏愓σ䀰ៀʩ怀쀀×怀癳g̀Ԑ˪怀Ԙ˪怀Ԙ˪怀技͌怀技͌怀犐Ĉ怀抷㤽䀴뾱黬఼䀩ᴨ﹯鿿↨﹯鿿Ὠ﹯鿿⏨﹯鿿欸丳￼᫨﹯鿿짐墠丳￼塨丳￼쩠쨰Ｋ鿿ﰗ鿿埸丳￼∈ￆ鿿櫈丳￼쫐❨ﰖ鿿ᤸﭾ鿿ﰗ鿿欀丳￼堰丳￼逸◶�ڰܠ耸丳￼ᖰ迸ﰕ鿿䵨ጀ朦삐Ǽ怀變漎   䈠則媠怀씐˱怀鄰䜠偎呚䵕₠呚䵕襯ﻷ鿿呚䵕呚䵕Ը赹ꤜ赹ﴨਨ湴阱આﴰਨ角અ뻜ਨ谄责અ뵘ਨ老詗쿃આ㧜荵老逽疴퍃뻤ਨ老됹讅઄뵠ਨ老ܭ馦આﯸਨ老瞉퍃뻬ਨ赤쫚઄뵐ਨ꤭쾯આ벤ਨ༨અ䵨瑐Ǯ怀菐ǌ( ܰ䈠則媠怀鼀˯怀䜠偎呚䵕₠呚䵕蝯ﻷ鿿呚䵕呚䵕Ը赹ꤜ赹愨丳￼⋨ﰖ鿿数ﰗ鿿≘ￆ鿿뿰惰丳￼Ｋ鿿旐ﰗ鿿삀桠丳￼▘ﭾ鿿栨丳￼샰悸丳￼悀丳￼潐ऌ繣啣ऒऍ老凕ऒ杠ऌ老者嗕ऒ牴ऌ老艹퉸펔ऍ戫凊ऒ暴ऌꩈ姛ऒ湜ऌ老驍姽ऒ㋐ऍ䘾᤯퍄牼ऌꕔ嫟ऒ﷡鿿扸丳￼빠所丳￼戈丳￼ﵗ鿿懐丳￼ㄈￇ鿿뻰뽠枸丳￼ꜘﭸ鿿Ｋ鿿ፀﰗ鿿∨ﰖ鿿柰丳￼Ⅽ�겘Ⅽ�볐Ⅽ�Ⅽ�ݘⅮ�Ⅽ�煸Ⅾ�ౠ◰�뵠ﶨⅭ�뱸Ⅽ�츈Ⅽ�헸Ⅽ�뒈Ⅽ�⭘ﰖ鿿쓈Ⅽ�뷐폐ﰖ鿿ﰖ鿿ꘀ臐﵉鿿瑨丳￼⎸ﭾ鿿ꕰ攘丳￼￈ﰞ鿿ꥰＬ鿿甐丳￼瓘丳￼璠丳￼꙰敐丳￼ﲳ鿿炰丳￼昰丳￼꣠꬀Ｌ鿿ﰞ鿿灸丳￼烨丳￼辰ﰉ鿿ﲳ鿿麀ﰉ鿿焠丳￼ؘﭾ鿿旸丳￼ꥐꨠ䵨ៀ曼瓠ǲ怀Ȁ綳   䈠則媠怀櫰˴怀ૠ綹䜠偎呚䵕₠呚䵕聯ﻷ鿿呚䵕呚䵕Ը赹ꤜ赹䖱ĀސoMacintosh HD ‎» Users ‎» gsun20 ‎» Downloads ‎» autopipeline-benchmarks-main ‎» commercial-pipelines ‎» adf02_1Ā搁潬数⡮甯牳氯扩氯扩瑳捤⬫㘮搮汹扩‬砰〰〱㨩 ៀ䄀ʪ怀蠠Ê怀癳g̀˪怀˪怀˪怀艸Ĉ怀芐Ĉ怀䀴䀴䀴䀴Љì吀礀瀀攀昀愀挀攀 搀愀琀愀 䌀漀瀀礀爀椀最栀琀 ꤀ ㄀㤀㤀㈀ⴀ㤀㐀 吀栀攀 䴀漀渀漀琀礀瀀攀 䌀漀爀瀀漀爀愀琀椀漀渀⸀ 䌀漀瀀礀爀椀最栀琀 ㄀㤀㤀㐀 䴀椀挀爀漀猀漀昀琀 䌀漀爀瀀漀爀愀琀椀漀渀⸀ 䄀氀氀 爀椀最栀琀猀 爀攀猀攀爀瘀攀搀⸀sun20@sundevils.asu.edu䖱ĀސtDesign and data by The Monotype Corporation. © 1993. Portions copyright Microsoft Corporation.  All rights reserved.憌蒲鴚퍆爜荵老饹瘗퍃℀蒵老ţ疧퍃쬰蒶嬛絨퍃怠蒲老ɿ鏩퍅ఔ蒵簌퍃縰蒲老摍ጿ퍆徬蒲堻홏퍃Python provided by Anaconda䵨繋溰Ƿ怀械繌   䈠則媠怀虐ˣ怀픐繋䜠偎呚䵕₠呚䵕睯ﻷ鿿呚䵕呚䵕Ը赹ꤜ赹ៀ皀ʯ怀ꓠÊ怀癳g̀˪怀˪怀˪怀襸Ĉ怀覐Ĉ怀䀴䀴䀴䀴䖱ĀސoMacintosh HD ‎» Users ‎» gsun20 ‎» Downloads ‎» autopipeline-benchmarks-main ‎» commercial-pipelines ‎» adf02_0sun20@sundevils.asu.edu䖱ĀސmMacintosh HD ‎» Users ‎» gsun20 ‎» Downloads ‎» autopipeline-benchmarks-main ‎» commercial-pipelines ‎» a06_1ៀ乀ʪ怀교Ê怀癳g̀˪怀˪怀˪怀赸Ĉ怀趐Ĉ怀䀨䀨䀨䀨https://www.anaconda.com/excel䵨粰鰠Ƿ怀眰   䈠則媠怀샀˴怀祐䜠偎呚䵕₠呚䵕灯ﻷ鿿呚䵕呚䵕Ը赹ꤜ赹䵨䬀㬐ǡ怀䓐ǌ, ܰ䈠則媠怀읰˪怀䤐䜠偎呚䵕₠呚䵕潯ﻷ鿿呚䵕呚䵕Ը赹ꤜ赹䵨㧐㥠ǡ怀ムǌ) ܰ䈠則媠怀욠˪怀㟠䜠偎呚䵕₠呚䵕湯ﻷ鿿呚䵕呚䵕Ը赹ꤜ赹䵨睐᧻ǡ怀禠᧻   䈠則媠怀˪怀㺠᧽䜠偎呚䵕₠呚䵕浯ﻷ鿿呚䵕呚䵕Ը赹ꤜ赹 MapRibbon䵨鳐᧽ǡ怀繀᧻   䈠則媠怀˪怀錀᧽䜠偎呚䵕₠呚䵕歯ﻷ鿿呚䵕呚䵕Ը赹ꤜ赹䖱ĀސoMacintosh HD ‎» Users ‎» gsun20 ‎» Downloads ‎» autopipeline-benchmarks-main ‎» commercial-pipelines ‎» adf02_1䵨蔰᧻֠ǡ怀奀᧾   䈠則媠怀˪怀᧰䜠偎呚䵕₠呚䵕楯ﻷ鿿呚䵕呚䵕Ը赹ꤜ赹䵨觐᧻Ԑǡ怀᧰   䈠則媠怀˪怀盰᧼䜠偎呚䵕₠呚䵕桯ﻷ鿿呚䵕呚䵕Ը赹ꤜ赹⨏⥤侨⨯ᩍ䵨ၰហǡ怀᧻ǌ4 ܰ䈠則媠怀쟠˪怀퉀᧹䜠偎呚䵕₠呚䵕敯ﻷ鿿呚䵕呚䵕Ը赹ꤜ赹ᴀ荵老縛礲퍃ᴀ荵汕퍚ה蒰ꠖ碲퍃镴蜱깝疴퍃μ蒰老踅疧퍃鍨蒶쨤瘗퍃陬蜱盨퍃ᴀ荵老邚퍘ᴀ荵㝣퍚ᴀ荵礘퍑ᴀ荵老탞퍌ᴀ荵老㥬멁퍏䵨췰᧿だǡ怀졀᧿ 䈠則媠怀퐠˪怀찀᧿䜠偎呚䵕₠呚䵕捯ﻷ鿿呚䵕呚䵕Ը赹ꤜ赹file:///Users/gsun20/Desktop/projects/cactus/ChatGPTwithSQLscript/react/github-pipelines/length1_6/Target1_6_result.csv䵨䎰㏀ǡ怀㫰ǌ) ܰ䈠則媠怀웰˪怀䇀䜠偎呚䵕₠呚䵕慯ﻷ鿿呚䵕呚䵕Ը赹ꤜ赹䵨攐㜠ǡ怀廀ǌ( ܰ䈠則媠怀쒰˪怀挠䜠偎呚䵕₠呚䵕息ﻷ鿿呚䵕呚䵕Ը赹ꤜ赹䵨坐㡀ǡ怀什ǌ( ܰ䈠則媠怀쓐˪怀啠䜠偎呚䵕₠呚䵕彯ﻷ鿿呚䵕呚䵕Ը赹ꤜ赹䵨훀ꙀǠ怀텀ǌ( ܰ䈠則媠怀࿰˭怀퍠䜠偎呚䵕₠呚䵕幯ﻷ鿿呚䵕呚䵕Ը赹ꤜ赹䵨蘐㘀ǡ怀結ǌ( ܰ䈠則媠怀쏐˪怀萠䜠偎呚䵕₠呚䵕嵯ﻷ鿿呚䵕呚䵕Ը赹ꤜ赹䵨簰㳀ǡ怀獀ǌ( ܰ䈠則媠怀썐˪怀穀䜠偎呚䵕₠呚䵕屯ﻷ鿿呚䵕呚䵕Ը赹ꤜ赹䵨爠ⴀǡ怀棐ǌ( ܰ䈠則媠怀슐˪怀滀䜠偎呚䵕₠呚䵕孯ﻷ鿿呚䵕呚䵕Ը赹ꤜ赹䵨䂀㌰ǡ怀᧿4 䈠則媠怀틠˪怀᧿䜠偎呚䵕₠呚䵕婯ﻷ鿿呚䵕呚䵕Ը赹ꤜ赹샀䏀ȟ怀ā뀫幣ǶǶǶѴ蚦૝Ǫ怀䄀持浯愮灰敬渮瑡牵污慬杮慵敧d䵨踠㞰ǡ怀蜰ǌ( ܰ䈠則媠怀숀˪怀諀䜠偎呚䵕₠呚䵕塯ﻷ鿿呚䵕呚䵕Ը赹ꤜ赹䵨᧿㊠ǡ怀᧿ 䈠則媠怀티˪怀᧿䜠偎呚䵕₠呚䵕坯ﻷ鿿呚䵕呚䵕Ը赹ꤜ赹䵨冰᧾⿐ǡ怀᧻ǌ( ܰ䈠則媠怀솠˪怀緀᧴䜠偎呚䵕₠呚䵕噯ﻷ鿿呚䵕呚䵕Ը赹ꤜ赹䵨휠᧿ヰǡ怀킰᧿4  䈠則媠怀푀˪怀폀᧿䜠偎呚䵕₠呚䵕啯ﻷ鿿呚䵕呚䵕Ը赹ꤜ赹䵨᧿㈐ǡ怀᧿4  䈠則媠怀폐˪怀᧿䜠偎呚䵕₠呚䵕呯ﻷ鿿呚䵕呚䵕Ը赹ꤜ赹䵨᧿ㆀǡ怀᧿ 䈠則媠怀펀˪怀᧿䜠偎呚䵕₠呚䵕卯ﻷ鿿呚䵕呚䵕Ը赹ꤜ赹䵨죀⒐ǡ怀썀   䈠則媠怀˪怀애䜠偎呚䵕₠呚䵕副ﻷ鿿呚䵕呚䵕Ը赹ꤜ赹䵨⿀⟰ǡ怀Ẑǌ( ܰ䈠則媠怀연˪怀Ⱡ䜠偎呚䵕₠呚䵕兯ﻷ鿿呚䵕呚䵕Ը赹ꤜ赹䵨헠⢀ǡ怀큠   䈠則媠怀쵐˪怀튀䜠偎呚䵕₠呚䵕偯ﻷ鿿呚䵕呚䵕Ը赹ꤜ赹䵨❀⍰ǡ怀ᥐǌ( ܰ䈠則媠怀앰˪怀⏠䜠偎呚䵕₠呚䵕佯ﻷ鿿呚䵕呚䵕Ը赹ꤜ赹䵨⨰ǡ怀   䈠則媠怀촀˪怀䜠偎呚䵕₠呚䵕乯ﻷ鿿呚䵕呚䵕Ը赹ꤜ赹䵨ᕠǡ怀   䈠則媠怀첐˪怀䜠偎呚䵕₠呚䵕䵯ﻷ鿿呚䵕呚䵕Ը赹ꤜ赹䵨薐᧼㕰ǡ怀砰ǌ( ܰ䈠則媠怀삐˪怀ⷐ᧾䜠偎呚䵕₠呚䵕䱯ﻷ鿿呚䵕呚䵕Ը赹ꤜ赹䵨兠㓠ǡ怀ꪀ᧵ǌ( ܰ䈠則媠怀섐˪怀譀䜠偎呚䵕₠呚䵕䭯ﻷ鿿呚䵕呚䵕Ը赹ꤜ赹HID_DataTypesCurrency䖱ĀސoMacintosh HD ‎» Users ‎» gsun20 ‎» Downloads ‎» autopipeline-benchmarks-main ‎» commercial-pipelines ‎» adf02_0䖱ĀސoMacintosh HD ‎» Users ‎» gsun20 ‎» Downloads ‎» autopipeline-benchmarks-main ‎» commercial-pipelines ‎» adf02_1䵨遐Ǡ怀ǌ( ܰ䈠則媠怀ᠰ˭怀ퟠ䜠偎呚䵕₠呚䵕䝯ﻷ鿿呚䵕呚䵕Ը赹ꤜ赹䵨鵀Ǡ怀ǌ( ܰ䈠則媠怀ྐ˭怀䜠偎呚䵕₠呚䵕䙯ﻷ鿿呚䵕呚䵕Ը赹ꤜ赹䵨뮠Ǡ怀ǌ) ܰ䈠則媠怀᐀˭怀䜠偎呚䵕₠呚䵕䕯ﻷ鿿呚䵕呚䵕Ը赹ꤜ赹䵨꼰爐Ǯ怀鍰ǌ( ܰ䈠則媠怀鿐ˬ怀ꯐ䜠偎呚䵕₠呚䵕䑯ﻷ鿿呚䵕呚䵕Ը赹ꤜ赹䵨֠꺰Ǡ怀ﯠǌ@ ܰ䈠則媠怀ᝰ˭怀ɀ䜠偎呚䵕₠呚䵕䍯ﻷ鿿呚䵕呚䵕Ը赹ꤜ赹䵨ྐꨰǠ怀İǌ( ܰ䈠則媠怀ሰ˭怀ర䜠偎呚䵕₠呚䵕䉯ﻷ鿿呚䵕呚䵕Ը赹ꤜ赹䵨᪐艀Ǡ怀Ⴐǌ( ܰ䈠則媠怀ฐ˭怀ᜰ䜠偎呚䵕₠呚䵕䅯ﻷ鿿呚䵕呚䵕Ը赹ꤜ赹䵨⚐거Ǡ怀ᴐǌ( ܰ䈠則媠怀໐˭怀⌰䜠偎呚䵕₠呚䵕䁯ﻷ鿿呚䵕呚䵕Ը赹ꤜ赹᱀ҿ樘瑣牯耐䀎洫ǠĲ怀耀䀎背䀎Ę跬䀎ł꜔䀎ł䀎$䀎䀎ʖ﹨䀎븐뱸䀏벘䀏ィ䝀˭怀䝈˭怀䝈˭怀᱀ҿ樞瑣牯耐䀎洫ǠĲ怀耀䀎背䀎Ę跬䀎ł꜔䀎ł䀎$䀎䀎ʖ﹨䀎븐뱸䀏벘䀏ィ䝠˭怀䝨˭怀䝨˭怀᱀ҿ樤瑣牯耐䀎洫ǠĲ怀耀䀎背䀎Ę跬䀎ł꜔䀎ł䀎$䀎䀎ʖ﹨䀎븐뱸䀏벘䀏ィ䞀˭怀䞈˭怀䞈˭怀᱀ҿ横瑣牯耐䀎洫ǠĲ怀耀䀎背䀎Ę跬䀎ł꜔䀎ł䀎$䀎䀎ʖ﹨䀎븐뱸䀏벘䀏ィ䞠˭怀䞨˭怀䞨˭怀᱀ҿ樰瑣牯耐䀎洫ǠĲ怀耀䀎背䀎Ę跬䀎ł꜔䀎ł䀎$䀎䀎ʖ﹨䀎븐뱸䀏벘䀏ィ䟀˭怀䟈˭怀䟈˭怀᱀ҿ樶瑣牯耐䀎洫ǠĲ怀耀䀎背䀎Ę跬䀎ł꜔䀎ł䀎$䀎䀎ʖ﹨䀎븐뱸䀏벘䀏ィ䟠˭怀䟨˭怀䟨˭怀᱀ҿ樼瑣牯耐䀎洫ǠĲ怀耀䀎背䀎Ę跬䀎ł꜔䀎ł䀎$䀎䀎ʖ﹨䀎븐뱸䀏벘䀏ィ䠀˭怀䠈˭怀䠈˭怀᱀ҿ橂瑣牯耐䀎洫ǠĲ怀耀䀎背䀎Ę跬䀎ł꜔䀎ł䀎$䀎䀎ʖ﹨䀎븐뱸䀏벘䀏ィ䠠˭怀䠨˭怀䠨˭怀᱀ҿ橈瑣牯耐䀎洫ǠĲ怀耀䀎背䀎Ę跬䀎ł꜔䀎ł䀎$䀎䀎ʖ﹨䀎븐뱸䀏벘䀏ィ䡀˭怀䡈˭怀䡈˭怀᱀ҿ橎瑣牯耐䀎洫ǠĲ怀耀䀎背䀎Ę跬䀎ł꜔䀎ł䀎$䀎䀎ʖ﹨䀎븐뱸䀏벘䀏ィ䡠˭怀䡨˭怀䡨˭怀᱀ҿ橔瑣牯耐䀎洫ǠĲ怀耀䀎背䀎Ę跬䀎ł꜔䀎ł䀎$䀎䀎ʖ﹨䀎븐뱸䀏벘䀏ィ䢀˭怀䢈˭怀䢈˭怀᱀ҿ橚瑣牯耐䀎洫ǠĲ怀耀䀎背䀎Ę跬䀎ł꜔䀎ł䀎$䀎䀎ʖ﹨䀎븐뱸䀏벘䀏ィ䢠˭怀䢨˭怀䢨˭怀᱀ҿ橠瑣牯耐䀎洫ǠĲ怀耀䀎背䀎Ę跬䀎ł꜔䀎ł䀎$䀎䀎ʖ﹨䀎븐뱸䀏벘䀏ィ䣀˭怀䣈˭怀䣈˭怀᱀ҿ橦瑣牯耐䀎洫ǠĲ怀耀䀎背䀎Ę跬䀎ł꜔䀎ł䀎$䀎䀎ʖ﹨䀎븐뱸䀏벘䀏ィ䣠˭怀䣨˭怀䣨˭怀᱀ҿ橬瑣牯耐䀎洫ǠĲ怀耀䀎背䀎Ę跬䀎ł꜔䀎ł䀎$䀎䀎ʖ﹨䀎븐뱸䀏벘䀏ィ䤀˭怀䤐˭怀䤐˭怀᱀ҿ橴瑣牯耐䀎洫ǠĲ怀耀䀎背䀎Ę跬䀎ł꜔䀎ł䀎$䀎䀎ʖ﹨䀎븐뱸䀏벘䀏ィ䤠˭怀䤰˭怀䤰˭怀᱀ҿ橼瑣牯耐䀎洫ǠĲ怀耀䀎背䀎Ę跬䀎ł꜔䀎ł䀎$䀎䀎ʖ﹨䀎븐뱸䀏벘䀏ィ풠ʬ怀퓀ʬ怀퓀ʬ怀᱀ҿ檈瑣牯耐䀎洫ǠĲ怀耀䀎背䀎Ę跬䀎ł꜔䀎ł䀎$䀎䀎ʖ﹨䀎븐뱸䀏벘䀏ィ픠ʬ怀핀ʬ怀핀ʬ怀᱀ҿ檔瑣牯耐䀎洫ǠĲ怀耀䀎背䀎Ę跬䀎ł꜔䀎ł䀎$䀎䀎ʖ﹨䀎븐뱸䀏벘䀏ィ䤰˭怀䤸˭怀䤸˭怀᱀ҿ檚瑣牯耐䀎洫ǠĲ怀耀䀎背䀎Ę跬䀎ł꜔䀎ł䀎$䀎䀎ʖ﹨䀎븐뱸䀏벘䀏ィ䥀˭怀䥐˭怀䥐˭怀᱀ҿ檢瑣牯耐䀎洫ǠĲ怀耀䀎背䀎Ę跬䀎ł꜔䀎ł䀎$䀎䀎ʖ﹨䀎븐뱸䀏벘䀏ィ瞀͂怀瞸͂怀瞸͂怀᱀ҿ檴瑣牯耐䀎洫ǠĲ怀耀䀎背䀎Ę跬䀎ł꜔䀎ł䀎$䀎䀎ʖ﹨䀎븐뱸䀏벘䀏ィ홀ʬ怀홠ʬ怀홠ʬ怀᱀ҿ櫀瑣牯耐䀎洫ǠĲ怀耀䀎背䀎Ę跬䀎ł꜔䀎ł䀎$䀎䀎ʖ﹨䀎븐뱸䀏벘䀏ィ䥠˭怀䥨˭怀䥨˭怀᱀ҿ櫆瑣牯耐䀎洫ǠĲ怀耀䀎背䀎Ę跬䀎ł꜔䀎ł䀎$䀎䀎ʖ﹨䀎븐뱸䀏벘䀏ィ䥰˭怀䥸˭怀䥸˭怀᱀ҿ櫌瑣牯耐䀎洫ǠĲ怀耀䀎背䀎Ę跬䀎ł꜔䀎ł䀎$䀎䀎ʖ﹨䀎븐뱸䀏벘䀏ィ䦐˭怀䦘˭怀䦘˭怀᱀ҿ櫒瑣牯耐䀎洫ǠĲ怀耀䀎背䀎Ę跬䀎ł꜔䀎ł䀎$䀎䀎ʖ﹨䀎븐뱸䀏벘䀏ィ䦰˭怀䦸˭怀䦸˭怀᱀ҿ櫘瑣牯耐䀎洫ǠĲ怀耀䀎背䀎Ę跬䀎ł꜔䀎ł䀎$䀎䀎ʖ﹨䀎븐뱸䀏벘䀏ィ䧐˭怀䧘˭怀䧘˭怀᱀ҿ櫞瑣牯耐䀎洫ǠĲ怀耀䀎背䀎Ę跬䀎ł꜔䀎ł䀎$䀎䀎ʖ﹨䀎븐뱸䀏벘䀏ィ훀ʬ怀훠ʬ怀훠ʬ怀᱀ҿ櫪瑣牯耐䀎洫ǠĲ怀耀䀎背䀎Ę跬䀎ł꜔䀎ł䀎$䀎䀎ʖ﹨䀎븐뱸䀏벘䀏ィᒠϠ怀ᓈϠ怀ᓈϠ怀᱀ҿ櫸瑣牯耐䀎洫ǠĲ怀耀䀎背䀎Ę跬䀎ł꜔䀎ł䀎$䀎䀎ʖ﹨䀎븐뱸䀏벘䀏ィ힠ʬ怀ힸʬ怀ힸʬ怀㍸п㡐Уʹ怀연ʹ怀鬐怀㍸п蒐̮怀覐̮怀虀ǐ怀蛐̮怀困ϋ怀茐̮怀鰐̮怀䵨쉰ᬙ蔐ǥ怀颰ᬙǌ( ܰ䈠則媠怀䡰˭怀㔐ᬔ䜠偎呚䵕₠呚䵕⁯ﻷ鿿呚䵕呚䵕Ը赹ꤜ赹䖱ĀސoTwentieth Century™ is a trademark of The Monotype Corporation which may be registered in certain jurisdictions.ៀʬ怀ꛀÒ怀癳g̀䳐˭怀䳘˭怀䳘˭怀Ĉ怀Ĉ怀䀴䀴䀴䀴䖱ĀސmMacintosh HD ‎» Users ‎» gsun20 ‎» Downloads ‎» autopipeline-benchmarks-main ‎» commercial-pipelines ‎» a06_0kcountries/regions or cities, like &quot;London&quot;, to get current world statistics like population, area, and more邐÷怀ô怀鿠ô怀릀×怀剰Â怀숰Í怀쨀õ怀笐÷怀䁐Ë怀睐ñ怀ŀô怀᮰菃老ᐞ퍃蹼莾老쉣碲퍃轈莾老똧疧퍃ф莿老礙퍃਌莿⸀꼸퍃ݤ莿䵲섖퍃ࢸ莿餒퍃Ɉ莿老桫ﶹ퍃జ莿老驔뢉퍃鉜莾老畱뉪퍃莾老≝쭌퍃׬莿老쒭퍃鸞莾老㹉퍃Bing䵨ð渤Ƿ怀뫐暘   䈠則媠怀읐˩怀㗀繁䜠偎呚䵕₠呚䵕ᝯﻷ鿿呚䵕呚䵕Ը赹ꤜ赹䖱ĀސoMacintosh HD ‎» Users ‎» gsun20 ‎» Downloads ‎» autopipeline-benchmarks-main ‎» commercial-pipelines ‎» adf02_1xConvert cells with countries/regions or cities, like &quot;London&quot;, to get current world statistics like population and more.MapConvert to Geography맔Õག꒐ϧ름Õㆱ퐋볼Õ老ꡩ턓ϨⳤÝ셦疴퍃볤Õ䁖톉Ϩ숤Õ댗툙Ϩ쇼Õ럺Ϩ삀Õ老猛텊ϨߘǸ昊ﯜϨ먠Õ䰈㿌Ϩ뻔Õⴽ퇍Ϩ싘Õꍰ렏Ϩ⣸ﭺ鿿⩸ｬ鿿嶐딠丰￼⿘ﷱ鿿륈﹘鿿셨ﺌ鿿诀◽�퇰톀뾈ᮡ�뎘丰￼䖱ĀސmMacintosh HD ‎» Users ‎» gsun20 ‎» Downloads ‎» autopipeline-benchmarks-main ‎» commercial-pipelines ‎» a05_1⦌઀齳붒퍃ᱴ઀耂⨲﫣헎㧜荵ᕩ疴퍃⠌઀ﴆ헎ᴴ઀䝜헎⾜઀␕蝛퍃㧌蒱老荴낫퍃㤨蒱老谽耾퍇♤蒰䥫傮퍅䖱ĀސmMacintosh HD ‎» Users ‎» gsun20 ‎» Downloads ‎» autopipeline-benchmarks-main ‎» commercial-pipelines ‎» a04_0䖱ĀސmMacintosh HD ‎» Users ‎» gsun20 ‎» Downloads ‎» autopipeline-benchmarks-main ‎» commercial-pipelines ‎» a04_1䖱ĀސmMacintosh HD ‎» Users ‎» gsun20 ‎» Downloads ‎» autopipeline-benchmarks-main ‎» commercial-pipelines ‎» a06_0获老큕Ｐ퍃﮼获老汣볁퍃㒬莺老奏땳퍃﹬获밞轕퍃ࢠ莸긋옙퍃获老≟뛷퍃到莺鸯ﳘ퍃痐荵老霒瞉퍃获老뚋퍃交莸ꭐꢬ퍃䶸莸老땻퍃ﹴ获老锉댟퍃䖱ĀސmMacintosh HD ‎» Users ‎» gsun20 ‎» Downloads ‎» autopipeline-benchmarks-main ‎» commercial-pipelines ‎» a06_1욨Õ老荃탰ϨÕ쭉疴퍃쓤Õ옹쫔ϧ쓈Õ≰ധϧ왘Õ老푌Ϧ쏴Õ卌砚퍃썜Õ⤸﫛ϧ쏬Õ큢ូϧ예Õ老쌓ઍϧ䵨羐櫏ǵ怀矐櫋   䈠則媠怀꟰˰怀變櫃䜠偎呚䵕₠呚䵕࡯ﻷ鿿呚䵕呚䵕Ը赹ꤜ赹ꅴ蟌老᡿ﻰ퍞ꊘ蟌ᵜ戢퍞뗠蟐笳疴퍃ꖬ蟌ꜳ剪퍟ꍜ蟌老ѓ唹퍟荵老阙碹퍃ई蟍흩쟚퍇ꅀ蟌䬨㚞퍟ꎄ蟌老땆⫼퍟꓌蟌핒⬾퍟烘蟍쵳뎞퍞ꘀ蟌騟劏퍟뷬證퍩뙐證ᘑ⿳퍩땤證☜咄퍩댐證老뤖韦퍩봬證篖퍩뚸證㼜竷퍩譊눀귺퍩뛐證␾헟퍩뱐證蘢箿퍩䖱ĀސmMacintosh HD ‎» Users ‎» gsun20 ‎» Downloads ‎» autopipeline-benchmarks-main ‎» commercial-pipelines ‎» a05_1뮴蝿老睘崣퍛녔蛠⡇ᖣ퍚ﻐ蛨老夯ᔤ퍚竼荵ፅ碇퍃挤Æ阑ཙϧ넼蛠老딚ᕉ퍚뮨蝿啽㰊퍏녈蛠老瀪ᓻ퍚ᡰ螀茮ۭ퍚蛛老敏杮퍛灀蛡霑魤퍏潘蛡걡鮂퍏녔蛠ḷᖣ퍚뮴蝿老䵟崣퍛ﻐ蛨老扁ᔤ퍚竼荵老踧碇퍃佈蛤⯨퍓넼蛠老ꀸᕉ퍚뮨蝿老Ļ㰊퍏녈蛠老䡮ᓻ퍚灌蛡老㥸퍏ᡰ螀老㍊ۭ퍚蛛杮퍛ꄰჇﵵ먡퍗ᕔ菎넢遀퍃횈莼餾슑퍃ꉴ莺鄲퍃ꕼ莺ቔꌓ퍃ᭈ莼老Ⰳ퍃莺老㴗ꀊ퍃좤莺퍃뭼莺荫瞉퍃눠莺老쭔쇩퍃뀤莺쌜鞺퍃ꈠ莺⬨込퍃✼莿老꼼駯퍃ꙴ莺ज़衰퍃䵨ⷠ貃솰ǳ怀አ貃   䈠則媠怀ឰ˴怀⻐貇䜠偎呚䵕₠呚䵕ůﻷ鿿呚䵕呚䵕Ը赹ꤜ赹䖱ĀސmMacintosh HD ‎» Users ‎» gsun20 ‎» Downloads ‎» autopipeline-benchmarks-main ‎» commercial-pipelines ‎» a04_1䵨ꐠᑧ頰Ƿ怀㛠   䈠則媠怀뗐˭怀䣠䜠偎呚䵕₠呚䵕ｯﻶ鿿呚䵕呚䵕Ը赹ꤜ赹䵨솠繀鞠Ǵ怀訐繈   䈠則媠怀㱀˩怀洐測䜠偎呚䵕₠呚䵕﹯ﻶ鿿呚䵕呚䵕Ը赹ꤜ赹䵨Ꝑ銐Ƿ怀폐   䈠則媠怀㻰˯怀遰䜠偎呚䵕₠呚䵕ﵯﻶ鿿呚䵕呚䵕Ը赹ꤜ赹뮴蝿老줈崣퍛㴨荵腱瘣퍃녔蛠老섂ᖣ퍚ﻐ蛨老党ᔤ퍚竼荵老䠱碇퍃넼蛠꜏ᕉ퍚뮨蝿老른㰊퍏녈蛠ᓻ퍚ᡰ螀ۭ퍚蛛老섄杮퍛錀贆뽩癑퍲胼荵ꑊ瞡퍃的荵똜瘣퍃錘贆ꅿ퍱贐荵뜧瘵퍃鋰贆老쉆燚퍲掄荵吘眊퍃鋸贆老尳ோ퍳錐贆쬦蘜퍲錈贆老﬛౞퍳Ԁ筸⯯0䵨剀鹠Ƿ怀奐掝   䈠則媠怀㯀˯怀髐䜠偎呚䵕₠呚䵕說ﻶ鿿呚䵕呚䵕Ը赹ꤜ赹用ӎ老逸먡퍗灀蛡老褍魤퍏潘蛡老ﱻ鮂퍏녔蛠琴ᖣ퍚ﻐ蛨老䀱ᔤ퍚竼荵老䭃碇퍃佈蛤老需⯨퍓넼蛠老ْᕉ퍚뮨蝿老穭㰊퍏녈蛠老ꔏᓻ퍚灌蛡老젟퍏ᡰ螀⹋ۭ퍚蛛老䬨杮퍛뮴蝿Ԁ崣퍛䵨베掖肐Ƿ怀   䈠則媠怀벐ˢ怀ꖰ䜠偎呚䵕₠呚䵕ﻶ鿿呚䵕呚䵕Ը赹ꤜ赹䵨蒀Ƿ怀뾠   䈠則媠怀ˤ怀ሰ䜠偎呚䵕₠呚䵕ﻶ鿿呚䵕呚䵕Ը赹ꤜ赹Author䵨掑酰Ƿ怀   䈠則媠怀䡠ˡ怀䜠偎呚䵕₠呚䵕ﻶ鿿呚䵕呚䵕Ը赹ꤜ赹&#10;Failed-syntaxowledgeet5!B$1:AA$613,25,FALSE)ഀ筸⯯߻Author쓨荵老刜瞲퍃딐荵老됲眅퍃鍄荵老윭瞉퍃폼荵眚퍃ƈ菀癭퍃运贆孨᫠퍆胼荵老礑瞡퍃迀贆老虍꼒퍲的荵〩瘣퍃赘贆老栿疴퍃还贆老襕鰈퍆迨贆老ፋ这퍆貴贆老镙眊퍃述贆ᴌᏎ퍄迠贆老⍉퍅迈贆⼺ᗯ퍳怀怀怀婢怀怀怀怀怀怀怀怀怀怀怀횀怀힠怀툀怀胼荵퀿瞡퍃臰贆老퀃틢퍲的荵瘣퍃萤贆老။疴퍃贐荵瘵퍃螀贆老퐐羘퍲苀贆꘡瞉퍃蝠贆老蜄砚퍃蝰贆꽰퍅࿼趨ꦰ퍨碬趪老䄽疴퍃隆趧큦眊퍃稠趪老缉උ퍴﨨趧睦ᭊ퍜亐蒱䙘辋퍅ᑀ趨老響퍃㍸п㡐У胐ɣ怀뇐ɣ怀鹰l怀㍸п흐̵怀훐̵怀虀ǐ怀ퟐ̵怀ꑰϚ怀̵怀힐̵怀䵨쫀냰Ƿ怀좠   䈠則媠怀薠˷怀흰䜠偎呚䵕₠呚䵕ﻶ鿿呚䵕呚䵕Ը赹ꤜ赹㍸п螀М@㍸п!㍸п!㍸п!㍸п!㍸п䵨ﱀ繈⺰Ƿ怀＀暔   䈠則媠怀ݰ˫怀繈䜠偎呚䵕₠呚䵕ﻶ鿿呚䵕呚䵕Ը赹ꤜ赹䵨鶠殪꽀Ƿ怀연殪   䈠則媠怀㯠˩怀鮰殪䜠偎呚䵕₠呚䵕ﻶ鿿呚䵕呚䵕Ը赹ꤜ赹䵨靠渮Ƿ怀ᷰ暑   䈠則媠怀ⷠ˪怀镰渮䜠偎呚䵕₠呚䵕ﻶ鿿呚䵕呚䵕Ը赹ꤜ赹䵨᭐漎඀ǲ怀ᗐ漎   䈠則媠怀㬐˲怀៰漎䜠偎呚䵕₠呚䵕ﻶ鿿呚䵕呚䵕Ը赹ꤜ赹䵨薠Ƿ怀맠   䈠則媠怀涰ˤ怀᧡䜠偎呚䵕₠呚䵕ﻶ鿿呚䵕呚䵕Ը赹ꤜ赹䵨弐᧠黰Ƿ怀貐   䈠則媠怀ꆀ˭怀餠᧭䜠偎呚䵕₠呚䵕ﻶ鿿呚䵕呚䵕Ը赹ꤜ赹е 4　⨗еྠ䵨깐艀Ƿ怀鑐   䈠則媠怀淰ˤ怀㭀掗䜠偎呚䵕₠呚䵕ﻶ鿿呚䵕呚䵕Ը赹ꤜ赹䵨ꄰǷ怀児ᑠ   䈠則媠怀꬐˭怀䌠ᑠ䜠偎呚䵕₠呚䵕ﻶ鿿呚䵕呚䵕Ը赹ꤜ赹䵨掝ꀐǷ怀   䈠則媠怀㇐˯怀䑠殠䜠偎呚䵕₠呚䵕ﻶ鿿呚䵕呚䵕Ը赹ꤜ赹㍸пꈈТꮧ㊪놻㲰놻㲰⇐ĉ怀㍸п㍸п䵨嬠掙鈀Ƿ怀嶰掞   䈠則媠怀浀ˤ怀굠䜠偎呚䵕₠呚䵕ﻶ鿿呚䵕呚䵕Ը赹ꤜ赹25et5!B$1:AA$613䵨渨Ƿ怀泐   䈠則媠怀ޠ˪怀᪐暑䜠偎呚䵕₠呚䵕ﻶ鿿呚䵕呚䵕Ը赹ꤜ赹䵨墀᧠遐Ƿ怀䚠掙   䈠則媠怀춐˭怀筠掗䜠偎呚䵕₠呚䵕ﻶ鿿呚䵕呚䵕Ը赹ꤜ赹䵨㍰貉ǡ怀ⷰ貉   䈠則媠怀㒠˯怀【貉䜠偎呚䵕₠呚䵕ﻶ鿿呚䵕呚䵕Ը赹ꤜ赹䵨꟰Ƿ怀鏰   䈠則媠怀饰˷怀Ꮀ䜠偎呚䵕₠呚䵕ﻶ鿿呚䵕呚䵕Ը赹ꤜ赹䵨掗ꐀǷ怀휰   䈠則媠怀ˮ怀ꌠ䜠偎呚䵕₠呚䵕흯ﻶ鿿呚䵕呚䵕Ը赹ꤜ赹䵨㉠掗镠Ƿ怀껐   䈠則媠怀뿰˭怀㛐掗䜠偎呚䵕₠呚䵕홯ﻶ鿿呚䵕呚䵕Ը赹ꤜ赹䵨掕ꍰǷ怀쀰掛   䈠則媠怀ƀ˧怀䜠偎呚䵕₠呚䵕핯ﻶ鿿呚䵕呚䵕Ը赹ꤜ赹ៀ䵀ʽ怀䀀Ð怀癳g̀ﾐ˴怀ﾘ˴怀ﾘ˴怀⭸ĉ怀⮐ĉ怀䀴䀴䀴䀴䵨龀Ƿ怀䊰   䈠則媠怀᷐˯怀澠䜠偎呚䵕₠呚䵕퍯ﻶ鿿呚䵕呚䵕Ը赹ꤜ赹㍸п饐Є끘⩐끠ʷ怀㍸п鸸ψ净ࣗĀ麚ψ净ࣗĀ㍸п&#10;禐Ó怀㍸п䵨贠鞠Ƿ怀雠   䈠則媠怀裐˭怀迀掖䜠偎呚䵕₠呚䵕텯ﻶ鿿呚䵕呚䵕Ը赹ꤜ赹⼀筸⯯@䵨渮Ƿ怀袰   䈠則媠怀ॐ˪怀晐䜠偎呚䵕₠呚䵕콯ﻶ鿿呚䵕呚䵕Ը赹ꤜ赹䵨ी譀Ƿ怀᭠᧭   䈠則媠怀꽰˷怀ര䜠偎呚䵕₠呚䵕칯ﻶ鿿呚䵕呚䵕Ը赹ꤜ赹䵨፰ঐǷ怀ꝰ繆   䈠則媠怀扰˴怀ቀ渭䜠偎呚䵕₠呚䵕쵯ﻶ鿿呚䵕呚䵕Ը赹ꤜ赹᧬蛜老畚鲠퍈ᯠ蛜老⩞뵒퍏ᩤ蛜老摞僣퍎길蛴老茡෶퍐韠蒱晙ᔗ퍄Ӵ蛡¨퍘帴蛩ȏ儊퍎灌蛟老ࠃ਋퍍蒮먪씠퍉澔蛟老㌛㈿퍏嶼蛩걞퍉掴蛻⩠퍙掼蛻老ȶϡ퍞掬蛻뼴⬤퍙ᫌ螀權疴퍃錜荵老㵢癉퍃掄荵老艙眊퍃雴蜃老ὺ癎퍃揄蛻故̮퍞掤蛻老蝛퍜요蛢老％碲퍃牨蛣煀迴퍉ɤ蛿뼹疴퍃욤蛢⭙疧퍃䁬蝜㜗퍒ɘ蛿老昈粨퍄쁐蛢老ᐨ眊퍃큐蛢老嬒ﻋ퍃욌蛢老൫逝퍉䵨႐鑀Ƿ怀쉰殠   䈠則媠怀櫐ˤ怀愠渻䜠偎呚䵕₠呚䵕졯ﻶ鿿呚䵕呚䵕Ը赹ꤜ赹䵨婢掚覐Ƿ怀㵀   䈠則媠怀祀ˠ怀ᴀ䜠偎呚䵕₠呚䵕읯ﻶ鿿呚䵕呚䵕Ը赹ꤜ赹5䵨匀ꨰǷ怀竐   䈠則媠怀괠˷怀럠䜠偎呚䵕₠呚䵕앯ﻶ鿿呚䵕呚䵕Ը赹ꤜ赹㏈ꪨ丳￼묘ﷵ鿿ꩰ丳￼迀죈꨸丳￼邰좨轐䵨嚐殠耀Ƿ怀߰   䈠則媠怀퍰˥怀䜠偎呚䵕₠呚䵕썯ﻶ鿿呚䵕呚䵕Ը赹ꤜ赹䵨㷀替ǲ怀㡀替   䈠則媠怀䈀˵怀㩠替䜠偎呚䵕₠呚䵕쉯ﻶ鿿呚䵕呚䵕Ը赹ꤜ赹䵨霰菰Ƿ怀䡐   䈠則媠怀馀˦怀栠䜠偎呚䵕₠呚䵕셯ﻶ鿿呚䵕呚䵕Ը赹ꤜ赹㼀筸⯯䵨믐繁蒀Ƕ怀늀港   䈠則媠怀颐ˮ怀⢀䜠偎呚䵕₠呚䵕뽯ﻶ鿿呚䵕呚䵕Ը赹ꤜ赹ꈤ蜷老ਔꛑ퍘ꈴ蜷峂퍗ꅴ蜷썵柲퍛ꎜ蜷老㬤玤퍛ꎌ蜷老樂櫄퍘ꆄ蜷橫挈퍔ꈔ蜷老率暻퍘꣈蜷筗멋퍝Ꞩ蜷몁퍝麰蜷䞽퍘ꁄ蜷老㘟弢퍛꒰蜷됪 퍘䵨볐渡ᾀǶ怀띐渡   䈠則媠怀굠˴怀륰渡䜠偎呚䵕₠呚䵕뵯ﻶ鿿呚䵕呚䵕Ը赹ꤜ赹䵨꾰Ƿ怀䪰暑   䈠則媠怀˨怀䜠偎呚䵕₠呚䵕뱯ﻶ鿿呚䵕呚䵕Ը赹ꤜ赹䵨䌐掗霐Ƿ怀撰   䈠則媠怀배˭怀㟐掛䜠偎呚䵕₠呚䵕뭯ﻶ鿿呚䵕呚䵕Ը赹ꤜ赹䵨쇐驰Ƿ怀憀   䈠則媠怀帠˭怀ㇰ䜠偎呚䵕₠呚䵕멯ﻶ鿿呚䵕呚䵕Ը赹ꤜ赹䵨捠繅ꛐǴ怀詠渮   䈠則媠怀ᜐ˷怀港䜠偎呚䵕₠呚䵕륯ﻶ鿿呚䵕呚䵕Ը赹ꤜ赹ᴀ荵렏쭀͙怀쫄荵老ꑌ痁퍃㴨荵伴瘣퍃规荵老笄硳퍃딐荵老친眅퍃臠荵老䅺磨퍃竼荵ਨ碇퍃蒮老ꩡ퍇핤蛛老琺퍗ᴀ荵老㡷隌퍇蒮老笍膬퍉鏄荵老∖碞퍃䵨耀Ƿ怀潀渠   䈠則媠怀슰˨怀縐䜠偎呚䵕₠呚䵕띯ﻶ鿿呚䵕呚䵕Ը赹ꤜ赹礀͘怀ὀͫ怀㇀Ι怀䶀ͮ怀簀̠怀捀͙怀䵨娠温꒐Ǵ怀だ   䈠則媠怀Ⱀ˷怀ᶠ䜠偎呚䵕₠呚䵕땯ﻶ鿿呚䵕呚䵕Ը赹ꤜ赹䵨ｐ繀ꙀǴ怀仠港   䈠則媠怀඀˷怀쨐繇䜠偎呚䵕₠呚䵕둯ﻶ鿿呚䵕呚䵕Ը赹ꤜ赹蜣老㌎⋠퍍鿌蜀줒瓱퍙蛽硼쭥퍍蜣老鑳ℓ퍏橬荵老텟眅퍃⫬蛴ӥ퍍痐荵Ꙃ瞉퍃✘蛴婲虹퍃⠠蛴턞汫퍓῔蛜老걱賬퍑蜉ᕖᅎ퍛䵨㴰渮ǩ怀☰渮   䈠則媠怀줰˴怀㧐渮䜠偎呚䵕₠呚䵕뉯ﻶ鿿呚䵕呚䵕Ը赹ꤜ赹䵨൰槭㮠ǰ怀܀槭   䈠則媠怀ꈀ˩怀ਐ槭䜠偎呚䵕₠呚䵕녯ﻶ鿿呚䵕呚䵕Ը赹ꤜ赹䵨ዠ渮싐ǩ怀渭   䈠則媠怀준˴怀ྀ渮䜠偎呚䵕₠呚䵕끯ﻶ鿿呚䵕呚䵕Ը赹ꤜ赹䵨㻐繄藺Ƿ怀㥐繄   䈠則媠怀絀˥怀㭰繄䜠偎呚䵕₠呚䵕꽯ﻶ鿿呚䵕呚䵕Ը赹ꤜ赹䵨曻ذǵ怀曻   䈠則媠怀ᴰ˵怀曻䜠偎呚䵕₠呚䵕깯ﻶ鿿呚䵕呚䵕Ը赹ꤜ赹䵨髠渡ਠǶ怀渧   䈠則媠怀뭐˴怀譐渧䜠偎呚䵕₠呚䵕굯ﻶ鿿呚䵕呚䵕Ը赹ꤜ赹琠謰ᑬⳐ஡ἰ᧵䧐ጂ⁀掖䵨풠渧ᅰǶ怀켠渧   䈠則媠怀뎐˴怀텀渧䜠偎呚䵕₠呚䵕꭯ﻶ鿿呚䵕呚䵕Ը赹ꤜ赹䵨헐曹ːǵ怀큐曹   䈠則媠怀⛰˵怀퉰曹䜠偎呚䵕₠呚䵕ꩯﻶ鿿呚䵕呚䵕Ը赹ꤜ赹ᴀ荵老ꤠᧀ퍄枠萞老뀝뺑퍄曘萞老ṇ網퍅仐萙老Ｒ疴퍃猄萞堦읨퍃榌萞老繕໇퍅擌萞ፅ睈퍄梀萞老ꉌ㧈퍅猔萞老씏蝛퍃棐萞老꜐㦿퍅챰蛝老ᕱ퍚鶰蛝⠉葃퍜껄蛲捕疴퍃ஔ蛲汆ﲪ퍙뇰蛝㍐ᳪ퍘譔蛝╚퍄讜蛝老퍙즼蛝í퍞싈蛝老Ꙗើ퍛눌蛝衞擾퍇䵨۠繄﬐Ƿ怀퀰繁   䈠則媠怀堰˩怀΀繄䜠偎呚䵕₠呚䵕ꝯﻶ鿿呚䵕呚䵕Ը赹ꤜ赹䵨⃠繄ﮠǷ怀᭠繄   䈠則媠怀딐ˢ怀ᶀ繄䜠偎呚䵕₠呚䵕꙯ﻶ鿿呚䵕呚䵕Ը赹ꤜ赹䵨אּ渦‐Ƕ怀渦   䈠則媠怀뚠˴怀渦䜠偎呚䵕₠呚䵕ꕯﻶ鿿呚䵕呚䵕Ը赹ꤜ赹䵨儀渡ݐǶ怀䮀渡   䈠則媠怀븰˴怀䶠渡䜠偎呚䵕₠呚䵕ꑯﻶ鿿呚䵕呚䵕Ը赹ꤜ赹䵨渭䝐ǩ怀渭   䈠則媠怀˴怀渭䜠偎呚䵕₠呚䵕ꍯﻶ鿿呚䵕呚䵕Ը赹ꤜ赹䵨ቐ┠Ǧ怀됀   䈠則媠怀䚀˪怀侀温䜠偎呚䵕₠呚䵕ꉯﻶ鿿呚䵕呚䵕Ը赹ꤜ赹䵨䙐綿Ǵ怀ؠ綺   䈠則媠怀䫐˲怀䋰綿䜠偎呚䵕₠呚䵕ꅯﻶ鿿呚䵕呚䵕Ը赹ꤜ赹䵨펰港Ƿ怀趐渮   䈠則媠怀꿀˴怀グ䜠偎呚䵕₠呚䵕ꁯﻶ鿿呚䵕呚䵕Ը赹ꤜ赹䵨蠐繂Ƿ怀씰繀   䈠則媠怀폐˫怀ꏀ繀䜠偎呚䵕₠呚䵕齯ﻶ鿿呚䵕呚䵕Ը赹ꤜ赹䵨䁰놀ǩ怀龠   䈠則媠怀ݐˣ怀뻀䜠偎呚䵕₠呚䵕鹯ﻶ鿿呚䵕呚䵕Ը赹ꤜ赹䵨結港Ƿ怀㗠港   䈠則媠怀됰˴怀笠䜠偎呚䵕₠呚䵕鵯ﻶ鿿呚䵕呚䵕Ը赹ꤜ赹䵨懀渤ꔠǴ怀ᾐ   䈠則媠怀㣐˷怀꾰䜠偎呚䵕₠呚䵕鱯ﻶ鿿呚䵕呚䵕Ը赹ꤜ赹䵨錠渮Ƿ怀඀   䈠則媠怀냐˴怀ᩀ䜠偎呚䵕₠呚䵕魯ﻶ鿿呚䵕呚䵕Ը赹ꤜ赹䵨Ð港Ƿ怀ﭐ渮   䈠則媠怀뗀˭怀ﵰ渮䜠偎呚䵕₠呚䵕驯ﻶ鿿呚䵕呚䵕Ը赹ꤜ赹䵨⥐繈ꝠǴ怀港   䈠則媠怀ې˷怀ﭐ港䜠偎呚䵕₠呚䵕饯ﻶ鿿呚䵕呚䵕Ը赹ꤜ赹䵨㯠繃쀀Ƿ怀쮠繀   䈠則媠怀듀˴怀탠䜠偎呚䵕₠呚䵕顯ﻶ鿿呚䵕呚䵕Ը赹ꤜ赹䵨둀繁Ƿ怀繀   䈠則媠怀ꮠ˴怀릐䜠偎呚䵕₠呚䵕靯ﻶ鿿呚䵕呚䵕Ը赹ꤜ赹䵨몀Ƿ怀崐   䈠則媠怀˴怀᳀港䜠偎呚䵕₠呚䵕陯ﻶ鿿呚䵕呚䵕Ը赹ꤜ赹䵨港ꖰǴ怀ꉐ   䈠則媠怀ീ˷怀猀䜠偎呚䵕₠呚䵕镯ﻶ鿿呚䵕呚䵕Ը赹ꤜ赹䵨ඐǷ怀짐繁   䈠則媠怀˴怀怰繃䜠偎呚䵕₠呚䵕鑯ﻶ鿿呚䵕呚䵕Ը赹ꤜ赹䵨买渮ǩ怀䣰渮   䈠則媠怀˴怀䬐渮䜠偎呚䵕₠呚䵕鍯ﻶ鿿呚䵕呚䵕Ը赹ꤜ赹䵨扰渮ǩ怀峰渮   䈠則媠怀˴怀弐渮䜠偎呚䵕₠呚䵕鉯ﻶ鿿呚䵕呚䵕Ը赹ꤜ赹䵨Ɛ渮ǩ怀ﰐ渭   䈠則媠怀˴怀︰渭䜠偎呚䵕₠呚䵕酯ﻶ鿿呚䵕呚䵕Ը赹ꤜ赹䵨䌰港Ƿ怀攰港   䈠則媠怀뷠˭怀材港䜠偎呚䵕₠呚䵕遯ﻶ鿿呚䵕呚䵕Ը赹ꤜ赹ϭŚƚŝǁ;ƉŵWǇĂƌĐϮĚŶƵŽZǆĞKD'zůŐͺ/^΁ď͕ƐΖ΀Ϳdǀǌ͘Ƌϳ&amp;ϲŬϬϱĨ&gt;ϯs&lt;ͬhE,͊ΎхͲϴ䵨逰繀Ƿ怀紀繀   䈠則媠怀론˴怀ﲀ䜠偎呚䵕₠呚䵕蹯ﻶ鿿呚䵕呚䵕Ը赹ꤜ赹䵨⇰渮ǩ怀ᱰ渮   䈠則媠怀˴怀Ẑ渮䜠偎呚䵕₠呚䵕赯ﻶ鿿呚䵕呚䵕Ը赹ꤜ赹䵨䱀繄Ƿ怀䛀繄   䈠則媠怀˩怀䣠繄䜠偎呚䵕₠呚䵕豯ﻶ鿿呚䵕呚䵕Ը赹ꤜ赹䵨판渭だǩ怀牀渠   䈠則媠怀˴怀쾰渭䜠偎呚䵕₠呚䵕譯ﻶ鿿呚䵕呚䵕Ը赹ꤜ赹⦀ހ산耀㿰㿰䁆က삇䊐䀀䊐䀀㿰㿰䁆က삇䀀䀀䁆က삇⭀Δ怀鳐ᗀΔ怀￼䵨譀槣ᩰǰ怀藀槣   䈠則媠怀᱀˲怀蟠槣䜠偎呚䵕₠呚䵕襯ﻶ鿿呚䵕呚䵕Ը赹ꤜ赹䵨渭ǩ怀渭   䈠則媠怀퐐˴怀渭䜠偎呚䵕₠呚䵕衯ﻶ鿿呚䵕呚䵕Ը赹ꤜ赹䵨䗰渮Ƿ怀Ð   䈠則媠怀ᩀ˫怀얐䜠偎呚䵕₠呚䵕蝯ﻶ鿿呚䵕呚䵕Ը赹ꤜ赹䵨뜀繂幠Ǩ怀弐繂   䈠則媠怀ﷰ˶怀愰繂䜠偎呚䵕₠呚䵕虯ﻶ鿿呚䵕呚䵕Ը赹ꤜ赹䵨걐渡ưǶ怀ꊠ渡   䈠則媠怀鞰˴怀꣰渡䜠偎呚䵕₠呚䵕蕯ﻶ鿿呚䵕呚䵕Ը赹ꤜ赹䵨港쒀Ƕ怀Ǡ渭   䈠則媠怀䫰ˠ怀졐䜠偎呚䵕₠呚䵕葯ﻶ鿿呚䵕呚䵕Ը赹ꤜ赹䵨毰測변ǩ怀봰暘   䈠則媠怀ˠ怀㸀䜠偎呚䵕₠呚䵕药ﻶ鿿呚䵕呚䵕Ը赹ꤜ赹䵨嵰渠撐Ƕ怀埰渠   䈠則媠怀˴怀娐渠䜠偎呚䵕₠呚䵕良ﻶ鿿呚䵕呚䵕Ը赹ꤜ赹䵨技繁Ƿ怀럀繃   䈠則媠怀˨怀悐繁䜠偎呚䵕₠呚䵕腯ﻶ鿿呚䵕呚䵕Ը赹ꤜ赹䵨ꪀ繇꟰Ǵ怀혐繈   䈠則媠怀Ꭰ˷怀溠港䜠偎呚䵕₠呚䵕聯ﻶ鿿呚䵕呚䵕Ը赹ꤜ赹䵨Ự᧺䆰ǲ怀鞀᧵   䈠則媠怀돠ˤ怀ᴀ᧺䜠偎呚䵕₠呚䵕罯ﻶ鿿呚䵕呚䵕Ը赹ꤜ赹䵨䩠ᬞ嗰Ǫ怀ᬝ   䈠則媠怀㋰˵怀駰搀䜠偎呚䵕₠呚䵕繯ﻶ鿿呚䵕呚䵕Ը赹ꤜ赹Macintosh HD ‎» Users ‎» gsun20 ‎» Desktop ‎» projects ‎» autopipeline-benchmarks-main ‎» github-pipelines ‎» length9_41䵨䕠᧾劐ǲ怀⒐᧻   䈠則媠怀ꍠˤ怀袠᧾䜠偎呚䵕₠呚䵕籯ﻶ鿿呚䵕呚䵕Ը赹ꤜ赹9Microsoft.Office.Excel.UpdateConnectionOnlyQueryOnRefreshGeneric蘀筸⯯ ㍸п㡐У⃐ʹ怀ᥰʹ怀귐怀㍸п敐ʹ怀桐ʹ怀虀ǐ怀旐ʹ怀ઐϧ怀暐ʹ怀擐ʹ怀蠀筸⯯܌赆老挝䤠퍳赅ﴽਂ퍛ꐘ赅老㕣牲퍳Մ赆老矜퍳ಸ赆砷睚퍳赅꡺䍛퍳ꉬ赅㜲䤋퍳棄赧셭纜퍳Ȉ赆ⅷ睾퍳䵨靐槣ᠰǰ怀釐槣   䈠則媠怀Ⲡ˲怀鏰槣䜠偎呚䵕₠呚䵕畯ﻶ鿿呚䵕呚䵕Ը赹ꤜ赹ˈ婐ꁉ쀱殁ᘮ卼併䴸,,谠ᒘ谠ᒘ虠ʂ怀⡖Ʒ怀呚䵕₠呚䵕瑿ﻶ鿿呚䵕呚䵕乄䍏耀䵨鯀ᬘ涐Ǫ怀㏰ᬔ   䈠則媠怀㖰˵怀覠ᬞ䜠偎呚䵕₠呚䵕獯ﻶ鿿呚䵕呚䵕Ը赹ꤜ赹CS::ashar236@sundevils.asu.edu::b455b38d-9bbc-4afe-9b2d-22e62aa05ef2䵨"/>
        <Anchor>
          <Comment id="{AE306B4E-E2E8-F944-8BC3-90BBD950787A}"/>
        </Anchor>
        <SetTitle title="@Guoxin Sun (Student) "/>
      </Event>
    </History>
  </Task>
</Tasks>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3</xdr:col>
      <xdr:colOff>138112</xdr:colOff>
      <xdr:row>1</xdr:row>
      <xdr:rowOff>71437</xdr:rowOff>
    </xdr:from>
    <xdr:to>
      <xdr:col>10</xdr:col>
      <xdr:colOff>442912</xdr:colOff>
      <xdr:row>15</xdr:row>
      <xdr:rowOff>147637</xdr:rowOff>
    </xdr:to>
    <xdr:graphicFrame macro="">
      <xdr:nvGraphicFramePr>
        <xdr:cNvPr id="2" name="Chart 1">
          <a:extLst>
            <a:ext uri="{FF2B5EF4-FFF2-40B4-BE49-F238E27FC236}">
              <a16:creationId xmlns:a16="http://schemas.microsoft.com/office/drawing/2014/main" id="{05237DED-7BB7-229A-2163-9A28BF4E00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0</xdr:colOff>
      <xdr:row>50</xdr:row>
      <xdr:rowOff>0</xdr:rowOff>
    </xdr:from>
    <xdr:to>
      <xdr:col>10</xdr:col>
      <xdr:colOff>177800</xdr:colOff>
      <xdr:row>55</xdr:row>
      <xdr:rowOff>12700</xdr:rowOff>
    </xdr:to>
    <xdr:pic>
      <xdr:nvPicPr>
        <xdr:cNvPr id="2" name="Picture 1">
          <a:extLst>
            <a:ext uri="{FF2B5EF4-FFF2-40B4-BE49-F238E27FC236}">
              <a16:creationId xmlns:a16="http://schemas.microsoft.com/office/drawing/2014/main" id="{BA54CDA2-7435-8B88-B52E-5AD5A86291E7}"/>
            </a:ext>
          </a:extLst>
        </xdr:cNvPr>
        <xdr:cNvPicPr>
          <a:picLocks noChangeAspect="1"/>
        </xdr:cNvPicPr>
      </xdr:nvPicPr>
      <xdr:blipFill>
        <a:blip xmlns:r="http://schemas.openxmlformats.org/officeDocument/2006/relationships" r:embed="rId1"/>
        <a:stretch>
          <a:fillRect/>
        </a:stretch>
      </xdr:blipFill>
      <xdr:spPr>
        <a:xfrm>
          <a:off x="14833600" y="9525000"/>
          <a:ext cx="3594100" cy="9652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Guoxin Sun (Student)" id="{548949A6-5103-A34C-A07A-141873E28DD5}" userId="gsun20@sundevils.asu.edu" providerId="PeoplePicker"/>
  <person displayName="ankita sharma (Student)" id="{B4BE5890-FF70-1B45-A747-DDE27A991EA3}" userId="S::ashar236@sundevils.asu.edu::b455b38d-9bbc-4afe-9b2d-22e62aa05ef2"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uoxin Sun" refreshedDate="45278.532463310185" createdVersion="8" refreshedVersion="8" minRefreshableVersion="3" recordCount="57" xr:uid="{5AA5C9D1-1D6F-430D-ADD2-43575C0815F4}">
  <cacheSource type="worksheet">
    <worksheetSource ref="A1:L59" sheet="Sheet1"/>
  </cacheSource>
  <cacheFields count="4">
    <cacheField name="Target" numFmtId="0">
      <sharedItems/>
    </cacheField>
    <cacheField name="Success Once" numFmtId="0">
      <sharedItems/>
    </cacheField>
    <cacheField name="Type" numFmtId="0">
      <sharedItems count="4">
        <s v="Success"/>
        <s v="Length Mismatch"/>
        <s v="Similarity Score Issue"/>
        <s v="Syntax Error"/>
      </sharedItems>
    </cacheField>
    <cacheField name="Details"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uoxin Sun" refreshedDate="45278.536884490743" createdVersion="8" refreshedVersion="8" minRefreshableVersion="3" recordCount="58" xr:uid="{ED66BDA1-EC3C-419D-9A3F-31B0817380AB}">
  <cacheSource type="worksheet">
    <worksheetSource ref="A1:L1048576" sheet="Sheet1"/>
  </cacheSource>
  <cacheFields count="4">
    <cacheField name="Target" numFmtId="0">
      <sharedItems containsBlank="1" count="58">
        <s v="Target1_3"/>
        <s v="Target1_4"/>
        <s v="Target1_6"/>
        <s v="Target1_9"/>
        <s v="Target1_10"/>
        <s v="Target1_11"/>
        <s v="Target1_13"/>
        <s v="Target1_16"/>
        <s v="Target1_18"/>
        <s v="Target1_20"/>
        <s v="Target1_21"/>
        <s v="Target1_22"/>
        <s v="Target1_23"/>
        <s v="Target1_24"/>
        <s v="Target1_27"/>
        <s v="Target1_29"/>
        <s v="Target1_34"/>
        <s v="Target1_35"/>
        <s v="Target1_38"/>
        <s v="Target1_40"/>
        <s v="Target1_41"/>
        <s v="Target1_43"/>
        <s v="Target1_44"/>
        <s v="Target1_46"/>
        <s v="Target1_48"/>
        <s v="Target1_52"/>
        <s v="Target1_53"/>
        <s v="Target1_54"/>
        <s v="Target1_55"/>
        <s v="Target1_57"/>
        <s v="Target1_59"/>
        <s v="Target1_60"/>
        <s v="Target1_61"/>
        <s v="Target1_62"/>
        <s v="Target1_65"/>
        <s v="Target1_67"/>
        <s v="Target1_68"/>
        <s v="Target1_71"/>
        <s v="Target1_72"/>
        <s v="Target1_75"/>
        <s v="Target1_77"/>
        <s v="Target1_78"/>
        <s v="Target1_80"/>
        <s v="Target1_81"/>
        <s v="Target1_82"/>
        <s v="Target1_84"/>
        <s v="Target1_86"/>
        <s v="Target1_87"/>
        <s v="Target1_88"/>
        <s v="Target1_89"/>
        <s v="Target1_90"/>
        <s v="Target1_91"/>
        <s v="Target1_92"/>
        <s v="Target1_93"/>
        <s v="Target1_95"/>
        <s v="Target1_97"/>
        <s v="Target1_99"/>
        <m/>
      </sharedItems>
    </cacheField>
    <cacheField name="Success Once" numFmtId="0">
      <sharedItems containsBlank="1"/>
    </cacheField>
    <cacheField name="Type" numFmtId="0">
      <sharedItems containsBlank="1" count="5">
        <s v="Success"/>
        <s v="Length Mismatch"/>
        <s v="Similarity Score Issue"/>
        <s v="Syntax Error"/>
        <m/>
      </sharedItems>
    </cacheField>
    <cacheField name="Details" numFmtId="0">
      <sharedItems containsBlank="1" count="21">
        <s v="Execution successful without errors."/>
        <s v="Mismatch - Lists lengths differ'"/>
        <s v="Scores: 1.0, 0.9982; Case accuracy: 1.00"/>
        <m/>
        <s v="Scores: 1.0, 0.5758; Case accuracy: 0.79"/>
        <s v="Malformed array literal 'IGHJ5*02'; Execution successful without errors."/>
        <s v="Mismatch - Lists lengths differ'; Execution successful without errors."/>
        <s v=" Error in the previous response: Error: ERROR:  invalid input syntax for type integer: &quot;30.0&quot;_x000a_CONTEXT:  COPY source1_40_0, line 2, column quantityordered: &quot;30.0&quot;"/>
        <s v=" Error in the previous response: Error: ERROR:  invalid input syntax for type numeric: &quot;*&quot;_x000a_CONTEXT:  COPY source1_44_0, line 26, column Value: &quot;*&quot;"/>
        <s v="Syntax error at or near &quot;Finish&quot;; Execution successful without errors."/>
        <s v=" Error in the previous response: Error: ERROR:  invalid input syntax for type integer: &quot;2.0&quot;_x000a_CONTEXT:  COPY source1_59_0, line 2, column orderlinenumber: &quot;2.0&quot;"/>
        <s v="Scores: 0.9895, 1.0, 1.0; Case accuracy: 1.00"/>
        <s v=" Error in the previous response: Error: ERROR:  syntax error at or near &quot;User&quot;_x000a_LINE 23:     User TEXT,"/>
        <s v="Scores: 1.0, 0.0285; Case accuracy: 0.51"/>
        <s v=" Error in the previous response: Error: ERROR:  date/time field value out of range: &quot;24/03/2019&quot;_x000a_HINT:  Perhaps you need a different &quot;datestyle&quot; setting._x000a_CONTEXT:  COPY source1_88_0, line 2, column date_of_journey: &quot;24/03/2019&quot;"/>
        <s v="_x0009_Error in the previous response: Error: ERROR:  invalid input syntax for type date: &quot;date&quot;_x000a_CONTEXT:  COPY source1_89_0, line 2, column date: &quot;date&quot;"/>
        <s v="Error in the previous response: Error: ERROR:  invalid input syntax for type bigint: &quot;8.874739571039519e+17&quot;_x000a_CONTEXT:  COPY source1_90_0, line 21, column retweeted_status_id: &quot;8.874739571039519e+17&quot;"/>
        <s v="_x0009_Error in the previous response: Error: ERROR:  invalid input syntax for type numeric: &quot;&quot;_x000a_CONTEXT:  COPY source1_91_0, line 2, column market_value: &quot;&quot;"/>
        <s v="Scores: 1.0, 0.98, 0.96; Case accuracy: 0.98"/>
        <s v="_x0009_Error in the previous response: Error: ERROR:  invalid input syntax for type numeric: &quot;&quot;_x000a_CONTEXT:  COPY source1_93_0, line 2, column bet: &quot;&quot;"/>
        <s v="Syntax Error: Finish; Scores: 1.0, 0.0; Case accuracy: 0.5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uoxin Sun" refreshedDate="45294.891180787039" createdVersion="8" refreshedVersion="8" minRefreshableVersion="3" recordCount="58" xr:uid="{B8A66D8C-4E69-4C7A-9FBA-8FD457B28029}">
  <cacheSource type="worksheet">
    <worksheetSource ref="D1:D1048576" sheet="Sheet1"/>
  </cacheSource>
  <cacheFields count="1">
    <cacheField name="After Fix" numFmtId="0">
      <sharedItems containsBlank="1" count="18">
        <s v="Success"/>
        <s v="Need Domain Knowledge - Aggregation target"/>
        <s v="Failed - failed to aggregate - low entropy - domain knowledge"/>
        <s v="Need Domain Knowledge - Aggregation function"/>
        <s v="Failed - failed to aggregate - low entropy - data type change"/>
        <s v="Bad Case - task makes no sense"/>
        <s v="Success* bad test case : Dec_2012 vs Dec_2013"/>
        <s v="Success*  grouped by continent - did not remove the empty continent - I would not call this failed.."/>
        <s v="Failed - failed to aggregate - low entropy - domain knowledge/ did not do count"/>
        <s v="Success*  grouped by continent - did not remove the empty fac_type - I would not call this failed.."/>
        <s v="Need Domain Knowledge - Use Aggregation or not"/>
        <s v="Success*  grouped by continent - did not remove the empty conservation_status - I would not call this failed.."/>
        <s v="Need Domain Knowledge - Rare case/ expectation"/>
        <s v="Success - next iteration"/>
        <s v="Failed - failed to aggregate - low entropy - domain knowledge - hard (newest date)"/>
        <s v="Need Domain Knowledge - expectation/ count on which"/>
        <s v="Failed - did not figured out"/>
        <m/>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uoxin Sun" refreshedDate="45303.578419328704" createdVersion="8" refreshedVersion="8" minRefreshableVersion="3" recordCount="58" xr:uid="{A7311121-5FAE-D14B-BD6D-989EE05ED2F4}">
  <cacheSource type="worksheet">
    <worksheetSource ref="A1:I1048576" sheet="Sheet1"/>
  </cacheSource>
  <cacheFields count="7">
    <cacheField name="Target" numFmtId="0">
      <sharedItems containsBlank="1" count="58">
        <s v="Target1_3"/>
        <s v="Target1_4"/>
        <s v="Target1_6"/>
        <s v="Target1_9"/>
        <s v="Target1_10"/>
        <s v="Target1_11"/>
        <s v="Target1_13"/>
        <s v="Target1_16"/>
        <s v="Target1_18"/>
        <s v="Target1_20"/>
        <s v="Target1_21"/>
        <s v="Target1_22"/>
        <s v="Target1_23"/>
        <s v="Target1_24"/>
        <s v="Target1_27"/>
        <s v="Target1_29"/>
        <s v="Target1_34"/>
        <s v="Target1_35"/>
        <s v="Target1_38"/>
        <s v="Target1_40"/>
        <s v="Target1_41"/>
        <s v="Target1_43"/>
        <s v="Target1_44"/>
        <s v="Target1_46"/>
        <s v="Target1_48"/>
        <s v="Target1_52"/>
        <s v="Target1_53"/>
        <s v="Target1_54"/>
        <s v="Target1_55"/>
        <s v="Target1_57"/>
        <s v="Target1_59"/>
        <s v="Target1_60"/>
        <s v="Target1_61"/>
        <s v="Target1_62"/>
        <s v="Target1_65"/>
        <s v="Target1_67"/>
        <s v="Target1_68"/>
        <s v="Target1_71"/>
        <s v="Target1_72"/>
        <s v="Target1_75"/>
        <s v="Target1_77"/>
        <s v="Target1_78"/>
        <s v="Target1_80"/>
        <s v="Target1_81"/>
        <s v="Target1_82"/>
        <s v="Target1_84"/>
        <s v="Target1_86"/>
        <s v="Target1_87"/>
        <s v="Target1_88"/>
        <s v="Target1_89"/>
        <s v="Target1_90"/>
        <s v="Target1_91"/>
        <s v="Target1_92"/>
        <s v="Target1_93"/>
        <s v="Target1_95"/>
        <s v="Target1_97"/>
        <s v="Target1_99"/>
        <m/>
      </sharedItems>
    </cacheField>
    <cacheField name="Success Once" numFmtId="0">
      <sharedItems containsBlank="1"/>
    </cacheField>
    <cacheField name="After Fix" numFmtId="0">
      <sharedItems containsBlank="1"/>
    </cacheField>
    <cacheField name="Ankita's baseline without target samples" numFmtId="0">
      <sharedItems containsBlank="1" containsMixedTypes="1" containsNumber="1" containsInteger="1" minValue="0" maxValue="1"/>
    </cacheField>
    <cacheField name="one_big_prompt" numFmtId="0">
      <sharedItems containsBlank="1"/>
    </cacheField>
    <cacheField name="one_big_prompt_5itrs" numFmtId="0">
      <sharedItems containsBlank="1"/>
    </cacheField>
    <cacheField name="overall_big_prompt_no_fewshot_no_detailed intruction" numFmtId="0">
      <sharedItems containsBlank="1" count="35">
        <s v="Success v.s. Success"/>
        <s v="Success v.s. Failed --&gt; Success"/>
        <s v="Need Domain Knowledge - Aggregation target v.s. Failed  --&gt; Failed"/>
        <s v="Success - next iteration v.s. Success"/>
        <s v="Failed - failed to aggregate - low entropy - domain knowledge v.s. Failed --&gt; Failed"/>
        <s v="Success - preprocessing v.s. Failed - syntax --&gt; Success"/>
        <s v="Failed - failed to aggregate - low entropy - domain knowledge v.s. Failed"/>
        <s v="Need Domain Knowledge - Aggregation function v.s. Failed"/>
        <s v="Success - preprocessing v.s. Failed --&gt; Success - takes more itr?"/>
        <s v="Failed - failed to aggregate - low entropy - data type change v.s. Failed"/>
        <s v="Bad Case - task makes no sense v.s. Failed"/>
        <s v="Success* bad test case : Dec_2012 vs Dec_2013 v.s. Failed --&gt; Success* bad test case : Dec_2012 vs Dec_2013"/>
        <s v="Success* bad test case : Dec_2012 vs Dec_2013 v.s. Success*"/>
        <s v="Success*  grouped by continent - did not remove the empty continent - I would not call this failed.. v.s. Success*"/>
        <s v="Success v.s. Failed* VERY CLOSE.. CHECK"/>
        <s v="Success v.s. Failed --&gt; Success-itr2"/>
        <s v="Success - preprocessing v.s. Success"/>
        <s v="Failed - failed to aggregate - low entropy - domain knowledge v.s. Success** DID BETTER!!! BY CHANCE I GUESS.. "/>
        <s v="Success v.s. Failed - DID NOT DO SUBSTRING --&gt; Success"/>
        <s v="Success v.s. Failed"/>
        <s v="Failed - failed to aggregate - low entropy - domain knowledge/ did not do count v.s. Failed"/>
        <s v="Success*  grouped by continent - did not remove the empty fac_type - I would not call this failed.. v.s. Success*"/>
        <s v="Need Domain Knowledge - Use Aggregation or not v.s. Failed"/>
        <s v="Success*  grouped by continent - did not remove the empty conservation_status - I would not call this failed.. v.s. Success*"/>
        <s v="Need Domain Knowledge - Rare case/ expectation v.s. Failed"/>
        <s v="Success - next iteration v.s. GUESS IT CAN SUCCESS --&gt; Success"/>
        <s v="Success - next iteration v.s. Failed"/>
        <s v="Failed - failed to aggregate - low entropy - domain knowledge - hard (newest date) v.s. Failed"/>
        <s v="Need Domain Knowledge - expectation/ count on which v.s. Failed --&gt; Success - by luck"/>
        <s v="Failed - did not figured out v.s. Failed"/>
        <m/>
        <s v="Success* bad test case : Dec_2012 vs Dec_2013 v.s. Failed" u="1"/>
        <s v="Success - next iteration v.s. GUESS IT CAN SUCCESS" u="1"/>
        <s v="Success v.s. Failed --&gt; Failed" u="1"/>
        <s v="Success v.s. Failed - syntax --&gt; Success"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7">
  <r>
    <s v="Target1_3"/>
    <s v="Success"/>
    <x v="0"/>
    <s v="Execution successful without errors."/>
  </r>
  <r>
    <s v="Target1_4"/>
    <s v="Success"/>
    <x v="0"/>
    <s v="Execution successful without errors."/>
  </r>
  <r>
    <s v="Target1_6"/>
    <s v="Success"/>
    <x v="0"/>
    <s v="Execution successful without errors."/>
  </r>
  <r>
    <s v="Target1_9"/>
    <s v="Failed"/>
    <x v="1"/>
    <s v="Mismatch - Lists lengths differ'"/>
  </r>
  <r>
    <s v="Target1_10"/>
    <s v="Failed"/>
    <x v="2"/>
    <s v="Scores: 1.0, 0.9982; Case accuracy: 1.00"/>
  </r>
  <r>
    <s v="Target1_11"/>
    <s v="Success"/>
    <x v="0"/>
    <s v="Execution successful without errors."/>
  </r>
  <r>
    <s v="Target1_13"/>
    <s v="Failed"/>
    <x v="1"/>
    <s v="Mismatch - Lists lengths differ'"/>
  </r>
  <r>
    <s v="Target1_16"/>
    <s v="Failed"/>
    <x v="2"/>
    <m/>
  </r>
  <r>
    <s v="Target1_18"/>
    <s v="Failed"/>
    <x v="1"/>
    <s v="Mismatch - Lists lengths differ'"/>
  </r>
  <r>
    <s v="Target1_20"/>
    <s v="Success"/>
    <x v="0"/>
    <s v="Execution successful without errors."/>
  </r>
  <r>
    <s v="Target1_21"/>
    <s v="Success"/>
    <x v="0"/>
    <s v="Execution successful without errors."/>
  </r>
  <r>
    <s v="Target1_22"/>
    <s v="Failed"/>
    <x v="1"/>
    <s v="Mismatch - Lists lengths differ'"/>
  </r>
  <r>
    <s v="Target1_23"/>
    <s v="Failed"/>
    <x v="2"/>
    <s v="Scores: 1.0, 0.5758; Case accuracy: 0.79"/>
  </r>
  <r>
    <s v="Target1_24"/>
    <s v="Failed"/>
    <x v="1"/>
    <s v="Mismatch - Lists lengths differ'"/>
  </r>
  <r>
    <s v="Target1_27"/>
    <s v="Failed"/>
    <x v="1"/>
    <s v="Mismatch - Lists lengths differ'"/>
  </r>
  <r>
    <s v="Target1_29"/>
    <s v="Success"/>
    <x v="0"/>
    <s v="Execution successful without errors."/>
  </r>
  <r>
    <s v="Target1_34"/>
    <s v="Success"/>
    <x v="0"/>
    <s v="Malformed array literal 'IGHJ5*02'; Execution successful without errors."/>
  </r>
  <r>
    <s v="Target1_35"/>
    <s v="Success"/>
    <x v="0"/>
    <s v="Mismatch - Lists lengths differ'; Execution successful without errors."/>
  </r>
  <r>
    <s v="Target1_38"/>
    <s v="Success"/>
    <x v="0"/>
    <s v="Execution successful without errors."/>
  </r>
  <r>
    <s v="Target1_40"/>
    <s v="Failed"/>
    <x v="3"/>
    <s v=" Error in the previous response: Error: ERROR:  invalid input syntax for type integer: &quot;30.0&quot;_x000a_CONTEXT:  COPY source1_40_0, line 2, column quantityordered: &quot;30.0&quot;"/>
  </r>
  <r>
    <s v="Target1_41"/>
    <s v="Failed"/>
    <x v="1"/>
    <s v="Mismatch - Lists lengths differ'"/>
  </r>
  <r>
    <s v="Target1_43"/>
    <s v="Failed"/>
    <x v="1"/>
    <s v="Mismatch - Lists lengths differ'"/>
  </r>
  <r>
    <s v="Target1_44"/>
    <s v="Failed"/>
    <x v="3"/>
    <s v=" Error in the previous response: Error: ERROR:  invalid input syntax for type numeric: &quot;*&quot;_x000a_CONTEXT:  COPY source1_44_0, line 26, column Value: &quot;*&quot;"/>
  </r>
  <r>
    <s v="Target1_46"/>
    <s v="Failed"/>
    <x v="1"/>
    <s v="Mismatch - Lists lengths differ'"/>
  </r>
  <r>
    <s v="Target1_48"/>
    <s v="Failed"/>
    <x v="1"/>
    <s v="Mismatch - Lists lengths differ'"/>
  </r>
  <r>
    <s v="Target1_52"/>
    <s v="Failed"/>
    <x v="1"/>
    <s v="Mismatch - Lists lengths differ'"/>
  </r>
  <r>
    <s v="Target1_53"/>
    <s v="Failed"/>
    <x v="1"/>
    <s v="Mismatch - Lists lengths differ'"/>
  </r>
  <r>
    <s v="Target1_54"/>
    <s v="Failed"/>
    <x v="1"/>
    <s v="Mismatch - Lists lengths differ'"/>
  </r>
  <r>
    <s v="Target1_55"/>
    <s v="Success"/>
    <x v="0"/>
    <s v="Execution successful without errors."/>
  </r>
  <r>
    <s v="Target1_57"/>
    <s v="Success"/>
    <x v="0"/>
    <s v="Syntax error at or near &quot;Finish&quot;; Execution successful without errors."/>
  </r>
  <r>
    <s v="Target1_59"/>
    <s v="Failed"/>
    <x v="3"/>
    <s v=" Error in the previous response: Error: ERROR:  invalid input syntax for type integer: &quot;2.0&quot;_x000a_CONTEXT:  COPY source1_59_0, line 2, column orderlinenumber: &quot;2.0&quot;"/>
  </r>
  <r>
    <s v="Target1_60"/>
    <s v="Success"/>
    <x v="0"/>
    <s v="Execution successful without errors."/>
  </r>
  <r>
    <s v="Target1_61"/>
    <s v="Failed"/>
    <x v="1"/>
    <s v="Mismatch - Lists lengths differ'"/>
  </r>
  <r>
    <s v="Target1_62"/>
    <s v="Failed"/>
    <x v="2"/>
    <s v="Scores: 0.9895, 1.0, 1.0; Case accuracy: 1.00"/>
  </r>
  <r>
    <s v="Target1_65"/>
    <s v="Success"/>
    <x v="0"/>
    <s v="Execution successful without errors."/>
  </r>
  <r>
    <s v="Target1_67"/>
    <s v="Success"/>
    <x v="0"/>
    <s v="Execution successful without errors."/>
  </r>
  <r>
    <s v="Target1_68"/>
    <s v="Success"/>
    <x v="0"/>
    <s v="Execution successful without errors."/>
  </r>
  <r>
    <s v="Target1_71"/>
    <s v="Success"/>
    <x v="0"/>
    <s v="Execution successful without errors."/>
  </r>
  <r>
    <s v="Target1_72"/>
    <s v="Success"/>
    <x v="0"/>
    <s v="Execution successful without errors."/>
  </r>
  <r>
    <s v="Target1_75"/>
    <s v="Failed"/>
    <x v="1"/>
    <s v="Mismatch - Lists lengths differ'"/>
  </r>
  <r>
    <s v="Target1_77"/>
    <s v="Failed"/>
    <x v="1"/>
    <s v="Mismatch - Lists lengths differ'"/>
  </r>
  <r>
    <s v="Target1_78"/>
    <s v="Failed"/>
    <x v="3"/>
    <s v=" Error in the previous response: Error: ERROR:  syntax error at or near &quot;User&quot;_x000a_LINE 23:     User TEXT,"/>
  </r>
  <r>
    <s v="Target1_80"/>
    <s v="Success"/>
    <x v="0"/>
    <s v="Execution successful without errors."/>
  </r>
  <r>
    <s v="Target1_81"/>
    <s v="Failed"/>
    <x v="1"/>
    <s v="Mismatch - Lists lengths differ'"/>
  </r>
  <r>
    <s v="Target1_82"/>
    <s v="Failed"/>
    <x v="1"/>
    <s v="Mismatch - Lists lengths differ'"/>
  </r>
  <r>
    <s v="Target1_84"/>
    <s v="Success"/>
    <x v="0"/>
    <s v="Execution successful without errors."/>
  </r>
  <r>
    <s v="Target1_86"/>
    <s v="Failed"/>
    <x v="2"/>
    <s v="Scores: 1.0, 0.0285; Case accuracy: 0.51"/>
  </r>
  <r>
    <s v="Target1_87"/>
    <s v="Failed"/>
    <x v="1"/>
    <s v="Mismatch - Lists lengths differ'"/>
  </r>
  <r>
    <s v="Target1_88"/>
    <s v="Failed"/>
    <x v="3"/>
    <s v=" Error in the previous response: Error: ERROR:  date/time field value out of range: &quot;24/03/2019&quot;_x000a_HINT:  Perhaps you need a different &quot;datestyle&quot; setting._x000a_CONTEXT:  COPY source1_88_0, line 2, column date_of_journey: &quot;24/03/2019&quot;"/>
  </r>
  <r>
    <s v="Target1_89"/>
    <s v="Failed"/>
    <x v="3"/>
    <s v="_x0009_Error in the previous response: Error: ERROR:  invalid input syntax for type date: &quot;date&quot;_x000a_CONTEXT:  COPY source1_89_0, line 2, column date: &quot;date&quot;"/>
  </r>
  <r>
    <s v="Target1_90"/>
    <s v="Failed"/>
    <x v="3"/>
    <s v="Error in the previous response: Error: ERROR:  invalid input syntax for type bigint: &quot;8.874739571039519e+17&quot;_x000a_CONTEXT:  COPY source1_90_0, line 21, column retweeted_status_id: &quot;8.874739571039519e+17&quot;"/>
  </r>
  <r>
    <s v="Target1_91"/>
    <s v="Failed"/>
    <x v="3"/>
    <s v="_x0009_Error in the previous response: Error: ERROR:  invalid input syntax for type numeric: &quot;&quot;_x000a_CONTEXT:  COPY source1_91_0, line 2, column market_value: &quot;&quot;"/>
  </r>
  <r>
    <s v="Target1_92"/>
    <s v="Failed"/>
    <x v="3"/>
    <s v="Scores: 1.0, 0.98, 0.96; Case accuracy: 0.98"/>
  </r>
  <r>
    <s v="Target1_93"/>
    <s v="Failed"/>
    <x v="3"/>
    <s v="_x0009_Error in the previous response: Error: ERROR:  invalid input syntax for type numeric: &quot;&quot;_x000a_CONTEXT:  COPY source1_93_0, line 2, column bet: &quot;&quot;"/>
  </r>
  <r>
    <s v="Target1_95"/>
    <s v="Failed"/>
    <x v="1"/>
    <s v="Mismatch - Lists lengths differ'"/>
  </r>
  <r>
    <s v="Target1_97"/>
    <s v="Failed"/>
    <x v="2"/>
    <s v="Syntax Error: Finish; Scores: 1.0, 0.0; Case accuracy: 0.50"/>
  </r>
  <r>
    <s v="Target1_99"/>
    <s v="Failed"/>
    <x v="1"/>
    <s v="Mismatch - Lists lengths differ'"/>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
  <r>
    <x v="0"/>
    <s v="Success"/>
    <x v="0"/>
    <x v="0"/>
  </r>
  <r>
    <x v="1"/>
    <s v="Success"/>
    <x v="0"/>
    <x v="0"/>
  </r>
  <r>
    <x v="2"/>
    <s v="Success"/>
    <x v="0"/>
    <x v="0"/>
  </r>
  <r>
    <x v="3"/>
    <s v="Failed"/>
    <x v="1"/>
    <x v="1"/>
  </r>
  <r>
    <x v="4"/>
    <s v="Failed"/>
    <x v="2"/>
    <x v="2"/>
  </r>
  <r>
    <x v="5"/>
    <s v="Success"/>
    <x v="0"/>
    <x v="0"/>
  </r>
  <r>
    <x v="6"/>
    <s v="Failed"/>
    <x v="1"/>
    <x v="1"/>
  </r>
  <r>
    <x v="7"/>
    <s v="Failed"/>
    <x v="2"/>
    <x v="3"/>
  </r>
  <r>
    <x v="8"/>
    <s v="Failed"/>
    <x v="1"/>
    <x v="1"/>
  </r>
  <r>
    <x v="9"/>
    <s v="Success"/>
    <x v="0"/>
    <x v="0"/>
  </r>
  <r>
    <x v="10"/>
    <s v="Success"/>
    <x v="0"/>
    <x v="0"/>
  </r>
  <r>
    <x v="11"/>
    <s v="Failed"/>
    <x v="1"/>
    <x v="1"/>
  </r>
  <r>
    <x v="12"/>
    <s v="Failed"/>
    <x v="2"/>
    <x v="4"/>
  </r>
  <r>
    <x v="13"/>
    <s v="Failed"/>
    <x v="1"/>
    <x v="1"/>
  </r>
  <r>
    <x v="14"/>
    <s v="Failed"/>
    <x v="1"/>
    <x v="1"/>
  </r>
  <r>
    <x v="15"/>
    <s v="Success"/>
    <x v="0"/>
    <x v="0"/>
  </r>
  <r>
    <x v="16"/>
    <s v="Success"/>
    <x v="0"/>
    <x v="5"/>
  </r>
  <r>
    <x v="17"/>
    <s v="Success"/>
    <x v="0"/>
    <x v="6"/>
  </r>
  <r>
    <x v="18"/>
    <s v="Success"/>
    <x v="0"/>
    <x v="0"/>
  </r>
  <r>
    <x v="19"/>
    <s v="Failed"/>
    <x v="3"/>
    <x v="7"/>
  </r>
  <r>
    <x v="20"/>
    <s v="Failed"/>
    <x v="1"/>
    <x v="1"/>
  </r>
  <r>
    <x v="21"/>
    <s v="Failed"/>
    <x v="1"/>
    <x v="1"/>
  </r>
  <r>
    <x v="22"/>
    <s v="Failed"/>
    <x v="3"/>
    <x v="8"/>
  </r>
  <r>
    <x v="23"/>
    <s v="Failed"/>
    <x v="1"/>
    <x v="1"/>
  </r>
  <r>
    <x v="24"/>
    <s v="Failed"/>
    <x v="1"/>
    <x v="1"/>
  </r>
  <r>
    <x v="25"/>
    <s v="Failed"/>
    <x v="1"/>
    <x v="1"/>
  </r>
  <r>
    <x v="26"/>
    <s v="Failed"/>
    <x v="1"/>
    <x v="1"/>
  </r>
  <r>
    <x v="27"/>
    <s v="Failed"/>
    <x v="1"/>
    <x v="1"/>
  </r>
  <r>
    <x v="28"/>
    <s v="Success"/>
    <x v="0"/>
    <x v="0"/>
  </r>
  <r>
    <x v="29"/>
    <s v="Success"/>
    <x v="0"/>
    <x v="9"/>
  </r>
  <r>
    <x v="30"/>
    <s v="Failed"/>
    <x v="3"/>
    <x v="10"/>
  </r>
  <r>
    <x v="31"/>
    <s v="Success"/>
    <x v="0"/>
    <x v="0"/>
  </r>
  <r>
    <x v="32"/>
    <s v="Failed"/>
    <x v="1"/>
    <x v="1"/>
  </r>
  <r>
    <x v="33"/>
    <s v="Failed"/>
    <x v="2"/>
    <x v="11"/>
  </r>
  <r>
    <x v="34"/>
    <s v="Success"/>
    <x v="0"/>
    <x v="0"/>
  </r>
  <r>
    <x v="35"/>
    <s v="Success"/>
    <x v="0"/>
    <x v="0"/>
  </r>
  <r>
    <x v="36"/>
    <s v="Success"/>
    <x v="0"/>
    <x v="0"/>
  </r>
  <r>
    <x v="37"/>
    <s v="Success"/>
    <x v="0"/>
    <x v="0"/>
  </r>
  <r>
    <x v="38"/>
    <s v="Success"/>
    <x v="0"/>
    <x v="0"/>
  </r>
  <r>
    <x v="39"/>
    <s v="Failed"/>
    <x v="1"/>
    <x v="1"/>
  </r>
  <r>
    <x v="40"/>
    <s v="Failed"/>
    <x v="1"/>
    <x v="1"/>
  </r>
  <r>
    <x v="41"/>
    <s v="Failed"/>
    <x v="3"/>
    <x v="12"/>
  </r>
  <r>
    <x v="42"/>
    <s v="Success"/>
    <x v="0"/>
    <x v="0"/>
  </r>
  <r>
    <x v="43"/>
    <s v="Failed"/>
    <x v="1"/>
    <x v="1"/>
  </r>
  <r>
    <x v="44"/>
    <s v="Failed"/>
    <x v="1"/>
    <x v="1"/>
  </r>
  <r>
    <x v="45"/>
    <s v="Success"/>
    <x v="0"/>
    <x v="0"/>
  </r>
  <r>
    <x v="46"/>
    <s v="Failed"/>
    <x v="2"/>
    <x v="13"/>
  </r>
  <r>
    <x v="47"/>
    <s v="Failed"/>
    <x v="1"/>
    <x v="1"/>
  </r>
  <r>
    <x v="48"/>
    <s v="Failed"/>
    <x v="3"/>
    <x v="14"/>
  </r>
  <r>
    <x v="49"/>
    <s v="Failed"/>
    <x v="3"/>
    <x v="15"/>
  </r>
  <r>
    <x v="50"/>
    <s v="Failed"/>
    <x v="3"/>
    <x v="16"/>
  </r>
  <r>
    <x v="51"/>
    <s v="Failed"/>
    <x v="3"/>
    <x v="17"/>
  </r>
  <r>
    <x v="52"/>
    <s v="Failed"/>
    <x v="3"/>
    <x v="18"/>
  </r>
  <r>
    <x v="53"/>
    <s v="Failed"/>
    <x v="3"/>
    <x v="19"/>
  </r>
  <r>
    <x v="54"/>
    <s v="Failed"/>
    <x v="1"/>
    <x v="1"/>
  </r>
  <r>
    <x v="55"/>
    <s v="Failed"/>
    <x v="2"/>
    <x v="20"/>
  </r>
  <r>
    <x v="56"/>
    <s v="Failed"/>
    <x v="1"/>
    <x v="1"/>
  </r>
  <r>
    <x v="57"/>
    <m/>
    <x v="4"/>
    <x v="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
  <r>
    <x v="0"/>
  </r>
  <r>
    <x v="0"/>
  </r>
  <r>
    <x v="0"/>
  </r>
  <r>
    <x v="1"/>
  </r>
  <r>
    <x v="0"/>
  </r>
  <r>
    <x v="0"/>
  </r>
  <r>
    <x v="2"/>
  </r>
  <r>
    <x v="0"/>
  </r>
  <r>
    <x v="2"/>
  </r>
  <r>
    <x v="0"/>
  </r>
  <r>
    <x v="0"/>
  </r>
  <r>
    <x v="2"/>
  </r>
  <r>
    <x v="3"/>
  </r>
  <r>
    <x v="2"/>
  </r>
  <r>
    <x v="2"/>
  </r>
  <r>
    <x v="0"/>
  </r>
  <r>
    <x v="0"/>
  </r>
  <r>
    <x v="0"/>
  </r>
  <r>
    <x v="0"/>
  </r>
  <r>
    <x v="0"/>
  </r>
  <r>
    <x v="2"/>
  </r>
  <r>
    <x v="4"/>
  </r>
  <r>
    <x v="5"/>
  </r>
  <r>
    <x v="6"/>
  </r>
  <r>
    <x v="6"/>
  </r>
  <r>
    <x v="4"/>
  </r>
  <r>
    <x v="7"/>
  </r>
  <r>
    <x v="2"/>
  </r>
  <r>
    <x v="0"/>
  </r>
  <r>
    <x v="0"/>
  </r>
  <r>
    <x v="0"/>
  </r>
  <r>
    <x v="0"/>
  </r>
  <r>
    <x v="2"/>
  </r>
  <r>
    <x v="0"/>
  </r>
  <r>
    <x v="0"/>
  </r>
  <r>
    <x v="0"/>
  </r>
  <r>
    <x v="0"/>
  </r>
  <r>
    <x v="0"/>
  </r>
  <r>
    <x v="0"/>
  </r>
  <r>
    <x v="8"/>
  </r>
  <r>
    <x v="9"/>
  </r>
  <r>
    <x v="10"/>
  </r>
  <r>
    <x v="0"/>
  </r>
  <r>
    <x v="2"/>
  </r>
  <r>
    <x v="11"/>
  </r>
  <r>
    <x v="0"/>
  </r>
  <r>
    <x v="3"/>
  </r>
  <r>
    <x v="2"/>
  </r>
  <r>
    <x v="0"/>
  </r>
  <r>
    <x v="5"/>
  </r>
  <r>
    <x v="12"/>
  </r>
  <r>
    <x v="13"/>
  </r>
  <r>
    <x v="13"/>
  </r>
  <r>
    <x v="13"/>
  </r>
  <r>
    <x v="14"/>
  </r>
  <r>
    <x v="15"/>
  </r>
  <r>
    <x v="16"/>
  </r>
  <r>
    <x v="17"/>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
  <r>
    <x v="0"/>
    <s v="Success"/>
    <s v="Success"/>
    <n v="0"/>
    <s v="Success"/>
    <m/>
    <x v="0"/>
  </r>
  <r>
    <x v="1"/>
    <s v="Success"/>
    <s v="Success"/>
    <n v="1"/>
    <s v="Success"/>
    <m/>
    <x v="0"/>
  </r>
  <r>
    <x v="2"/>
    <s v="Success"/>
    <s v="Success"/>
    <n v="0"/>
    <s v="Failed"/>
    <s v="Success"/>
    <x v="1"/>
  </r>
  <r>
    <x v="3"/>
    <s v="Failed"/>
    <s v="Need Domain Knowledge - Aggregation target"/>
    <e v="#N/A"/>
    <s v="Failed "/>
    <s v="Failed"/>
    <x v="2"/>
  </r>
  <r>
    <x v="4"/>
    <s v="Failed"/>
    <s v="Success - next iteration"/>
    <n v="0"/>
    <s v="Success"/>
    <m/>
    <x v="3"/>
  </r>
  <r>
    <x v="5"/>
    <s v="Success"/>
    <s v="Success"/>
    <n v="0"/>
    <s v="Success"/>
    <m/>
    <x v="0"/>
  </r>
  <r>
    <x v="6"/>
    <s v="Failed"/>
    <s v="Failed - failed to aggregate - low entropy - domain knowledge"/>
    <n v="0"/>
    <s v="Failed"/>
    <s v="Failed"/>
    <x v="4"/>
  </r>
  <r>
    <x v="7"/>
    <s v="Failed"/>
    <s v="Success - preprocessing"/>
    <s v="Fail"/>
    <s v="Failed - syntax"/>
    <s v="Success"/>
    <x v="5"/>
  </r>
  <r>
    <x v="8"/>
    <s v="Failed"/>
    <s v="Failed - failed to aggregate - low entropy - domain knowledge"/>
    <n v="0"/>
    <s v="Failed"/>
    <m/>
    <x v="6"/>
  </r>
  <r>
    <x v="9"/>
    <s v="Success"/>
    <s v="Success"/>
    <n v="0"/>
    <s v="Success"/>
    <m/>
    <x v="0"/>
  </r>
  <r>
    <x v="10"/>
    <s v="Success"/>
    <s v="Success"/>
    <n v="0"/>
    <s v="Success"/>
    <m/>
    <x v="0"/>
  </r>
  <r>
    <x v="11"/>
    <s v="Failed"/>
    <s v="Failed - failed to aggregate - low entropy - domain knowledge"/>
    <n v="0"/>
    <s v="Failed"/>
    <m/>
    <x v="6"/>
  </r>
  <r>
    <x v="12"/>
    <s v="Failed"/>
    <s v="Need Domain Knowledge - Aggregation function"/>
    <n v="0"/>
    <s v="Failed"/>
    <m/>
    <x v="7"/>
  </r>
  <r>
    <x v="13"/>
    <s v="Failed"/>
    <s v="Failed - failed to aggregate - low entropy - domain knowledge"/>
    <e v="#N/A"/>
    <s v="Failed"/>
    <m/>
    <x v="6"/>
  </r>
  <r>
    <x v="14"/>
    <s v="Failed"/>
    <s v="Failed - failed to aggregate - low entropy - domain knowledge"/>
    <n v="0"/>
    <s v="Failed"/>
    <m/>
    <x v="6"/>
  </r>
  <r>
    <x v="15"/>
    <s v="Success"/>
    <s v="Success"/>
    <n v="1"/>
    <s v="Success"/>
    <m/>
    <x v="0"/>
  </r>
  <r>
    <x v="16"/>
    <s v="Success"/>
    <s v="Success"/>
    <n v="1"/>
    <s v="Failed"/>
    <s v="Success"/>
    <x v="1"/>
  </r>
  <r>
    <x v="17"/>
    <s v="Success"/>
    <s v="Success"/>
    <n v="0"/>
    <s v="Failed"/>
    <s v="Success"/>
    <x v="1"/>
  </r>
  <r>
    <x v="18"/>
    <s v="Success"/>
    <s v="Success"/>
    <n v="0"/>
    <s v="Failed"/>
    <s v="Success"/>
    <x v="1"/>
  </r>
  <r>
    <x v="19"/>
    <s v="Failed"/>
    <s v="Success - preprocessing"/>
    <s v="Fail"/>
    <s v="Failed"/>
    <s v="Success - takes more itr?"/>
    <x v="8"/>
  </r>
  <r>
    <x v="20"/>
    <s v="Failed"/>
    <s v="Failed - failed to aggregate - low entropy - domain knowledge"/>
    <n v="0"/>
    <s v="Failed"/>
    <m/>
    <x v="6"/>
  </r>
  <r>
    <x v="21"/>
    <s v="Failed"/>
    <s v="Failed - failed to aggregate - low entropy - data type change"/>
    <s v="Fail"/>
    <s v="Failed"/>
    <m/>
    <x v="9"/>
  </r>
  <r>
    <x v="22"/>
    <s v="Failed"/>
    <s v="Bad Case - task makes no sense"/>
    <s v="Fail"/>
    <s v="Failed"/>
    <m/>
    <x v="10"/>
  </r>
  <r>
    <x v="23"/>
    <s v="Failed"/>
    <s v="Success* bad test case : Dec_2012 vs Dec_2013"/>
    <n v="0"/>
    <s v="Failed"/>
    <s v="Success* bad test case : Dec_2012 vs Dec_2013"/>
    <x v="11"/>
  </r>
  <r>
    <x v="24"/>
    <s v="Failed"/>
    <s v="Success* bad test case : Dec_2012 vs Dec_2013"/>
    <e v="#N/A"/>
    <s v="Success*"/>
    <m/>
    <x v="12"/>
  </r>
  <r>
    <x v="25"/>
    <s v="Failed"/>
    <s v="Failed - failed to aggregate - low entropy - data type change"/>
    <n v="0"/>
    <s v="Failed"/>
    <m/>
    <x v="9"/>
  </r>
  <r>
    <x v="26"/>
    <s v="Failed"/>
    <s v="Success*  grouped by continent - did not remove the empty continent - I would not call this failed.."/>
    <n v="0"/>
    <s v="Success*"/>
    <m/>
    <x v="13"/>
  </r>
  <r>
    <x v="27"/>
    <s v="Failed"/>
    <s v="Failed - failed to aggregate - low entropy - domain knowledge"/>
    <e v="#N/A"/>
    <s v="Failed"/>
    <m/>
    <x v="6"/>
  </r>
  <r>
    <x v="28"/>
    <s v="Success"/>
    <s v="Success"/>
    <e v="#N/A"/>
    <s v="Failed* VERY CLOSE.. CHECK"/>
    <m/>
    <x v="14"/>
  </r>
  <r>
    <x v="29"/>
    <s v="Success"/>
    <s v="Success"/>
    <n v="0"/>
    <s v="Failed"/>
    <s v="Success-itr2"/>
    <x v="15"/>
  </r>
  <r>
    <x v="30"/>
    <s v="Failed"/>
    <s v="Success - preprocessing"/>
    <s v="Fail"/>
    <s v="Success"/>
    <m/>
    <x v="16"/>
  </r>
  <r>
    <x v="31"/>
    <s v="Success"/>
    <s v="Success"/>
    <n v="0"/>
    <s v="Success"/>
    <m/>
    <x v="0"/>
  </r>
  <r>
    <x v="32"/>
    <s v="Failed"/>
    <s v="Failed - failed to aggregate - low entropy - domain knowledge"/>
    <e v="#N/A"/>
    <s v="Success** DID BETTER!!! BY CHANCE I GUESS.. "/>
    <m/>
    <x v="17"/>
  </r>
  <r>
    <x v="33"/>
    <s v="Failed"/>
    <s v="Success"/>
    <n v="0"/>
    <s v="Success"/>
    <m/>
    <x v="0"/>
  </r>
  <r>
    <x v="34"/>
    <s v="Success"/>
    <s v="Success"/>
    <n v="0"/>
    <s v="Success"/>
    <m/>
    <x v="0"/>
  </r>
  <r>
    <x v="35"/>
    <s v="Success"/>
    <s v="Success"/>
    <e v="#N/A"/>
    <s v="Success"/>
    <m/>
    <x v="0"/>
  </r>
  <r>
    <x v="36"/>
    <s v="Success"/>
    <s v="Success"/>
    <e v="#N/A"/>
    <s v="Failed - DID NOT DO SUBSTRING"/>
    <s v="Success"/>
    <x v="18"/>
  </r>
  <r>
    <x v="37"/>
    <s v="Success"/>
    <s v="Success"/>
    <n v="1"/>
    <s v="Success"/>
    <m/>
    <x v="0"/>
  </r>
  <r>
    <x v="38"/>
    <s v="Success"/>
    <s v="Success"/>
    <n v="0"/>
    <s v="Failed"/>
    <m/>
    <x v="19"/>
  </r>
  <r>
    <x v="39"/>
    <s v="Failed"/>
    <s v="Failed - failed to aggregate - low entropy - domain knowledge/ did not do count"/>
    <n v="0"/>
    <s v="Failed"/>
    <m/>
    <x v="20"/>
  </r>
  <r>
    <x v="40"/>
    <s v="Failed"/>
    <s v="Success*  grouped by continent - did not remove the empty fac_type - I would not call this failed.."/>
    <s v="Fail"/>
    <s v="Success*"/>
    <m/>
    <x v="21"/>
  </r>
  <r>
    <x v="41"/>
    <s v="Failed"/>
    <s v="Need Domain Knowledge - Use Aggregation or not"/>
    <s v="Fail"/>
    <s v="Failed"/>
    <m/>
    <x v="22"/>
  </r>
  <r>
    <x v="42"/>
    <s v="Success"/>
    <s v="Success"/>
    <n v="0"/>
    <s v="Failed"/>
    <s v="Success"/>
    <x v="1"/>
  </r>
  <r>
    <x v="43"/>
    <s v="Failed"/>
    <s v="Failed - failed to aggregate - low entropy - domain knowledge"/>
    <n v="0"/>
    <s v="Failed"/>
    <m/>
    <x v="6"/>
  </r>
  <r>
    <x v="44"/>
    <s v="Failed"/>
    <s v="Success*  grouped by continent - did not remove the empty conservation_status - I would not call this failed.."/>
    <n v="0"/>
    <s v="Success*"/>
    <m/>
    <x v="23"/>
  </r>
  <r>
    <x v="45"/>
    <s v="Success"/>
    <s v="Success"/>
    <e v="#N/A"/>
    <s v="Failed"/>
    <m/>
    <x v="19"/>
  </r>
  <r>
    <x v="46"/>
    <s v="Failed"/>
    <s v="Need Domain Knowledge - Aggregation function"/>
    <n v="0"/>
    <s v="Failed"/>
    <m/>
    <x v="7"/>
  </r>
  <r>
    <x v="47"/>
    <s v="Failed"/>
    <s v="Failed - failed to aggregate - low entropy - domain knowledge"/>
    <e v="#N/A"/>
    <s v="Failed"/>
    <m/>
    <x v="6"/>
  </r>
  <r>
    <x v="48"/>
    <s v="Failed"/>
    <s v="Success"/>
    <n v="1"/>
    <s v="Failed"/>
    <m/>
    <x v="19"/>
  </r>
  <r>
    <x v="49"/>
    <s v="Failed"/>
    <s v="Bad Case - task makes no sense"/>
    <n v="0"/>
    <s v="Failed"/>
    <m/>
    <x v="10"/>
  </r>
  <r>
    <x v="50"/>
    <s v="Failed"/>
    <s v="Need Domain Knowledge - Rare case/ expectation"/>
    <n v="0"/>
    <s v="Failed"/>
    <m/>
    <x v="24"/>
  </r>
  <r>
    <x v="51"/>
    <s v="Failed"/>
    <s v="Success - next iteration"/>
    <n v="0"/>
    <s v="GUESS IT CAN SUCCESS"/>
    <s v="Success"/>
    <x v="25"/>
  </r>
  <r>
    <x v="52"/>
    <s v="Failed"/>
    <s v="Success - next iteration"/>
    <n v="0"/>
    <s v="Success"/>
    <m/>
    <x v="3"/>
  </r>
  <r>
    <x v="53"/>
    <s v="Failed"/>
    <s v="Success - next iteration"/>
    <n v="0"/>
    <s v="Failed"/>
    <m/>
    <x v="26"/>
  </r>
  <r>
    <x v="54"/>
    <s v="Failed"/>
    <s v="Failed - failed to aggregate - low entropy - domain knowledge - hard (newest date)"/>
    <n v="0"/>
    <s v="Failed"/>
    <m/>
    <x v="27"/>
  </r>
  <r>
    <x v="55"/>
    <s v="Failed"/>
    <s v="Need Domain Knowledge - expectation/ count on which"/>
    <n v="0"/>
    <s v="Failed"/>
    <s v="Success - by luck"/>
    <x v="28"/>
  </r>
  <r>
    <x v="56"/>
    <s v="Failed"/>
    <s v="Failed - did not figured out"/>
    <n v="0"/>
    <s v="Failed"/>
    <m/>
    <x v="29"/>
  </r>
  <r>
    <x v="57"/>
    <m/>
    <m/>
    <m/>
    <m/>
    <m/>
    <x v="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AEAAC30-25A9-4FB2-94DA-9C98E3AE11C3}"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0">
  <location ref="A3:B7" firstHeaderRow="1" firstDataRow="1" firstDataCol="1"/>
  <pivotFields count="4">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dataField="1" compact="0" outline="0" showAll="0" defaultSubtotal="0">
      <items count="4">
        <item x="1"/>
        <item x="2"/>
        <item x="0"/>
        <item x="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2"/>
  </rowFields>
  <rowItems count="4">
    <i>
      <x/>
    </i>
    <i>
      <x v="1"/>
    </i>
    <i>
      <x v="2"/>
    </i>
    <i>
      <x v="3"/>
    </i>
  </rowItems>
  <colItems count="1">
    <i/>
  </colItems>
  <dataFields count="1">
    <dataField name="Count of Type" fld="2"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914C5FE-F488-4A16-BAD6-94AC287763C6}"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7" firstHeaderRow="1" firstDataRow="1" firstDataCol="1"/>
  <pivotFields count="4">
    <pivotField axis="axisRow" showAll="0" sortType="ascending">
      <items count="59">
        <item x="4"/>
        <item x="5"/>
        <item x="6"/>
        <item x="7"/>
        <item x="8"/>
        <item x="9"/>
        <item x="10"/>
        <item x="11"/>
        <item x="12"/>
        <item x="13"/>
        <item x="14"/>
        <item x="15"/>
        <item x="0"/>
        <item x="16"/>
        <item x="17"/>
        <item x="18"/>
        <item x="1"/>
        <item x="19"/>
        <item x="20"/>
        <item x="21"/>
        <item x="22"/>
        <item x="23"/>
        <item x="24"/>
        <item x="25"/>
        <item x="26"/>
        <item x="27"/>
        <item x="28"/>
        <item x="29"/>
        <item x="30"/>
        <item x="2"/>
        <item x="31"/>
        <item x="32"/>
        <item x="33"/>
        <item x="34"/>
        <item x="35"/>
        <item x="36"/>
        <item x="37"/>
        <item x="38"/>
        <item x="39"/>
        <item x="40"/>
        <item x="41"/>
        <item x="42"/>
        <item x="43"/>
        <item x="44"/>
        <item x="45"/>
        <item x="46"/>
        <item x="47"/>
        <item x="48"/>
        <item x="49"/>
        <item x="3"/>
        <item x="50"/>
        <item x="51"/>
        <item x="52"/>
        <item x="53"/>
        <item x="54"/>
        <item x="55"/>
        <item x="56"/>
        <item x="57"/>
        <item t="default"/>
      </items>
    </pivotField>
    <pivotField showAll="0"/>
    <pivotField axis="axisRow" showAll="0">
      <items count="6">
        <item x="1"/>
        <item x="2"/>
        <item sd="0" x="0"/>
        <item x="3"/>
        <item x="4"/>
        <item t="default"/>
      </items>
    </pivotField>
    <pivotField dataField="1" showAll="0">
      <items count="22">
        <item x="14"/>
        <item x="10"/>
        <item x="7"/>
        <item x="8"/>
        <item x="12"/>
        <item x="15"/>
        <item x="17"/>
        <item x="19"/>
        <item x="16"/>
        <item x="0"/>
        <item x="5"/>
        <item x="1"/>
        <item x="6"/>
        <item x="11"/>
        <item x="13"/>
        <item x="4"/>
        <item x="18"/>
        <item x="2"/>
        <item x="9"/>
        <item x="20"/>
        <item x="3"/>
        <item t="default"/>
      </items>
    </pivotField>
  </pivotFields>
  <rowFields count="2">
    <field x="2"/>
    <field x="0"/>
  </rowFields>
  <rowItems count="44">
    <i>
      <x/>
    </i>
    <i r="1">
      <x v="2"/>
    </i>
    <i r="1">
      <x v="4"/>
    </i>
    <i r="1">
      <x v="7"/>
    </i>
    <i r="1">
      <x v="9"/>
    </i>
    <i r="1">
      <x v="10"/>
    </i>
    <i r="1">
      <x v="18"/>
    </i>
    <i r="1">
      <x v="19"/>
    </i>
    <i r="1">
      <x v="21"/>
    </i>
    <i r="1">
      <x v="22"/>
    </i>
    <i r="1">
      <x v="23"/>
    </i>
    <i r="1">
      <x v="24"/>
    </i>
    <i r="1">
      <x v="25"/>
    </i>
    <i r="1">
      <x v="31"/>
    </i>
    <i r="1">
      <x v="38"/>
    </i>
    <i r="1">
      <x v="39"/>
    </i>
    <i r="1">
      <x v="42"/>
    </i>
    <i r="1">
      <x v="43"/>
    </i>
    <i r="1">
      <x v="46"/>
    </i>
    <i r="1">
      <x v="49"/>
    </i>
    <i r="1">
      <x v="54"/>
    </i>
    <i r="1">
      <x v="56"/>
    </i>
    <i>
      <x v="1"/>
    </i>
    <i r="1">
      <x/>
    </i>
    <i r="1">
      <x v="3"/>
    </i>
    <i r="1">
      <x v="8"/>
    </i>
    <i r="1">
      <x v="32"/>
    </i>
    <i r="1">
      <x v="45"/>
    </i>
    <i r="1">
      <x v="55"/>
    </i>
    <i>
      <x v="2"/>
    </i>
    <i>
      <x v="3"/>
    </i>
    <i r="1">
      <x v="17"/>
    </i>
    <i r="1">
      <x v="20"/>
    </i>
    <i r="1">
      <x v="28"/>
    </i>
    <i r="1">
      <x v="40"/>
    </i>
    <i r="1">
      <x v="47"/>
    </i>
    <i r="1">
      <x v="48"/>
    </i>
    <i r="1">
      <x v="50"/>
    </i>
    <i r="1">
      <x v="51"/>
    </i>
    <i r="1">
      <x v="52"/>
    </i>
    <i r="1">
      <x v="53"/>
    </i>
    <i>
      <x v="4"/>
    </i>
    <i r="1">
      <x v="57"/>
    </i>
    <i t="grand">
      <x/>
    </i>
  </rowItems>
  <colItems count="1">
    <i/>
  </colItems>
  <dataFields count="1">
    <dataField name="Count of Details"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281601A-8940-4371-9FD2-026A909D6BF4}"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2" firstHeaderRow="1" firstDataRow="1" firstDataCol="1"/>
  <pivotFields count="1">
    <pivotField axis="axisRow" dataField="1" showAll="0">
      <items count="19">
        <item x="5"/>
        <item x="16"/>
        <item x="4"/>
        <item x="2"/>
        <item x="14"/>
        <item x="8"/>
        <item x="3"/>
        <item x="1"/>
        <item x="15"/>
        <item x="12"/>
        <item x="10"/>
        <item x="0"/>
        <item x="13"/>
        <item x="11"/>
        <item x="7"/>
        <item x="9"/>
        <item x="6"/>
        <item x="17"/>
        <item t="default"/>
      </items>
    </pivotField>
  </pivotFields>
  <rowFields count="1">
    <field x="0"/>
  </rowFields>
  <rowItems count="19">
    <i>
      <x/>
    </i>
    <i>
      <x v="1"/>
    </i>
    <i>
      <x v="2"/>
    </i>
    <i>
      <x v="3"/>
    </i>
    <i>
      <x v="4"/>
    </i>
    <i>
      <x v="5"/>
    </i>
    <i>
      <x v="6"/>
    </i>
    <i>
      <x v="7"/>
    </i>
    <i>
      <x v="8"/>
    </i>
    <i>
      <x v="9"/>
    </i>
    <i>
      <x v="10"/>
    </i>
    <i>
      <x v="11"/>
    </i>
    <i>
      <x v="12"/>
    </i>
    <i>
      <x v="13"/>
    </i>
    <i>
      <x v="14"/>
    </i>
    <i>
      <x v="15"/>
    </i>
    <i>
      <x v="16"/>
    </i>
    <i>
      <x v="17"/>
    </i>
    <i t="grand">
      <x/>
    </i>
  </rowItems>
  <colItems count="1">
    <i/>
  </colItems>
  <dataFields count="1">
    <dataField name="Count of After Fix"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43724F9-9EFD-A04E-8C7C-A5DD05D4C2D7}"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3" firstHeaderRow="1" firstDataRow="1" firstDataCol="1"/>
  <pivotFields count="7">
    <pivotField axis="axisRow" showAll="0">
      <items count="59">
        <item x="4"/>
        <item x="5"/>
        <item x="6"/>
        <item x="7"/>
        <item x="8"/>
        <item x="9"/>
        <item x="10"/>
        <item x="11"/>
        <item x="12"/>
        <item x="13"/>
        <item x="14"/>
        <item x="15"/>
        <item x="0"/>
        <item x="16"/>
        <item x="17"/>
        <item x="18"/>
        <item x="1"/>
        <item x="19"/>
        <item x="20"/>
        <item x="21"/>
        <item x="22"/>
        <item x="23"/>
        <item x="24"/>
        <item x="25"/>
        <item x="26"/>
        <item x="27"/>
        <item x="28"/>
        <item x="29"/>
        <item x="30"/>
        <item x="2"/>
        <item x="31"/>
        <item x="32"/>
        <item x="33"/>
        <item x="34"/>
        <item x="35"/>
        <item x="36"/>
        <item x="37"/>
        <item x="38"/>
        <item x="39"/>
        <item x="40"/>
        <item x="41"/>
        <item x="42"/>
        <item x="43"/>
        <item x="44"/>
        <item x="45"/>
        <item x="46"/>
        <item x="47"/>
        <item x="48"/>
        <item x="49"/>
        <item x="3"/>
        <item x="50"/>
        <item x="51"/>
        <item x="52"/>
        <item x="53"/>
        <item x="54"/>
        <item x="55"/>
        <item x="56"/>
        <item x="57"/>
        <item t="default"/>
      </items>
    </pivotField>
    <pivotField showAll="0"/>
    <pivotField showAll="0"/>
    <pivotField showAll="0"/>
    <pivotField showAll="0"/>
    <pivotField showAll="0"/>
    <pivotField axis="axisRow" dataField="1" showAll="0">
      <items count="36">
        <item x="10"/>
        <item x="29"/>
        <item x="9"/>
        <item x="27"/>
        <item x="6"/>
        <item x="4"/>
        <item x="17"/>
        <item x="20"/>
        <item x="7"/>
        <item x="2"/>
        <item x="28"/>
        <item x="24"/>
        <item x="22"/>
        <item x="26"/>
        <item m="1" x="32"/>
        <item x="3"/>
        <item x="19"/>
        <item x="18"/>
        <item m="1" x="34"/>
        <item m="1" x="33"/>
        <item x="1"/>
        <item x="14"/>
        <item x="0"/>
        <item x="23"/>
        <item x="13"/>
        <item x="21"/>
        <item m="1" x="31"/>
        <item x="12"/>
        <item x="30"/>
        <item x="5"/>
        <item x="8"/>
        <item x="15"/>
        <item x="16"/>
        <item x="11"/>
        <item x="25"/>
        <item t="default"/>
      </items>
    </pivotField>
  </pivotFields>
  <rowFields count="2">
    <field x="6"/>
    <field x="0"/>
  </rowFields>
  <rowItems count="90">
    <i>
      <x/>
    </i>
    <i r="1">
      <x v="20"/>
    </i>
    <i r="1">
      <x v="48"/>
    </i>
    <i>
      <x v="1"/>
    </i>
    <i r="1">
      <x v="56"/>
    </i>
    <i>
      <x v="2"/>
    </i>
    <i r="1">
      <x v="19"/>
    </i>
    <i r="1">
      <x v="23"/>
    </i>
    <i>
      <x v="3"/>
    </i>
    <i r="1">
      <x v="54"/>
    </i>
    <i>
      <x v="4"/>
    </i>
    <i r="1">
      <x v="4"/>
    </i>
    <i r="1">
      <x v="7"/>
    </i>
    <i r="1">
      <x v="9"/>
    </i>
    <i r="1">
      <x v="10"/>
    </i>
    <i r="1">
      <x v="18"/>
    </i>
    <i r="1">
      <x v="25"/>
    </i>
    <i r="1">
      <x v="42"/>
    </i>
    <i r="1">
      <x v="46"/>
    </i>
    <i>
      <x v="5"/>
    </i>
    <i r="1">
      <x v="2"/>
    </i>
    <i>
      <x v="6"/>
    </i>
    <i r="1">
      <x v="31"/>
    </i>
    <i>
      <x v="7"/>
    </i>
    <i r="1">
      <x v="38"/>
    </i>
    <i>
      <x v="8"/>
    </i>
    <i r="1">
      <x v="8"/>
    </i>
    <i r="1">
      <x v="45"/>
    </i>
    <i>
      <x v="9"/>
    </i>
    <i r="1">
      <x v="49"/>
    </i>
    <i>
      <x v="10"/>
    </i>
    <i r="1">
      <x v="55"/>
    </i>
    <i>
      <x v="11"/>
    </i>
    <i r="1">
      <x v="50"/>
    </i>
    <i>
      <x v="12"/>
    </i>
    <i r="1">
      <x v="40"/>
    </i>
    <i>
      <x v="13"/>
    </i>
    <i r="1">
      <x v="53"/>
    </i>
    <i>
      <x v="15"/>
    </i>
    <i r="1">
      <x/>
    </i>
    <i r="1">
      <x v="52"/>
    </i>
    <i>
      <x v="16"/>
    </i>
    <i r="1">
      <x v="37"/>
    </i>
    <i r="1">
      <x v="44"/>
    </i>
    <i r="1">
      <x v="47"/>
    </i>
    <i>
      <x v="17"/>
    </i>
    <i r="1">
      <x v="35"/>
    </i>
    <i>
      <x v="20"/>
    </i>
    <i r="1">
      <x v="13"/>
    </i>
    <i r="1">
      <x v="14"/>
    </i>
    <i r="1">
      <x v="15"/>
    </i>
    <i r="1">
      <x v="29"/>
    </i>
    <i r="1">
      <x v="41"/>
    </i>
    <i>
      <x v="21"/>
    </i>
    <i r="1">
      <x v="26"/>
    </i>
    <i>
      <x v="22"/>
    </i>
    <i r="1">
      <x v="1"/>
    </i>
    <i r="1">
      <x v="5"/>
    </i>
    <i r="1">
      <x v="6"/>
    </i>
    <i r="1">
      <x v="11"/>
    </i>
    <i r="1">
      <x v="12"/>
    </i>
    <i r="1">
      <x v="16"/>
    </i>
    <i r="1">
      <x v="30"/>
    </i>
    <i r="1">
      <x v="32"/>
    </i>
    <i r="1">
      <x v="33"/>
    </i>
    <i r="1">
      <x v="34"/>
    </i>
    <i r="1">
      <x v="36"/>
    </i>
    <i>
      <x v="23"/>
    </i>
    <i r="1">
      <x v="43"/>
    </i>
    <i>
      <x v="24"/>
    </i>
    <i r="1">
      <x v="24"/>
    </i>
    <i>
      <x v="25"/>
    </i>
    <i r="1">
      <x v="39"/>
    </i>
    <i>
      <x v="27"/>
    </i>
    <i r="1">
      <x v="22"/>
    </i>
    <i>
      <x v="28"/>
    </i>
    <i r="1">
      <x v="57"/>
    </i>
    <i>
      <x v="29"/>
    </i>
    <i r="1">
      <x v="3"/>
    </i>
    <i>
      <x v="30"/>
    </i>
    <i r="1">
      <x v="17"/>
    </i>
    <i>
      <x v="31"/>
    </i>
    <i r="1">
      <x v="27"/>
    </i>
    <i>
      <x v="32"/>
    </i>
    <i r="1">
      <x v="28"/>
    </i>
    <i>
      <x v="33"/>
    </i>
    <i r="1">
      <x v="21"/>
    </i>
    <i>
      <x v="34"/>
    </i>
    <i r="1">
      <x v="51"/>
    </i>
    <i t="grand">
      <x/>
    </i>
  </rowItems>
  <colItems count="1">
    <i/>
  </colItems>
  <dataFields count="1">
    <dataField name="Count of overall_big_prompt_no_fewshot_no_detailed intruction" fld="6" subtotal="count" baseField="0" baseItem="0"/>
  </dataFields>
  <formats count="21">
    <format dxfId="20">
      <pivotArea dataOnly="0" labelOnly="1" fieldPosition="0">
        <references count="1">
          <reference field="6" count="1">
            <x v="6"/>
          </reference>
        </references>
      </pivotArea>
    </format>
    <format dxfId="19">
      <pivotArea dataOnly="0" labelOnly="1" fieldPosition="0">
        <references count="2">
          <reference field="0" count="1">
            <x v="31"/>
          </reference>
          <reference field="6" count="1" selected="0">
            <x v="6"/>
          </reference>
        </references>
      </pivotArea>
    </format>
    <format dxfId="18">
      <pivotArea dataOnly="0" labelOnly="1" fieldPosition="0">
        <references count="1">
          <reference field="6" count="1">
            <x v="10"/>
          </reference>
        </references>
      </pivotArea>
    </format>
    <format dxfId="17">
      <pivotArea dataOnly="0" labelOnly="1" fieldPosition="0">
        <references count="2">
          <reference field="0" count="1">
            <x v="55"/>
          </reference>
          <reference field="6" count="1" selected="0">
            <x v="10"/>
          </reference>
        </references>
      </pivotArea>
    </format>
    <format dxfId="16">
      <pivotArea dataOnly="0" labelOnly="1" fieldPosition="0">
        <references count="1">
          <reference field="6" count="1">
            <x v="13"/>
          </reference>
        </references>
      </pivotArea>
    </format>
    <format dxfId="15">
      <pivotArea dataOnly="0" labelOnly="1" fieldPosition="0">
        <references count="2">
          <reference field="0" count="1">
            <x v="53"/>
          </reference>
          <reference field="6" count="1" selected="0">
            <x v="13"/>
          </reference>
        </references>
      </pivotArea>
    </format>
    <format dxfId="14">
      <pivotArea dataOnly="0" labelOnly="1" fieldPosition="0">
        <references count="1">
          <reference field="6" count="1">
            <x v="14"/>
          </reference>
        </references>
      </pivotArea>
    </format>
    <format dxfId="13">
      <pivotArea dataOnly="0" labelOnly="1" fieldPosition="0">
        <references count="2">
          <reference field="0" count="1">
            <x v="51"/>
          </reference>
          <reference field="6" count="1" selected="0">
            <x v="14"/>
          </reference>
        </references>
      </pivotArea>
    </format>
    <format dxfId="12">
      <pivotArea dataOnly="0" labelOnly="1" fieldPosition="0">
        <references count="1">
          <reference field="6" count="1">
            <x v="16"/>
          </reference>
        </references>
      </pivotArea>
    </format>
    <format dxfId="11">
      <pivotArea dataOnly="0" labelOnly="1" fieldPosition="0">
        <references count="2">
          <reference field="0" count="6">
            <x v="14"/>
            <x v="17"/>
            <x v="27"/>
            <x v="37"/>
            <x v="44"/>
            <x v="47"/>
          </reference>
          <reference field="6" count="1" selected="0">
            <x v="16"/>
          </reference>
        </references>
      </pivotArea>
    </format>
    <format dxfId="10">
      <pivotArea dataOnly="0" labelOnly="1" fieldPosition="0">
        <references count="1">
          <reference field="6" count="1">
            <x v="19"/>
          </reference>
        </references>
      </pivotArea>
    </format>
    <format dxfId="9">
      <pivotArea dataOnly="0" labelOnly="1" fieldPosition="0">
        <references count="2">
          <reference field="0" count="1">
            <x v="29"/>
          </reference>
          <reference field="6" count="1" selected="0">
            <x v="19"/>
          </reference>
        </references>
      </pivotArea>
    </format>
    <format dxfId="8">
      <pivotArea dataOnly="0" labelOnly="1" fieldPosition="0">
        <references count="1">
          <reference field="6" count="1">
            <x v="26"/>
          </reference>
        </references>
      </pivotArea>
    </format>
    <format dxfId="7">
      <pivotArea dataOnly="0" labelOnly="1" fieldPosition="0">
        <references count="2">
          <reference field="0" count="1">
            <x v="21"/>
          </reference>
          <reference field="6" count="1" selected="0">
            <x v="26"/>
          </reference>
        </references>
      </pivotArea>
    </format>
    <format dxfId="6">
      <pivotArea collapsedLevelsAreSubtotals="1" fieldPosition="0">
        <references count="1">
          <reference field="6" count="1">
            <x v="13"/>
          </reference>
        </references>
      </pivotArea>
    </format>
    <format dxfId="5">
      <pivotArea collapsedLevelsAreSubtotals="1" fieldPosition="0">
        <references count="1">
          <reference field="6" count="1">
            <x v="14"/>
          </reference>
        </references>
      </pivotArea>
    </format>
    <format dxfId="4">
      <pivotArea collapsedLevelsAreSubtotals="1" fieldPosition="0">
        <references count="1">
          <reference field="6" count="1">
            <x v="16"/>
          </reference>
        </references>
      </pivotArea>
    </format>
    <format dxfId="3">
      <pivotArea collapsedLevelsAreSubtotals="1" fieldPosition="0">
        <references count="1">
          <reference field="6" count="1">
            <x v="19"/>
          </reference>
        </references>
      </pivotArea>
    </format>
    <format dxfId="2">
      <pivotArea collapsedLevelsAreSubtotals="1" fieldPosition="0">
        <references count="1">
          <reference field="6" count="1">
            <x v="26"/>
          </reference>
        </references>
      </pivotArea>
    </format>
    <format dxfId="1">
      <pivotArea collapsedLevelsAreSubtotals="1" fieldPosition="0">
        <references count="1">
          <reference field="6" count="1">
            <x v="6"/>
          </reference>
        </references>
      </pivotArea>
    </format>
    <format dxfId="0">
      <pivotArea collapsedLevelsAreSubtotals="1" fieldPosition="0">
        <references count="1">
          <reference field="6" count="1">
            <x v="1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Z5" dT="2024-01-12T21:39:32.38" personId="{B4BE5890-FF70-1B45-A747-DDE27A991EA3}" id="{6E2854E5-8859-B146-B9EA-4B512AAE9A4B}">
    <text>You should be able to see highlights now</text>
  </threadedComment>
  <threadedComment ref="Z5" dT="2024-01-12T21:39:49.29" personId="{B4BE5890-FF70-1B45-A747-DDE27A991EA3}" id="{AE306B4E-E2E8-F944-8BC3-90BBD950787A}" parentId="{6E2854E5-8859-B146-B9EA-4B512AAE9A4B}">
    <text xml:space="preserve">@Guoxin Sun (Student) </text>
    <mentions>
      <mention mentionpersonId="{548949A6-5103-A34C-A07A-141873E28DD5}" mentionId="{E421D918-E258-BA43-978E-43F83DC672C4}" startIndex="0" length="21"/>
    </mentions>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 Id="rId4" Type="http://schemas.microsoft.com/office/2019/04/relationships/documenttask" Target="../documenttasks/documenttask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60CC5-4396-4E1B-BCC2-942256AC1715}">
  <dimension ref="A3:B7"/>
  <sheetViews>
    <sheetView workbookViewId="0">
      <selection activeCell="H29" sqref="H29"/>
    </sheetView>
  </sheetViews>
  <sheetFormatPr defaultColWidth="8.85546875" defaultRowHeight="15" x14ac:dyDescent="0.25"/>
  <cols>
    <col min="1" max="1" width="20" bestFit="1" customWidth="1"/>
    <col min="2" max="2" width="13.42578125" bestFit="1" customWidth="1"/>
  </cols>
  <sheetData>
    <row r="3" spans="1:2" x14ac:dyDescent="0.25">
      <c r="A3" s="6" t="s">
        <v>1</v>
      </c>
      <c r="B3" t="s">
        <v>92</v>
      </c>
    </row>
    <row r="4" spans="1:2" x14ac:dyDescent="0.25">
      <c r="A4" t="s">
        <v>71</v>
      </c>
      <c r="B4">
        <v>21</v>
      </c>
    </row>
    <row r="5" spans="1:2" x14ac:dyDescent="0.25">
      <c r="A5" t="s">
        <v>62</v>
      </c>
      <c r="B5">
        <v>6</v>
      </c>
    </row>
    <row r="6" spans="1:2" x14ac:dyDescent="0.25">
      <c r="A6" t="s">
        <v>60</v>
      </c>
      <c r="B6">
        <v>20</v>
      </c>
    </row>
    <row r="7" spans="1:2" x14ac:dyDescent="0.25">
      <c r="A7" t="s">
        <v>63</v>
      </c>
      <c r="B7">
        <v>10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9E047-ADCA-44E0-B9B1-337699A7DC5C}">
  <dimension ref="A3:B47"/>
  <sheetViews>
    <sheetView workbookViewId="0">
      <selection activeCell="A23" sqref="A23"/>
    </sheetView>
  </sheetViews>
  <sheetFormatPr defaultColWidth="8.85546875" defaultRowHeight="15" x14ac:dyDescent="0.25"/>
  <cols>
    <col min="1" max="1" width="21.85546875" bestFit="1" customWidth="1"/>
    <col min="2" max="2" width="15.28515625" bestFit="1" customWidth="1"/>
    <col min="3" max="13" width="10.42578125" bestFit="1" customWidth="1"/>
    <col min="14" max="14" width="9.42578125" bestFit="1" customWidth="1"/>
    <col min="15" max="17" width="10.42578125" bestFit="1" customWidth="1"/>
    <col min="18" max="18" width="9.42578125" bestFit="1" customWidth="1"/>
    <col min="19" max="30" width="10.42578125" bestFit="1" customWidth="1"/>
    <col min="31" max="31" width="9.42578125" bestFit="1" customWidth="1"/>
    <col min="32" max="50" width="10.42578125" bestFit="1" customWidth="1"/>
    <col min="51" max="51" width="9.42578125" bestFit="1" customWidth="1"/>
    <col min="52" max="58" width="10.42578125" bestFit="1" customWidth="1"/>
    <col min="59" max="59" width="7.28515625" bestFit="1" customWidth="1"/>
    <col min="60" max="60" width="11.28515625" bestFit="1" customWidth="1"/>
    <col min="61" max="61" width="16.42578125" bestFit="1" customWidth="1"/>
    <col min="63" max="63" width="12.140625" bestFit="1" customWidth="1"/>
    <col min="64" max="64" width="11.28515625" bestFit="1" customWidth="1"/>
  </cols>
  <sheetData>
    <row r="3" spans="1:2" x14ac:dyDescent="0.25">
      <c r="A3" s="6" t="s">
        <v>93</v>
      </c>
      <c r="B3" t="s">
        <v>96</v>
      </c>
    </row>
    <row r="4" spans="1:2" x14ac:dyDescent="0.25">
      <c r="A4" s="7" t="s">
        <v>71</v>
      </c>
      <c r="B4">
        <v>21</v>
      </c>
    </row>
    <row r="5" spans="1:2" x14ac:dyDescent="0.25">
      <c r="A5" s="8" t="s">
        <v>9</v>
      </c>
      <c r="B5">
        <v>1</v>
      </c>
    </row>
    <row r="6" spans="1:2" x14ac:dyDescent="0.25">
      <c r="A6" s="8" t="s">
        <v>11</v>
      </c>
      <c r="B6">
        <v>1</v>
      </c>
    </row>
    <row r="7" spans="1:2" x14ac:dyDescent="0.25">
      <c r="A7" s="8" t="s">
        <v>14</v>
      </c>
      <c r="B7">
        <v>1</v>
      </c>
    </row>
    <row r="8" spans="1:2" x14ac:dyDescent="0.25">
      <c r="A8" s="8" t="s">
        <v>16</v>
      </c>
      <c r="B8">
        <v>1</v>
      </c>
    </row>
    <row r="9" spans="1:2" x14ac:dyDescent="0.25">
      <c r="A9" s="8" t="s">
        <v>17</v>
      </c>
      <c r="B9">
        <v>1</v>
      </c>
    </row>
    <row r="10" spans="1:2" x14ac:dyDescent="0.25">
      <c r="A10" s="8" t="s">
        <v>23</v>
      </c>
      <c r="B10">
        <v>1</v>
      </c>
    </row>
    <row r="11" spans="1:2" x14ac:dyDescent="0.25">
      <c r="A11" s="8" t="s">
        <v>24</v>
      </c>
      <c r="B11">
        <v>1</v>
      </c>
    </row>
    <row r="12" spans="1:2" x14ac:dyDescent="0.25">
      <c r="A12" s="8" t="s">
        <v>26</v>
      </c>
      <c r="B12">
        <v>1</v>
      </c>
    </row>
    <row r="13" spans="1:2" x14ac:dyDescent="0.25">
      <c r="A13" s="8" t="s">
        <v>27</v>
      </c>
      <c r="B13">
        <v>1</v>
      </c>
    </row>
    <row r="14" spans="1:2" x14ac:dyDescent="0.25">
      <c r="A14" s="8" t="s">
        <v>28</v>
      </c>
      <c r="B14">
        <v>1</v>
      </c>
    </row>
    <row r="15" spans="1:2" x14ac:dyDescent="0.25">
      <c r="A15" s="8" t="s">
        <v>29</v>
      </c>
      <c r="B15">
        <v>1</v>
      </c>
    </row>
    <row r="16" spans="1:2" x14ac:dyDescent="0.25">
      <c r="A16" s="8" t="s">
        <v>30</v>
      </c>
      <c r="B16">
        <v>1</v>
      </c>
    </row>
    <row r="17" spans="1:2" x14ac:dyDescent="0.25">
      <c r="A17" s="8" t="s">
        <v>35</v>
      </c>
      <c r="B17">
        <v>1</v>
      </c>
    </row>
    <row r="18" spans="1:2" x14ac:dyDescent="0.25">
      <c r="A18" s="8" t="s">
        <v>42</v>
      </c>
      <c r="B18">
        <v>1</v>
      </c>
    </row>
    <row r="19" spans="1:2" x14ac:dyDescent="0.25">
      <c r="A19" s="8" t="s">
        <v>43</v>
      </c>
      <c r="B19">
        <v>1</v>
      </c>
    </row>
    <row r="20" spans="1:2" x14ac:dyDescent="0.25">
      <c r="A20" s="8" t="s">
        <v>46</v>
      </c>
      <c r="B20">
        <v>1</v>
      </c>
    </row>
    <row r="21" spans="1:2" x14ac:dyDescent="0.25">
      <c r="A21" s="8" t="s">
        <v>47</v>
      </c>
      <c r="B21">
        <v>1</v>
      </c>
    </row>
    <row r="22" spans="1:2" x14ac:dyDescent="0.25">
      <c r="A22" s="8" t="s">
        <v>50</v>
      </c>
      <c r="B22">
        <v>1</v>
      </c>
    </row>
    <row r="23" spans="1:2" x14ac:dyDescent="0.25">
      <c r="A23" s="8" t="s">
        <v>6</v>
      </c>
      <c r="B23">
        <v>1</v>
      </c>
    </row>
    <row r="24" spans="1:2" x14ac:dyDescent="0.25">
      <c r="A24" s="8" t="s">
        <v>57</v>
      </c>
      <c r="B24">
        <v>1</v>
      </c>
    </row>
    <row r="25" spans="1:2" x14ac:dyDescent="0.25">
      <c r="A25" s="8" t="s">
        <v>59</v>
      </c>
      <c r="B25">
        <v>1</v>
      </c>
    </row>
    <row r="26" spans="1:2" x14ac:dyDescent="0.25">
      <c r="A26" s="7" t="s">
        <v>62</v>
      </c>
      <c r="B26">
        <v>5</v>
      </c>
    </row>
    <row r="27" spans="1:2" x14ac:dyDescent="0.25">
      <c r="A27" s="8" t="s">
        <v>7</v>
      </c>
      <c r="B27">
        <v>1</v>
      </c>
    </row>
    <row r="28" spans="1:2" x14ac:dyDescent="0.25">
      <c r="A28" s="8" t="s">
        <v>10</v>
      </c>
    </row>
    <row r="29" spans="1:2" x14ac:dyDescent="0.25">
      <c r="A29" s="8" t="s">
        <v>15</v>
      </c>
      <c r="B29">
        <v>1</v>
      </c>
    </row>
    <row r="30" spans="1:2" x14ac:dyDescent="0.25">
      <c r="A30" s="8" t="s">
        <v>36</v>
      </c>
      <c r="B30">
        <v>1</v>
      </c>
    </row>
    <row r="31" spans="1:2" x14ac:dyDescent="0.25">
      <c r="A31" s="8" t="s">
        <v>49</v>
      </c>
      <c r="B31">
        <v>1</v>
      </c>
    </row>
    <row r="32" spans="1:2" x14ac:dyDescent="0.25">
      <c r="A32" s="8" t="s">
        <v>58</v>
      </c>
      <c r="B32">
        <v>1</v>
      </c>
    </row>
    <row r="33" spans="1:2" x14ac:dyDescent="0.25">
      <c r="A33" s="7" t="s">
        <v>60</v>
      </c>
      <c r="B33">
        <v>20</v>
      </c>
    </row>
    <row r="34" spans="1:2" x14ac:dyDescent="0.25">
      <c r="A34" s="7" t="s">
        <v>63</v>
      </c>
      <c r="B34">
        <v>10</v>
      </c>
    </row>
    <row r="35" spans="1:2" x14ac:dyDescent="0.25">
      <c r="A35" s="8" t="s">
        <v>22</v>
      </c>
      <c r="B35">
        <v>1</v>
      </c>
    </row>
    <row r="36" spans="1:2" x14ac:dyDescent="0.25">
      <c r="A36" s="8" t="s">
        <v>25</v>
      </c>
      <c r="B36">
        <v>1</v>
      </c>
    </row>
    <row r="37" spans="1:2" x14ac:dyDescent="0.25">
      <c r="A37" s="8" t="s">
        <v>33</v>
      </c>
      <c r="B37">
        <v>1</v>
      </c>
    </row>
    <row r="38" spans="1:2" x14ac:dyDescent="0.25">
      <c r="A38" s="8" t="s">
        <v>44</v>
      </c>
      <c r="B38">
        <v>1</v>
      </c>
    </row>
    <row r="39" spans="1:2" x14ac:dyDescent="0.25">
      <c r="A39" s="8" t="s">
        <v>51</v>
      </c>
      <c r="B39">
        <v>1</v>
      </c>
    </row>
    <row r="40" spans="1:2" x14ac:dyDescent="0.25">
      <c r="A40" s="8" t="s">
        <v>52</v>
      </c>
      <c r="B40">
        <v>1</v>
      </c>
    </row>
    <row r="41" spans="1:2" x14ac:dyDescent="0.25">
      <c r="A41" s="8" t="s">
        <v>53</v>
      </c>
      <c r="B41">
        <v>1</v>
      </c>
    </row>
    <row r="42" spans="1:2" x14ac:dyDescent="0.25">
      <c r="A42" s="8" t="s">
        <v>54</v>
      </c>
      <c r="B42">
        <v>1</v>
      </c>
    </row>
    <row r="43" spans="1:2" x14ac:dyDescent="0.25">
      <c r="A43" s="8" t="s">
        <v>55</v>
      </c>
      <c r="B43">
        <v>1</v>
      </c>
    </row>
    <row r="44" spans="1:2" x14ac:dyDescent="0.25">
      <c r="A44" s="8" t="s">
        <v>56</v>
      </c>
      <c r="B44">
        <v>1</v>
      </c>
    </row>
    <row r="45" spans="1:2" x14ac:dyDescent="0.25">
      <c r="A45" s="7" t="s">
        <v>94</v>
      </c>
    </row>
    <row r="46" spans="1:2" x14ac:dyDescent="0.25">
      <c r="A46" s="8" t="s">
        <v>94</v>
      </c>
    </row>
    <row r="47" spans="1:2" x14ac:dyDescent="0.25">
      <c r="A47" s="7" t="s">
        <v>95</v>
      </c>
      <c r="B47">
        <v>56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90935-ADFD-4DEE-9683-2CDC26815659}">
  <dimension ref="A3:I45"/>
  <sheetViews>
    <sheetView topLeftCell="A9" workbookViewId="0">
      <selection activeCell="G35" sqref="G35"/>
    </sheetView>
  </sheetViews>
  <sheetFormatPr defaultColWidth="8.85546875" defaultRowHeight="15" x14ac:dyDescent="0.25"/>
  <cols>
    <col min="1" max="1" width="99.85546875" bestFit="1" customWidth="1"/>
    <col min="2" max="2" width="16.7109375" bestFit="1" customWidth="1"/>
    <col min="8" max="8" width="34.7109375" customWidth="1"/>
  </cols>
  <sheetData>
    <row r="3" spans="1:2" x14ac:dyDescent="0.25">
      <c r="A3" s="6" t="s">
        <v>93</v>
      </c>
      <c r="B3" t="s">
        <v>113</v>
      </c>
    </row>
    <row r="4" spans="1:2" x14ac:dyDescent="0.25">
      <c r="A4" s="7" t="s">
        <v>99</v>
      </c>
      <c r="B4">
        <v>2</v>
      </c>
    </row>
    <row r="5" spans="1:2" x14ac:dyDescent="0.25">
      <c r="A5" s="7" t="s">
        <v>112</v>
      </c>
      <c r="B5">
        <v>1</v>
      </c>
    </row>
    <row r="6" spans="1:2" x14ac:dyDescent="0.25">
      <c r="A6" s="7" t="s">
        <v>104</v>
      </c>
      <c r="B6">
        <v>2</v>
      </c>
    </row>
    <row r="7" spans="1:2" x14ac:dyDescent="0.25">
      <c r="A7" s="7" t="s">
        <v>105</v>
      </c>
      <c r="B7">
        <v>10</v>
      </c>
    </row>
    <row r="8" spans="1:2" x14ac:dyDescent="0.25">
      <c r="A8" s="7" t="s">
        <v>111</v>
      </c>
      <c r="B8">
        <v>1</v>
      </c>
    </row>
    <row r="9" spans="1:2" x14ac:dyDescent="0.25">
      <c r="A9" s="7" t="s">
        <v>108</v>
      </c>
      <c r="B9">
        <v>1</v>
      </c>
    </row>
    <row r="10" spans="1:2" x14ac:dyDescent="0.25">
      <c r="A10" s="7" t="s">
        <v>97</v>
      </c>
      <c r="B10">
        <v>2</v>
      </c>
    </row>
    <row r="11" spans="1:2" x14ac:dyDescent="0.25">
      <c r="A11" s="7" t="s">
        <v>98</v>
      </c>
      <c r="B11">
        <v>1</v>
      </c>
    </row>
    <row r="12" spans="1:2" x14ac:dyDescent="0.25">
      <c r="A12" s="7" t="s">
        <v>103</v>
      </c>
      <c r="B12">
        <v>1</v>
      </c>
    </row>
    <row r="13" spans="1:2" x14ac:dyDescent="0.25">
      <c r="A13" s="7" t="s">
        <v>101</v>
      </c>
      <c r="B13">
        <v>1</v>
      </c>
    </row>
    <row r="14" spans="1:2" x14ac:dyDescent="0.25">
      <c r="A14" s="7" t="s">
        <v>100</v>
      </c>
      <c r="B14">
        <v>1</v>
      </c>
    </row>
    <row r="15" spans="1:2" x14ac:dyDescent="0.25">
      <c r="A15" s="7" t="s">
        <v>60</v>
      </c>
      <c r="B15">
        <v>26</v>
      </c>
    </row>
    <row r="16" spans="1:2" x14ac:dyDescent="0.25">
      <c r="A16" s="7" t="s">
        <v>102</v>
      </c>
      <c r="B16">
        <v>3</v>
      </c>
    </row>
    <row r="17" spans="1:5" x14ac:dyDescent="0.25">
      <c r="A17" s="7" t="s">
        <v>110</v>
      </c>
      <c r="B17">
        <v>1</v>
      </c>
    </row>
    <row r="18" spans="1:5" x14ac:dyDescent="0.25">
      <c r="A18" s="7" t="s">
        <v>107</v>
      </c>
      <c r="B18">
        <v>1</v>
      </c>
    </row>
    <row r="19" spans="1:5" x14ac:dyDescent="0.25">
      <c r="A19" s="7" t="s">
        <v>109</v>
      </c>
      <c r="B19">
        <v>1</v>
      </c>
    </row>
    <row r="20" spans="1:5" x14ac:dyDescent="0.25">
      <c r="A20" s="7" t="s">
        <v>106</v>
      </c>
      <c r="B20">
        <v>2</v>
      </c>
    </row>
    <row r="21" spans="1:5" x14ac:dyDescent="0.25">
      <c r="A21" s="7" t="s">
        <v>94</v>
      </c>
    </row>
    <row r="22" spans="1:5" x14ac:dyDescent="0.25">
      <c r="A22" s="7" t="s">
        <v>95</v>
      </c>
      <c r="B22">
        <v>57</v>
      </c>
    </row>
    <row r="29" spans="1:5" x14ac:dyDescent="0.25">
      <c r="A29" s="7" t="s">
        <v>99</v>
      </c>
      <c r="B29">
        <v>2</v>
      </c>
    </row>
    <row r="30" spans="1:5" x14ac:dyDescent="0.25">
      <c r="A30" s="7" t="s">
        <v>112</v>
      </c>
      <c r="B30">
        <v>1</v>
      </c>
      <c r="E30">
        <v>1</v>
      </c>
    </row>
    <row r="31" spans="1:5" x14ac:dyDescent="0.25">
      <c r="A31" s="7" t="s">
        <v>104</v>
      </c>
      <c r="B31">
        <v>2</v>
      </c>
      <c r="E31">
        <v>2</v>
      </c>
    </row>
    <row r="32" spans="1:5" x14ac:dyDescent="0.25">
      <c r="A32" s="7" t="s">
        <v>105</v>
      </c>
      <c r="B32">
        <v>10</v>
      </c>
      <c r="E32">
        <v>10</v>
      </c>
    </row>
    <row r="33" spans="1:9" x14ac:dyDescent="0.25">
      <c r="A33" s="7" t="s">
        <v>111</v>
      </c>
      <c r="B33">
        <v>1</v>
      </c>
      <c r="E33">
        <v>1</v>
      </c>
    </row>
    <row r="34" spans="1:9" x14ac:dyDescent="0.25">
      <c r="A34" s="7" t="s">
        <v>108</v>
      </c>
      <c r="B34">
        <v>1</v>
      </c>
      <c r="E34">
        <v>1</v>
      </c>
    </row>
    <row r="35" spans="1:9" x14ac:dyDescent="0.25">
      <c r="A35" s="7" t="s">
        <v>97</v>
      </c>
      <c r="B35">
        <v>2</v>
      </c>
      <c r="E35">
        <v>2</v>
      </c>
      <c r="H35" t="s">
        <v>116</v>
      </c>
      <c r="I35">
        <f>20/57</f>
        <v>0.35087719298245612</v>
      </c>
    </row>
    <row r="36" spans="1:9" x14ac:dyDescent="0.25">
      <c r="A36" s="7" t="s">
        <v>98</v>
      </c>
      <c r="B36">
        <v>1</v>
      </c>
      <c r="E36">
        <v>1</v>
      </c>
    </row>
    <row r="37" spans="1:9" x14ac:dyDescent="0.25">
      <c r="A37" s="7" t="s">
        <v>103</v>
      </c>
      <c r="B37">
        <v>1</v>
      </c>
      <c r="E37">
        <v>1</v>
      </c>
    </row>
    <row r="38" spans="1:9" x14ac:dyDescent="0.25">
      <c r="A38" s="7" t="s">
        <v>101</v>
      </c>
      <c r="B38">
        <v>1</v>
      </c>
      <c r="E38">
        <v>1</v>
      </c>
      <c r="H38" s="7" t="s">
        <v>99</v>
      </c>
      <c r="I38">
        <v>2</v>
      </c>
    </row>
    <row r="39" spans="1:9" ht="45" x14ac:dyDescent="0.25">
      <c r="A39" s="7" t="s">
        <v>100</v>
      </c>
      <c r="B39">
        <v>1</v>
      </c>
      <c r="E39">
        <v>1</v>
      </c>
      <c r="H39" s="4" t="s">
        <v>114</v>
      </c>
      <c r="I39">
        <f>SUM(E30:E39)</f>
        <v>21</v>
      </c>
    </row>
    <row r="40" spans="1:9" x14ac:dyDescent="0.25">
      <c r="A40" s="7" t="s">
        <v>60</v>
      </c>
      <c r="B40">
        <v>26</v>
      </c>
      <c r="D40">
        <v>26</v>
      </c>
      <c r="H40" t="s">
        <v>60</v>
      </c>
      <c r="I40">
        <f>SUM(D40:D45)</f>
        <v>34</v>
      </c>
    </row>
    <row r="41" spans="1:9" x14ac:dyDescent="0.25">
      <c r="A41" s="7" t="s">
        <v>102</v>
      </c>
      <c r="B41">
        <v>3</v>
      </c>
      <c r="D41">
        <v>3</v>
      </c>
    </row>
    <row r="42" spans="1:9" x14ac:dyDescent="0.25">
      <c r="A42" s="7" t="s">
        <v>110</v>
      </c>
      <c r="B42">
        <v>1</v>
      </c>
      <c r="D42">
        <v>1</v>
      </c>
      <c r="H42" t="s">
        <v>115</v>
      </c>
      <c r="I42">
        <f>34/ (34+21)</f>
        <v>0.61818181818181817</v>
      </c>
    </row>
    <row r="43" spans="1:9" x14ac:dyDescent="0.25">
      <c r="A43" s="7" t="s">
        <v>107</v>
      </c>
      <c r="B43">
        <v>1</v>
      </c>
      <c r="D43">
        <v>1</v>
      </c>
    </row>
    <row r="44" spans="1:9" x14ac:dyDescent="0.25">
      <c r="A44" s="7" t="s">
        <v>109</v>
      </c>
      <c r="B44">
        <v>1</v>
      </c>
      <c r="D44">
        <v>1</v>
      </c>
    </row>
    <row r="45" spans="1:9" x14ac:dyDescent="0.25">
      <c r="A45" s="7" t="s">
        <v>106</v>
      </c>
      <c r="B45">
        <v>2</v>
      </c>
      <c r="D45">
        <v>2</v>
      </c>
    </row>
  </sheetData>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21936-E884-2F46-ADCE-E338D872A5DA}">
  <dimension ref="A3:N93"/>
  <sheetViews>
    <sheetView topLeftCell="A27" workbookViewId="0">
      <selection activeCell="H33" sqref="H33"/>
    </sheetView>
  </sheetViews>
  <sheetFormatPr defaultColWidth="11.42578125" defaultRowHeight="15" x14ac:dyDescent="0.25"/>
  <cols>
    <col min="1" max="1" width="98" bestFit="1" customWidth="1"/>
    <col min="2" max="2" width="52.7109375" bestFit="1" customWidth="1"/>
    <col min="3" max="3" width="9.85546875" bestFit="1" customWidth="1"/>
    <col min="4" max="4" width="12.85546875" bestFit="1" customWidth="1"/>
    <col min="5" max="6" width="10.7109375" bestFit="1" customWidth="1"/>
    <col min="7" max="7" width="12.85546875" bestFit="1" customWidth="1"/>
    <col min="8" max="13" width="10.7109375" bestFit="1" customWidth="1"/>
    <col min="14" max="14" width="9.7109375" bestFit="1" customWidth="1"/>
    <col min="15" max="17" width="9.85546875" bestFit="1" customWidth="1"/>
    <col min="18" max="18" width="8.85546875" bestFit="1" customWidth="1"/>
    <col min="19" max="30" width="9.85546875" bestFit="1" customWidth="1"/>
    <col min="31" max="31" width="8.85546875" bestFit="1" customWidth="1"/>
    <col min="32" max="50" width="9.85546875" bestFit="1" customWidth="1"/>
    <col min="51" max="51" width="8.85546875" bestFit="1" customWidth="1"/>
    <col min="52" max="58" width="9.85546875" bestFit="1" customWidth="1"/>
    <col min="59" max="59" width="6.28515625" bestFit="1" customWidth="1"/>
    <col min="60" max="60" width="10" bestFit="1" customWidth="1"/>
  </cols>
  <sheetData>
    <row r="3" spans="1:2" x14ac:dyDescent="0.25">
      <c r="A3" s="6" t="s">
        <v>93</v>
      </c>
      <c r="B3" t="s">
        <v>171</v>
      </c>
    </row>
    <row r="4" spans="1:2" x14ac:dyDescent="0.25">
      <c r="A4" s="7" t="s">
        <v>172</v>
      </c>
      <c r="B4">
        <v>2</v>
      </c>
    </row>
    <row r="5" spans="1:2" x14ac:dyDescent="0.25">
      <c r="A5" s="8" t="s">
        <v>25</v>
      </c>
      <c r="B5">
        <v>1</v>
      </c>
    </row>
    <row r="6" spans="1:2" x14ac:dyDescent="0.25">
      <c r="A6" s="8" t="s">
        <v>52</v>
      </c>
      <c r="B6">
        <v>1</v>
      </c>
    </row>
    <row r="7" spans="1:2" x14ac:dyDescent="0.25">
      <c r="A7" s="7" t="s">
        <v>173</v>
      </c>
      <c r="B7">
        <v>1</v>
      </c>
    </row>
    <row r="8" spans="1:2" x14ac:dyDescent="0.25">
      <c r="A8" s="8" t="s">
        <v>59</v>
      </c>
      <c r="B8">
        <v>1</v>
      </c>
    </row>
    <row r="9" spans="1:2" x14ac:dyDescent="0.25">
      <c r="A9" s="7" t="s">
        <v>174</v>
      </c>
      <c r="B9">
        <v>2</v>
      </c>
    </row>
    <row r="10" spans="1:2" x14ac:dyDescent="0.25">
      <c r="A10" s="8" t="s">
        <v>24</v>
      </c>
      <c r="B10">
        <v>1</v>
      </c>
    </row>
    <row r="11" spans="1:2" x14ac:dyDescent="0.25">
      <c r="A11" s="8" t="s">
        <v>28</v>
      </c>
      <c r="B11">
        <v>1</v>
      </c>
    </row>
    <row r="12" spans="1:2" x14ac:dyDescent="0.25">
      <c r="A12" s="7" t="s">
        <v>175</v>
      </c>
      <c r="B12">
        <v>1</v>
      </c>
    </row>
    <row r="13" spans="1:2" x14ac:dyDescent="0.25">
      <c r="A13" s="8" t="s">
        <v>57</v>
      </c>
      <c r="B13">
        <v>1</v>
      </c>
    </row>
    <row r="14" spans="1:2" x14ac:dyDescent="0.25">
      <c r="A14" s="7" t="s">
        <v>176</v>
      </c>
      <c r="B14">
        <v>8</v>
      </c>
    </row>
    <row r="15" spans="1:2" x14ac:dyDescent="0.25">
      <c r="A15" s="8" t="s">
        <v>11</v>
      </c>
      <c r="B15">
        <v>1</v>
      </c>
    </row>
    <row r="16" spans="1:2" x14ac:dyDescent="0.25">
      <c r="A16" s="8" t="s">
        <v>14</v>
      </c>
      <c r="B16">
        <v>1</v>
      </c>
    </row>
    <row r="17" spans="1:2" x14ac:dyDescent="0.25">
      <c r="A17" s="8" t="s">
        <v>16</v>
      </c>
      <c r="B17">
        <v>1</v>
      </c>
    </row>
    <row r="18" spans="1:2" x14ac:dyDescent="0.25">
      <c r="A18" s="8" t="s">
        <v>17</v>
      </c>
      <c r="B18">
        <v>1</v>
      </c>
    </row>
    <row r="19" spans="1:2" x14ac:dyDescent="0.25">
      <c r="A19" s="8" t="s">
        <v>23</v>
      </c>
      <c r="B19">
        <v>1</v>
      </c>
    </row>
    <row r="20" spans="1:2" x14ac:dyDescent="0.25">
      <c r="A20" s="8" t="s">
        <v>30</v>
      </c>
      <c r="B20">
        <v>1</v>
      </c>
    </row>
    <row r="21" spans="1:2" x14ac:dyDescent="0.25">
      <c r="A21" s="8" t="s">
        <v>46</v>
      </c>
      <c r="B21">
        <v>1</v>
      </c>
    </row>
    <row r="22" spans="1:2" x14ac:dyDescent="0.25">
      <c r="A22" s="8" t="s">
        <v>50</v>
      </c>
      <c r="B22">
        <v>1</v>
      </c>
    </row>
    <row r="23" spans="1:2" x14ac:dyDescent="0.25">
      <c r="A23" s="7" t="s">
        <v>177</v>
      </c>
      <c r="B23">
        <v>1</v>
      </c>
    </row>
    <row r="24" spans="1:2" x14ac:dyDescent="0.25">
      <c r="A24" s="8" t="s">
        <v>9</v>
      </c>
      <c r="B24">
        <v>1</v>
      </c>
    </row>
    <row r="25" spans="1:2" x14ac:dyDescent="0.25">
      <c r="A25" s="9" t="s">
        <v>178</v>
      </c>
      <c r="B25" s="15">
        <v>1</v>
      </c>
    </row>
    <row r="26" spans="1:2" x14ac:dyDescent="0.25">
      <c r="A26" s="10" t="s">
        <v>35</v>
      </c>
      <c r="B26">
        <v>1</v>
      </c>
    </row>
    <row r="27" spans="1:2" x14ac:dyDescent="0.25">
      <c r="A27" s="7" t="s">
        <v>179</v>
      </c>
      <c r="B27">
        <v>1</v>
      </c>
    </row>
    <row r="28" spans="1:2" x14ac:dyDescent="0.25">
      <c r="A28" s="8" t="s">
        <v>42</v>
      </c>
      <c r="B28">
        <v>1</v>
      </c>
    </row>
    <row r="29" spans="1:2" x14ac:dyDescent="0.25">
      <c r="A29" s="7" t="s">
        <v>180</v>
      </c>
      <c r="B29">
        <v>2</v>
      </c>
    </row>
    <row r="30" spans="1:2" x14ac:dyDescent="0.25">
      <c r="A30" s="8" t="s">
        <v>15</v>
      </c>
      <c r="B30">
        <v>1</v>
      </c>
    </row>
    <row r="31" spans="1:2" x14ac:dyDescent="0.25">
      <c r="A31" s="8" t="s">
        <v>49</v>
      </c>
      <c r="B31">
        <v>1</v>
      </c>
    </row>
    <row r="32" spans="1:2" x14ac:dyDescent="0.25">
      <c r="A32" s="7" t="s">
        <v>181</v>
      </c>
      <c r="B32">
        <v>1</v>
      </c>
    </row>
    <row r="33" spans="1:14" x14ac:dyDescent="0.25">
      <c r="A33" s="8" t="s">
        <v>6</v>
      </c>
      <c r="B33">
        <v>1</v>
      </c>
    </row>
    <row r="34" spans="1:14" x14ac:dyDescent="0.25">
      <c r="A34" s="9" t="s">
        <v>182</v>
      </c>
      <c r="B34" s="15">
        <v>1</v>
      </c>
    </row>
    <row r="35" spans="1:14" x14ac:dyDescent="0.25">
      <c r="A35" s="10" t="s">
        <v>58</v>
      </c>
      <c r="B35">
        <v>1</v>
      </c>
    </row>
    <row r="36" spans="1:14" x14ac:dyDescent="0.25">
      <c r="A36" s="7" t="s">
        <v>183</v>
      </c>
      <c r="B36">
        <v>1</v>
      </c>
      <c r="E36">
        <v>1</v>
      </c>
      <c r="H36" t="s">
        <v>208</v>
      </c>
      <c r="I36">
        <f>32/(21+34)</f>
        <v>0.58181818181818179</v>
      </c>
    </row>
    <row r="37" spans="1:14" x14ac:dyDescent="0.25">
      <c r="A37" s="8" t="s">
        <v>53</v>
      </c>
      <c r="B37">
        <v>1</v>
      </c>
      <c r="E37">
        <v>1</v>
      </c>
      <c r="H37" t="s">
        <v>209</v>
      </c>
      <c r="I37">
        <f>34/(21+34)</f>
        <v>0.61818181818181817</v>
      </c>
    </row>
    <row r="38" spans="1:14" x14ac:dyDescent="0.25">
      <c r="A38" s="7" t="s">
        <v>184</v>
      </c>
      <c r="B38">
        <v>1</v>
      </c>
      <c r="E38">
        <v>6</v>
      </c>
    </row>
    <row r="39" spans="1:14" x14ac:dyDescent="0.25">
      <c r="A39" s="8" t="s">
        <v>44</v>
      </c>
      <c r="B39">
        <v>1</v>
      </c>
      <c r="E39">
        <v>1</v>
      </c>
    </row>
    <row r="40" spans="1:14" x14ac:dyDescent="0.25">
      <c r="A40" s="11" t="s">
        <v>185</v>
      </c>
      <c r="B40" s="13">
        <v>1</v>
      </c>
    </row>
    <row r="41" spans="1:14" x14ac:dyDescent="0.25">
      <c r="A41" s="12" t="s">
        <v>56</v>
      </c>
      <c r="B41">
        <v>1</v>
      </c>
    </row>
    <row r="42" spans="1:14" x14ac:dyDescent="0.25">
      <c r="A42" s="7" t="s">
        <v>186</v>
      </c>
      <c r="B42">
        <v>2</v>
      </c>
    </row>
    <row r="43" spans="1:14" x14ac:dyDescent="0.25">
      <c r="A43" s="8" t="s">
        <v>7</v>
      </c>
      <c r="B43">
        <v>1</v>
      </c>
    </row>
    <row r="44" spans="1:14" x14ac:dyDescent="0.25">
      <c r="A44" s="8" t="s">
        <v>55</v>
      </c>
      <c r="B44">
        <v>1</v>
      </c>
      <c r="D44" s="14" t="s">
        <v>196</v>
      </c>
      <c r="E44" s="14">
        <v>4</v>
      </c>
      <c r="F44" s="15">
        <v>2</v>
      </c>
      <c r="G44" s="15" t="s">
        <v>197</v>
      </c>
      <c r="I44" s="8"/>
      <c r="J44" s="8"/>
      <c r="K44" s="8"/>
      <c r="L44" s="8"/>
      <c r="M44" s="8"/>
      <c r="N44" s="8"/>
    </row>
    <row r="45" spans="1:14" x14ac:dyDescent="0.25">
      <c r="A45" s="11" t="s">
        <v>187</v>
      </c>
      <c r="B45" s="13">
        <v>3</v>
      </c>
      <c r="E45" s="12" t="s">
        <v>41</v>
      </c>
      <c r="F45" s="10" t="s">
        <v>35</v>
      </c>
    </row>
    <row r="46" spans="1:14" x14ac:dyDescent="0.25">
      <c r="A46" s="12" t="s">
        <v>41</v>
      </c>
      <c r="B46">
        <v>1</v>
      </c>
      <c r="E46" s="12" t="s">
        <v>48</v>
      </c>
      <c r="F46" s="10" t="s">
        <v>58</v>
      </c>
    </row>
    <row r="47" spans="1:14" x14ac:dyDescent="0.25">
      <c r="A47" s="12" t="s">
        <v>48</v>
      </c>
      <c r="B47">
        <v>1</v>
      </c>
      <c r="E47" s="12" t="s">
        <v>51</v>
      </c>
    </row>
    <row r="48" spans="1:14" x14ac:dyDescent="0.25">
      <c r="A48" s="12" t="s">
        <v>51</v>
      </c>
      <c r="B48">
        <v>1</v>
      </c>
      <c r="E48" s="12" t="s">
        <v>56</v>
      </c>
    </row>
    <row r="49" spans="1:9" x14ac:dyDescent="0.25">
      <c r="A49" s="7" t="s">
        <v>188</v>
      </c>
      <c r="B49">
        <v>1</v>
      </c>
    </row>
    <row r="50" spans="1:9" x14ac:dyDescent="0.25">
      <c r="A50" s="8" t="s">
        <v>39</v>
      </c>
      <c r="B50">
        <v>1</v>
      </c>
    </row>
    <row r="51" spans="1:9" x14ac:dyDescent="0.25">
      <c r="A51" s="7" t="s">
        <v>189</v>
      </c>
      <c r="B51">
        <v>5</v>
      </c>
    </row>
    <row r="52" spans="1:9" x14ac:dyDescent="0.25">
      <c r="A52" s="8" t="s">
        <v>19</v>
      </c>
      <c r="B52">
        <v>1</v>
      </c>
    </row>
    <row r="53" spans="1:9" x14ac:dyDescent="0.25">
      <c r="A53" s="8" t="s">
        <v>20</v>
      </c>
      <c r="B53">
        <v>1</v>
      </c>
    </row>
    <row r="54" spans="1:9" x14ac:dyDescent="0.25">
      <c r="A54" s="8" t="s">
        <v>21</v>
      </c>
      <c r="B54">
        <v>1</v>
      </c>
    </row>
    <row r="55" spans="1:9" x14ac:dyDescent="0.25">
      <c r="A55" s="8" t="s">
        <v>5</v>
      </c>
      <c r="B55">
        <v>1</v>
      </c>
    </row>
    <row r="56" spans="1:9" x14ac:dyDescent="0.25">
      <c r="A56" s="8" t="s">
        <v>45</v>
      </c>
      <c r="B56">
        <v>1</v>
      </c>
    </row>
    <row r="57" spans="1:9" x14ac:dyDescent="0.25">
      <c r="A57" s="7" t="s">
        <v>190</v>
      </c>
      <c r="B57">
        <v>1</v>
      </c>
      <c r="I57" s="16" t="s">
        <v>5</v>
      </c>
    </row>
    <row r="58" spans="1:9" x14ac:dyDescent="0.25">
      <c r="A58" s="8" t="s">
        <v>31</v>
      </c>
      <c r="B58">
        <v>1</v>
      </c>
      <c r="I58" s="16" t="s">
        <v>20</v>
      </c>
    </row>
    <row r="59" spans="1:9" x14ac:dyDescent="0.25">
      <c r="A59" s="7" t="s">
        <v>191</v>
      </c>
      <c r="B59">
        <v>11</v>
      </c>
      <c r="I59" s="16" t="s">
        <v>22</v>
      </c>
    </row>
    <row r="60" spans="1:9" x14ac:dyDescent="0.25">
      <c r="A60" s="8" t="s">
        <v>8</v>
      </c>
      <c r="B60">
        <v>1</v>
      </c>
      <c r="I60" s="16" t="s">
        <v>32</v>
      </c>
    </row>
    <row r="61" spans="1:9" x14ac:dyDescent="0.25">
      <c r="A61" s="8" t="s">
        <v>12</v>
      </c>
      <c r="B61">
        <v>1</v>
      </c>
      <c r="I61" s="12" t="s">
        <v>54</v>
      </c>
    </row>
    <row r="62" spans="1:9" x14ac:dyDescent="0.25">
      <c r="A62" s="8" t="s">
        <v>13</v>
      </c>
      <c r="B62">
        <v>1</v>
      </c>
    </row>
    <row r="63" spans="1:9" x14ac:dyDescent="0.25">
      <c r="A63" s="8" t="s">
        <v>18</v>
      </c>
      <c r="B63">
        <v>1</v>
      </c>
    </row>
    <row r="64" spans="1:9" x14ac:dyDescent="0.25">
      <c r="A64" s="8" t="s">
        <v>3</v>
      </c>
      <c r="B64">
        <v>1</v>
      </c>
    </row>
    <row r="65" spans="1:2" x14ac:dyDescent="0.25">
      <c r="A65" s="8" t="s">
        <v>4</v>
      </c>
      <c r="B65">
        <v>1</v>
      </c>
    </row>
    <row r="66" spans="1:2" x14ac:dyDescent="0.25">
      <c r="A66" s="8" t="s">
        <v>34</v>
      </c>
      <c r="B66">
        <v>1</v>
      </c>
    </row>
    <row r="67" spans="1:2" x14ac:dyDescent="0.25">
      <c r="A67" s="8" t="s">
        <v>36</v>
      </c>
      <c r="B67">
        <v>1</v>
      </c>
    </row>
    <row r="68" spans="1:2" x14ac:dyDescent="0.25">
      <c r="A68" s="8" t="s">
        <v>37</v>
      </c>
      <c r="B68">
        <v>1</v>
      </c>
    </row>
    <row r="69" spans="1:2" x14ac:dyDescent="0.25">
      <c r="A69" s="8" t="s">
        <v>38</v>
      </c>
      <c r="B69">
        <v>1</v>
      </c>
    </row>
    <row r="70" spans="1:2" x14ac:dyDescent="0.25">
      <c r="A70" s="8" t="s">
        <v>40</v>
      </c>
      <c r="B70">
        <v>1</v>
      </c>
    </row>
    <row r="71" spans="1:2" x14ac:dyDescent="0.25">
      <c r="A71" s="7" t="s">
        <v>192</v>
      </c>
      <c r="B71">
        <v>1</v>
      </c>
    </row>
    <row r="72" spans="1:2" x14ac:dyDescent="0.25">
      <c r="A72" s="8" t="s">
        <v>47</v>
      </c>
      <c r="B72">
        <v>1</v>
      </c>
    </row>
    <row r="73" spans="1:2" x14ac:dyDescent="0.25">
      <c r="A73" s="7" t="s">
        <v>193</v>
      </c>
      <c r="B73">
        <v>1</v>
      </c>
    </row>
    <row r="74" spans="1:2" x14ac:dyDescent="0.25">
      <c r="A74" s="8" t="s">
        <v>29</v>
      </c>
      <c r="B74">
        <v>1</v>
      </c>
    </row>
    <row r="75" spans="1:2" x14ac:dyDescent="0.25">
      <c r="A75" s="7" t="s">
        <v>194</v>
      </c>
      <c r="B75">
        <v>1</v>
      </c>
    </row>
    <row r="76" spans="1:2" x14ac:dyDescent="0.25">
      <c r="A76" s="8" t="s">
        <v>43</v>
      </c>
      <c r="B76">
        <v>1</v>
      </c>
    </row>
    <row r="77" spans="1:2" x14ac:dyDescent="0.25">
      <c r="A77" s="7" t="s">
        <v>195</v>
      </c>
      <c r="B77">
        <v>1</v>
      </c>
    </row>
    <row r="78" spans="1:2" x14ac:dyDescent="0.25">
      <c r="A78" s="8" t="s">
        <v>27</v>
      </c>
      <c r="B78">
        <v>1</v>
      </c>
    </row>
    <row r="79" spans="1:2" x14ac:dyDescent="0.25">
      <c r="A79" s="7" t="s">
        <v>94</v>
      </c>
    </row>
    <row r="80" spans="1:2" x14ac:dyDescent="0.25">
      <c r="A80" s="8" t="s">
        <v>94</v>
      </c>
    </row>
    <row r="81" spans="1:2" x14ac:dyDescent="0.25">
      <c r="A81" s="7" t="s">
        <v>201</v>
      </c>
      <c r="B81">
        <v>1</v>
      </c>
    </row>
    <row r="82" spans="1:2" x14ac:dyDescent="0.25">
      <c r="A82" s="8" t="s">
        <v>10</v>
      </c>
      <c r="B82">
        <v>1</v>
      </c>
    </row>
    <row r="83" spans="1:2" x14ac:dyDescent="0.25">
      <c r="A83" s="7" t="s">
        <v>202</v>
      </c>
      <c r="B83">
        <v>1</v>
      </c>
    </row>
    <row r="84" spans="1:2" x14ac:dyDescent="0.25">
      <c r="A84" s="8" t="s">
        <v>22</v>
      </c>
      <c r="B84">
        <v>1</v>
      </c>
    </row>
    <row r="85" spans="1:2" x14ac:dyDescent="0.25">
      <c r="A85" s="7" t="s">
        <v>203</v>
      </c>
      <c r="B85">
        <v>1</v>
      </c>
    </row>
    <row r="86" spans="1:2" x14ac:dyDescent="0.25">
      <c r="A86" s="8" t="s">
        <v>32</v>
      </c>
      <c r="B86">
        <v>1</v>
      </c>
    </row>
    <row r="87" spans="1:2" x14ac:dyDescent="0.25">
      <c r="A87" s="7" t="s">
        <v>204</v>
      </c>
      <c r="B87">
        <v>1</v>
      </c>
    </row>
    <row r="88" spans="1:2" x14ac:dyDescent="0.25">
      <c r="A88" s="8" t="s">
        <v>33</v>
      </c>
      <c r="B88">
        <v>1</v>
      </c>
    </row>
    <row r="89" spans="1:2" x14ac:dyDescent="0.25">
      <c r="A89" s="7" t="s">
        <v>205</v>
      </c>
      <c r="B89">
        <v>1</v>
      </c>
    </row>
    <row r="90" spans="1:2" x14ac:dyDescent="0.25">
      <c r="A90" s="8" t="s">
        <v>26</v>
      </c>
      <c r="B90">
        <v>1</v>
      </c>
    </row>
    <row r="91" spans="1:2" x14ac:dyDescent="0.25">
      <c r="A91" s="7" t="s">
        <v>206</v>
      </c>
      <c r="B91">
        <v>1</v>
      </c>
    </row>
    <row r="92" spans="1:2" x14ac:dyDescent="0.25">
      <c r="A92" s="8" t="s">
        <v>54</v>
      </c>
      <c r="B92">
        <v>1</v>
      </c>
    </row>
    <row r="93" spans="1:2" x14ac:dyDescent="0.25">
      <c r="A93" s="7" t="s">
        <v>95</v>
      </c>
      <c r="B93">
        <v>57</v>
      </c>
    </row>
  </sheetData>
  <sortState xmlns:xlrd2="http://schemas.microsoft.com/office/spreadsheetml/2017/richdata2" ref="E45:E53">
    <sortCondition ref="E45:E53"/>
  </sortState>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9"/>
  <sheetViews>
    <sheetView tabSelected="1" zoomScale="67" workbookViewId="0">
      <pane xSplit="1" topLeftCell="B1" activePane="topRight" state="frozen"/>
      <selection pane="topRight" activeCell="B3" sqref="B3"/>
    </sheetView>
  </sheetViews>
  <sheetFormatPr defaultColWidth="8.85546875" defaultRowHeight="15" x14ac:dyDescent="0.25"/>
  <cols>
    <col min="1" max="2" width="19.140625" customWidth="1"/>
    <col min="3" max="3" width="40.85546875" customWidth="1"/>
    <col min="4" max="4" width="49" customWidth="1"/>
    <col min="5" max="5" width="30.42578125" customWidth="1"/>
    <col min="6" max="6" width="28.85546875" customWidth="1"/>
    <col min="7" max="7" width="7.85546875" style="97" customWidth="1"/>
    <col min="8" max="8" width="35.7109375" customWidth="1"/>
    <col min="9" max="9" width="48.7109375" customWidth="1"/>
    <col min="10" max="10" width="99.85546875" customWidth="1"/>
    <col min="11" max="11" width="43.7109375" customWidth="1"/>
    <col min="12" max="12" width="65.28515625" bestFit="1" customWidth="1"/>
    <col min="13" max="13" width="62.85546875" style="4" customWidth="1"/>
  </cols>
  <sheetData>
    <row r="1" spans="1:13" x14ac:dyDescent="0.25">
      <c r="A1" s="1" t="s">
        <v>0</v>
      </c>
      <c r="B1" s="1"/>
      <c r="C1" s="1" t="s">
        <v>91</v>
      </c>
      <c r="D1" s="1" t="s">
        <v>210</v>
      </c>
      <c r="E1" s="1" t="s">
        <v>167</v>
      </c>
      <c r="F1" s="1" t="s">
        <v>207</v>
      </c>
      <c r="G1" s="96" t="s">
        <v>117</v>
      </c>
      <c r="H1" s="1" t="s">
        <v>168</v>
      </c>
      <c r="I1" s="1" t="s">
        <v>170</v>
      </c>
      <c r="J1" s="1"/>
      <c r="K1" s="1" t="s">
        <v>1</v>
      </c>
      <c r="L1" s="1" t="s">
        <v>2</v>
      </c>
    </row>
    <row r="2" spans="1:13" x14ac:dyDescent="0.25">
      <c r="A2" s="181" t="s">
        <v>239</v>
      </c>
      <c r="B2" s="179"/>
      <c r="C2" s="179"/>
      <c r="D2" s="179"/>
      <c r="E2" s="179"/>
      <c r="F2" s="179"/>
      <c r="G2" s="180"/>
      <c r="H2" s="179"/>
      <c r="I2" s="179"/>
      <c r="J2" s="179"/>
      <c r="K2" s="179"/>
      <c r="L2" s="179"/>
    </row>
    <row r="3" spans="1:13" x14ac:dyDescent="0.25">
      <c r="A3" t="s">
        <v>3</v>
      </c>
      <c r="C3" t="s">
        <v>60</v>
      </c>
      <c r="D3" t="s">
        <v>60</v>
      </c>
      <c r="E3">
        <f>VLOOKUP(Sheet1!A3,Sheet5!B$1:AA$613,26,FALSE)</f>
        <v>0</v>
      </c>
      <c r="F3" t="str">
        <f>VLOOKUP(Sheet1!A3,Sheet5!B$1:AA$613,25,FALSE)</f>
        <v>success</v>
      </c>
      <c r="G3" s="97" t="s">
        <v>60</v>
      </c>
      <c r="H3" t="s">
        <v>60</v>
      </c>
      <c r="I3" t="str">
        <f xml:space="preserve"> D3 &amp; " v.s. " &amp; IF(AND(NOT(ISBLANK(G3)), NOT(ISBLANK(H3))), G3 &amp; " --&gt; " &amp; H3, G3 &amp; H3)</f>
        <v>Success v.s. Success --&gt; Success</v>
      </c>
      <c r="K3" t="s">
        <v>60</v>
      </c>
      <c r="L3" t="s">
        <v>64</v>
      </c>
      <c r="M3"/>
    </row>
    <row r="4" spans="1:13" x14ac:dyDescent="0.25">
      <c r="A4" t="s">
        <v>4</v>
      </c>
      <c r="C4" t="s">
        <v>60</v>
      </c>
      <c r="D4" t="s">
        <v>60</v>
      </c>
      <c r="E4" t="str">
        <f>VLOOKUP(Sheet1!A4,Sheet5!B$1:AA$613,26,FALSE)</f>
        <v>success</v>
      </c>
      <c r="F4" t="str">
        <f>VLOOKUP(Sheet1!A4,Sheet5!B$1:AA$613,25,FALSE)</f>
        <v>success</v>
      </c>
      <c r="G4" s="97" t="s">
        <v>60</v>
      </c>
      <c r="H4" t="s">
        <v>60</v>
      </c>
      <c r="I4" t="str">
        <f t="shared" ref="I4:I59" si="0" xml:space="preserve"> D4 &amp; " v.s. " &amp; IF(AND(NOT(ISBLANK(G4)), NOT(ISBLANK(H4))), G4 &amp; " --&gt; " &amp; H4, G4 &amp; H4)</f>
        <v>Success v.s. Success --&gt; Success</v>
      </c>
      <c r="K4" t="s">
        <v>60</v>
      </c>
      <c r="L4" t="s">
        <v>64</v>
      </c>
      <c r="M4"/>
    </row>
    <row r="5" spans="1:13" x14ac:dyDescent="0.25">
      <c r="A5" t="s">
        <v>5</v>
      </c>
      <c r="C5" t="s">
        <v>60</v>
      </c>
      <c r="D5" t="s">
        <v>60</v>
      </c>
      <c r="E5" t="str">
        <f>VLOOKUP(Sheet1!A5,Sheet5!B$1:AA$613,26,FALSE)</f>
        <v>failed</v>
      </c>
      <c r="F5" t="str">
        <f>VLOOKUP(Sheet1!A5,Sheet5!B$1:AA$613,25,FALSE)</f>
        <v>failed</v>
      </c>
      <c r="G5" s="97" t="s">
        <v>61</v>
      </c>
      <c r="H5" t="s">
        <v>60</v>
      </c>
      <c r="I5" t="str">
        <f t="shared" si="0"/>
        <v>Success v.s. Failed --&gt; Success</v>
      </c>
      <c r="J5" t="s">
        <v>120</v>
      </c>
      <c r="K5" t="s">
        <v>60</v>
      </c>
      <c r="L5" t="s">
        <v>64</v>
      </c>
      <c r="M5"/>
    </row>
    <row r="6" spans="1:13" ht="45" x14ac:dyDescent="0.25">
      <c r="A6" t="s">
        <v>6</v>
      </c>
      <c r="C6" t="s">
        <v>61</v>
      </c>
      <c r="D6" t="s">
        <v>98</v>
      </c>
      <c r="E6" t="e">
        <f>VLOOKUP(Sheet1!A6,Sheet5!B$1:AA$613,26,FALSE)</f>
        <v>#N/A</v>
      </c>
      <c r="F6" t="e">
        <f>VLOOKUP(Sheet1!A6,Sheet5!B$1:AA$613,25,FALSE)</f>
        <v>#N/A</v>
      </c>
      <c r="G6" s="97" t="s">
        <v>119</v>
      </c>
      <c r="H6" t="s">
        <v>1787</v>
      </c>
      <c r="I6" t="str">
        <f t="shared" si="0"/>
        <v>Need Domain Knowledge - Aggregation target v.s. Failed  --&gt; Need Domain Knowledge</v>
      </c>
      <c r="J6" s="4" t="s">
        <v>118</v>
      </c>
      <c r="K6" t="s">
        <v>71</v>
      </c>
      <c r="L6" s="2" t="s">
        <v>70</v>
      </c>
      <c r="M6"/>
    </row>
    <row r="7" spans="1:13" x14ac:dyDescent="0.25">
      <c r="A7" t="s">
        <v>7</v>
      </c>
      <c r="C7" t="s">
        <v>61</v>
      </c>
      <c r="D7" t="s">
        <v>102</v>
      </c>
      <c r="E7" t="str">
        <f>VLOOKUP(Sheet1!A7,Sheet5!B$1:AA$613,26,FALSE)</f>
        <v>failed</v>
      </c>
      <c r="F7" t="str">
        <f>VLOOKUP(Sheet1!A7,Sheet5!B$1:AA$613,25,FALSE)</f>
        <v>succes</v>
      </c>
      <c r="G7" s="97" t="s">
        <v>60</v>
      </c>
      <c r="H7" t="s">
        <v>60</v>
      </c>
      <c r="I7" t="str">
        <f t="shared" si="0"/>
        <v>Success - next iteration v.s. Success --&gt; Success</v>
      </c>
      <c r="K7" t="s">
        <v>62</v>
      </c>
      <c r="L7" t="s">
        <v>65</v>
      </c>
      <c r="M7" s="3" t="s">
        <v>80</v>
      </c>
    </row>
    <row r="8" spans="1:13" x14ac:dyDescent="0.25">
      <c r="A8" t="s">
        <v>8</v>
      </c>
      <c r="C8" t="s">
        <v>60</v>
      </c>
      <c r="D8" t="s">
        <v>60</v>
      </c>
      <c r="E8" t="str">
        <f>VLOOKUP(Sheet1!A8,Sheet5!B$1:AA$613,26,FALSE)</f>
        <v>failed</v>
      </c>
      <c r="F8" t="str">
        <f>VLOOKUP(Sheet1!A8,Sheet5!B$1:AA$613,25,FALSE)</f>
        <v>failed</v>
      </c>
      <c r="G8" s="97" t="s">
        <v>60</v>
      </c>
      <c r="H8" t="s">
        <v>60</v>
      </c>
      <c r="I8" t="str">
        <f t="shared" si="0"/>
        <v>Success v.s. Success --&gt; Success</v>
      </c>
      <c r="K8" t="s">
        <v>60</v>
      </c>
      <c r="L8" t="s">
        <v>64</v>
      </c>
      <c r="M8"/>
    </row>
    <row r="9" spans="1:13" x14ac:dyDescent="0.25">
      <c r="A9" t="s">
        <v>9</v>
      </c>
      <c r="C9" t="s">
        <v>61</v>
      </c>
      <c r="D9" t="s">
        <v>105</v>
      </c>
      <c r="E9" t="str">
        <f>VLOOKUP(Sheet1!A9,Sheet5!B$1:AA$613,26,FALSE)</f>
        <v>failed</v>
      </c>
      <c r="F9" t="str">
        <f>VLOOKUP(Sheet1!A9,Sheet5!B$1:AA$613,25,FALSE)</f>
        <v>failed</v>
      </c>
      <c r="G9" s="97" t="s">
        <v>61</v>
      </c>
      <c r="H9" t="s">
        <v>1787</v>
      </c>
      <c r="I9" t="str">
        <f t="shared" si="0"/>
        <v>Failed - failed to aggregate - low entropy - domain knowledge v.s. Failed --&gt; Need Domain Knowledge</v>
      </c>
      <c r="J9" t="s">
        <v>121</v>
      </c>
      <c r="K9" t="s">
        <v>71</v>
      </c>
      <c r="L9" s="2" t="s">
        <v>70</v>
      </c>
      <c r="M9"/>
    </row>
    <row r="10" spans="1:13" ht="30" x14ac:dyDescent="0.25">
      <c r="A10" t="s">
        <v>10</v>
      </c>
      <c r="C10" t="s">
        <v>61</v>
      </c>
      <c r="D10" t="s">
        <v>198</v>
      </c>
      <c r="E10" t="str">
        <f>VLOOKUP(Sheet1!A10,Sheet5!B$1:AA$613,26,FALSE)</f>
        <v>failed</v>
      </c>
      <c r="F10" t="str">
        <f>VLOOKUP(Sheet1!A10,Sheet5!B$1:AA$613,25,FALSE)</f>
        <v>Still failed even after clean.py pre processing</v>
      </c>
      <c r="G10" s="97" t="s">
        <v>123</v>
      </c>
      <c r="H10" t="s">
        <v>60</v>
      </c>
      <c r="I10" t="str">
        <f t="shared" si="0"/>
        <v>Success - preprocessing v.s. Failed - syntax --&gt; Success</v>
      </c>
      <c r="J10" s="4" t="s">
        <v>122</v>
      </c>
      <c r="K10" t="s">
        <v>62</v>
      </c>
      <c r="M10"/>
    </row>
    <row r="11" spans="1:13" x14ac:dyDescent="0.25">
      <c r="A11" t="s">
        <v>11</v>
      </c>
      <c r="C11" t="s">
        <v>61</v>
      </c>
      <c r="D11" t="s">
        <v>105</v>
      </c>
      <c r="E11" t="str">
        <f>VLOOKUP(Sheet1!A11,Sheet5!B$1:AA$613,26,FALSE)</f>
        <v>failed</v>
      </c>
      <c r="F11" t="str">
        <f>VLOOKUP(Sheet1!A11,Sheet5!B$1:AA$613,25,FALSE)</f>
        <v>failed</v>
      </c>
      <c r="G11" s="97" t="s">
        <v>61</v>
      </c>
      <c r="H11" t="s">
        <v>1787</v>
      </c>
      <c r="I11" t="str">
        <f t="shared" si="0"/>
        <v>Failed - failed to aggregate - low entropy - domain knowledge v.s. Failed --&gt; Need Domain Knowledge</v>
      </c>
      <c r="J11" t="s">
        <v>124</v>
      </c>
      <c r="K11" t="s">
        <v>71</v>
      </c>
      <c r="L11" s="2" t="s">
        <v>70</v>
      </c>
      <c r="M11"/>
    </row>
    <row r="12" spans="1:13" x14ac:dyDescent="0.25">
      <c r="A12" t="s">
        <v>12</v>
      </c>
      <c r="C12" t="s">
        <v>60</v>
      </c>
      <c r="D12" t="s">
        <v>60</v>
      </c>
      <c r="E12" t="str">
        <f>VLOOKUP(Sheet1!A12,Sheet5!B$1:AA$613,26,FALSE)</f>
        <v>failed</v>
      </c>
      <c r="F12" t="str">
        <f>VLOOKUP(Sheet1!A12,Sheet5!B$1:AA$613,25,FALSE)</f>
        <v>failed</v>
      </c>
      <c r="G12" s="97" t="s">
        <v>60</v>
      </c>
      <c r="H12" t="s">
        <v>60</v>
      </c>
      <c r="I12" t="str">
        <f t="shared" si="0"/>
        <v>Success v.s. Success --&gt; Success</v>
      </c>
      <c r="K12" t="s">
        <v>60</v>
      </c>
      <c r="L12" t="s">
        <v>64</v>
      </c>
      <c r="M12"/>
    </row>
    <row r="13" spans="1:13" x14ac:dyDescent="0.25">
      <c r="A13" t="s">
        <v>13</v>
      </c>
      <c r="C13" t="s">
        <v>60</v>
      </c>
      <c r="D13" t="s">
        <v>60</v>
      </c>
      <c r="E13" t="str">
        <f>VLOOKUP(Sheet1!A13,Sheet5!B$1:AA$613,26,FALSE)</f>
        <v>failed</v>
      </c>
      <c r="F13" t="str">
        <f>VLOOKUP(Sheet1!A13,Sheet5!B$1:AA$613,25,FALSE)</f>
        <v>success</v>
      </c>
      <c r="G13" s="97" t="s">
        <v>60</v>
      </c>
      <c r="H13" t="s">
        <v>60</v>
      </c>
      <c r="I13" t="str">
        <f t="shared" si="0"/>
        <v>Success v.s. Success --&gt; Success</v>
      </c>
      <c r="K13" t="s">
        <v>60</v>
      </c>
      <c r="L13" t="s">
        <v>64</v>
      </c>
      <c r="M13"/>
    </row>
    <row r="14" spans="1:13" x14ac:dyDescent="0.25">
      <c r="A14" t="s">
        <v>14</v>
      </c>
      <c r="C14" t="s">
        <v>61</v>
      </c>
      <c r="D14" t="s">
        <v>105</v>
      </c>
      <c r="E14" t="str">
        <f>VLOOKUP(Sheet1!A14,Sheet5!B$1:AA$613,26,FALSE)</f>
        <v>failed</v>
      </c>
      <c r="F14" t="str">
        <f>VLOOKUP(Sheet1!A14,Sheet5!B$1:AA$613,25,FALSE)</f>
        <v>failed</v>
      </c>
      <c r="G14" s="97" t="s">
        <v>61</v>
      </c>
      <c r="H14" t="s">
        <v>1787</v>
      </c>
      <c r="I14" t="str">
        <f t="shared" si="0"/>
        <v>Failed - failed to aggregate - low entropy - domain knowledge v.s. Failed --&gt; Need Domain Knowledge</v>
      </c>
      <c r="J14" t="s">
        <v>125</v>
      </c>
      <c r="K14" t="s">
        <v>71</v>
      </c>
      <c r="L14" s="2" t="s">
        <v>70</v>
      </c>
      <c r="M14"/>
    </row>
    <row r="15" spans="1:13" ht="30" x14ac:dyDescent="0.25">
      <c r="A15" t="s">
        <v>15</v>
      </c>
      <c r="C15" t="s">
        <v>61</v>
      </c>
      <c r="D15" t="s">
        <v>97</v>
      </c>
      <c r="E15" t="str">
        <f>VLOOKUP(Sheet1!A15,Sheet5!B$1:AA$613,26,FALSE)</f>
        <v>failed</v>
      </c>
      <c r="F15" t="str">
        <f>VLOOKUP(Sheet1!A15,Sheet5!B$1:AA$613,25,FALSE)</f>
        <v>failed</v>
      </c>
      <c r="G15" s="97" t="s">
        <v>61</v>
      </c>
      <c r="H15" t="s">
        <v>1787</v>
      </c>
      <c r="I15" t="str">
        <f t="shared" si="0"/>
        <v>Need Domain Knowledge - Aggregation function v.s. Failed --&gt; Need Domain Knowledge</v>
      </c>
      <c r="J15" s="4" t="s">
        <v>126</v>
      </c>
      <c r="K15" t="s">
        <v>62</v>
      </c>
      <c r="L15" t="s">
        <v>66</v>
      </c>
      <c r="M15" s="4" t="s">
        <v>79</v>
      </c>
    </row>
    <row r="16" spans="1:13" ht="45" x14ac:dyDescent="0.25">
      <c r="A16" t="s">
        <v>16</v>
      </c>
      <c r="C16" t="s">
        <v>61</v>
      </c>
      <c r="D16" t="s">
        <v>105</v>
      </c>
      <c r="E16" t="e">
        <f>VLOOKUP(Sheet1!A16,Sheet5!B$1:AA$613,26,FALSE)</f>
        <v>#N/A</v>
      </c>
      <c r="F16" t="e">
        <f>VLOOKUP(Sheet1!A16,Sheet5!B$1:AA$613,25,FALSE)</f>
        <v>#N/A</v>
      </c>
      <c r="G16" s="97" t="s">
        <v>61</v>
      </c>
      <c r="H16" t="s">
        <v>1787</v>
      </c>
      <c r="I16" t="str">
        <f t="shared" si="0"/>
        <v>Failed - failed to aggregate - low entropy - domain knowledge v.s. Failed --&gt; Need Domain Knowledge</v>
      </c>
      <c r="J16" s="4" t="s">
        <v>127</v>
      </c>
      <c r="K16" t="s">
        <v>71</v>
      </c>
      <c r="L16" s="2" t="s">
        <v>70</v>
      </c>
      <c r="M16"/>
    </row>
    <row r="17" spans="1:13" x14ac:dyDescent="0.25">
      <c r="A17" t="s">
        <v>17</v>
      </c>
      <c r="C17" t="s">
        <v>61</v>
      </c>
      <c r="D17" t="s">
        <v>105</v>
      </c>
      <c r="E17" t="str">
        <f>VLOOKUP(Sheet1!A17,Sheet5!B$1:AA$613,26,FALSE)</f>
        <v>failed</v>
      </c>
      <c r="F17" t="str">
        <f>VLOOKUP(Sheet1!A17,Sheet5!B$1:AA$613,25,FALSE)</f>
        <v>failed</v>
      </c>
      <c r="G17" s="97" t="s">
        <v>61</v>
      </c>
      <c r="H17" t="s">
        <v>1787</v>
      </c>
      <c r="I17" t="str">
        <f t="shared" si="0"/>
        <v>Failed - failed to aggregate - low entropy - domain knowledge v.s. Failed --&gt; Need Domain Knowledge</v>
      </c>
      <c r="J17" t="s">
        <v>128</v>
      </c>
      <c r="K17" t="s">
        <v>71</v>
      </c>
      <c r="L17" s="2" t="s">
        <v>70</v>
      </c>
      <c r="M17"/>
    </row>
    <row r="18" spans="1:13" x14ac:dyDescent="0.25">
      <c r="A18" t="s">
        <v>18</v>
      </c>
      <c r="C18" t="s">
        <v>60</v>
      </c>
      <c r="D18" t="s">
        <v>60</v>
      </c>
      <c r="E18" t="str">
        <f>VLOOKUP(Sheet1!A18,Sheet5!B$1:AA$613,26,FALSE)</f>
        <v>failed</v>
      </c>
      <c r="F18" t="str">
        <f>VLOOKUP(Sheet1!A18,Sheet5!B$1:AA$613,25,FALSE)</f>
        <v>success</v>
      </c>
      <c r="G18" s="97" t="s">
        <v>60</v>
      </c>
      <c r="H18" t="s">
        <v>60</v>
      </c>
      <c r="I18" t="str">
        <f t="shared" si="0"/>
        <v>Success v.s. Success --&gt; Success</v>
      </c>
      <c r="K18" t="s">
        <v>60</v>
      </c>
      <c r="L18" t="s">
        <v>64</v>
      </c>
      <c r="M18"/>
    </row>
    <row r="19" spans="1:13" ht="60" x14ac:dyDescent="0.25">
      <c r="A19" t="s">
        <v>19</v>
      </c>
      <c r="C19" t="s">
        <v>60</v>
      </c>
      <c r="D19" t="s">
        <v>60</v>
      </c>
      <c r="E19" t="str">
        <f>VLOOKUP(Sheet1!A19,Sheet5!B$1:AA$613,26,FALSE)</f>
        <v>success</v>
      </c>
      <c r="F19" t="str">
        <f>VLOOKUP(Sheet1!A19,Sheet5!B$1:AA$613,25,FALSE)</f>
        <v>success</v>
      </c>
      <c r="G19" s="97" t="s">
        <v>61</v>
      </c>
      <c r="H19" t="s">
        <v>60</v>
      </c>
      <c r="I19" t="str">
        <f t="shared" si="0"/>
        <v>Success v.s. Failed --&gt; Success</v>
      </c>
      <c r="J19" s="4" t="s">
        <v>129</v>
      </c>
      <c r="K19" t="s">
        <v>60</v>
      </c>
      <c r="L19" t="s">
        <v>72</v>
      </c>
      <c r="M19" s="4" t="s">
        <v>90</v>
      </c>
    </row>
    <row r="20" spans="1:13" x14ac:dyDescent="0.25">
      <c r="A20" t="s">
        <v>20</v>
      </c>
      <c r="C20" t="s">
        <v>60</v>
      </c>
      <c r="D20" t="s">
        <v>60</v>
      </c>
      <c r="E20">
        <f>VLOOKUP(Sheet1!A20,Sheet5!B$1:AA$613,26,FALSE)</f>
        <v>0</v>
      </c>
      <c r="F20" t="str">
        <f>VLOOKUP(Sheet1!A20,Sheet5!B$1:AA$613,25,FALSE)</f>
        <v>failed</v>
      </c>
      <c r="G20" s="97" t="s">
        <v>61</v>
      </c>
      <c r="H20" t="s">
        <v>60</v>
      </c>
      <c r="I20" t="str">
        <f t="shared" si="0"/>
        <v>Success v.s. Failed --&gt; Success</v>
      </c>
      <c r="J20" s="4" t="s">
        <v>130</v>
      </c>
      <c r="K20" t="s">
        <v>60</v>
      </c>
      <c r="L20" t="s">
        <v>74</v>
      </c>
      <c r="M20"/>
    </row>
    <row r="21" spans="1:13" ht="30" x14ac:dyDescent="0.25">
      <c r="A21" t="s">
        <v>21</v>
      </c>
      <c r="C21" t="s">
        <v>60</v>
      </c>
      <c r="D21" t="s">
        <v>60</v>
      </c>
      <c r="E21">
        <f>VLOOKUP(Sheet1!A21,Sheet5!B$1:AA$613,26,FALSE)</f>
        <v>0</v>
      </c>
      <c r="F21" t="str">
        <f>VLOOKUP(Sheet1!A21,Sheet5!B$1:AA$613,25,FALSE)</f>
        <v>failed</v>
      </c>
      <c r="G21" s="97" t="s">
        <v>61</v>
      </c>
      <c r="H21" t="s">
        <v>60</v>
      </c>
      <c r="I21" t="str">
        <f t="shared" si="0"/>
        <v>Success v.s. Failed --&gt; Success</v>
      </c>
      <c r="J21" s="4" t="s">
        <v>131</v>
      </c>
      <c r="K21" t="s">
        <v>60</v>
      </c>
      <c r="L21" t="s">
        <v>64</v>
      </c>
      <c r="M21"/>
    </row>
    <row r="22" spans="1:13" ht="45" x14ac:dyDescent="0.25">
      <c r="A22" t="s">
        <v>22</v>
      </c>
      <c r="C22" t="s">
        <v>61</v>
      </c>
      <c r="D22" t="s">
        <v>198</v>
      </c>
      <c r="E22" t="str">
        <f>VLOOKUP(Sheet1!A22,Sheet5!B$1:AA$613,26,FALSE)</f>
        <v>data pre processing error</v>
      </c>
      <c r="F22">
        <f>VLOOKUP(Sheet1!A22,Sheet5!B$1:AA$613,25,FALSE)</f>
        <v>0</v>
      </c>
      <c r="G22" s="97" t="s">
        <v>61</v>
      </c>
      <c r="H22" t="s">
        <v>199</v>
      </c>
      <c r="I22" t="str">
        <f t="shared" si="0"/>
        <v>Success - preprocessing v.s. Failed --&gt; Success - takes more itr?</v>
      </c>
      <c r="J22" s="4" t="s">
        <v>132</v>
      </c>
      <c r="K22" t="s">
        <v>63</v>
      </c>
      <c r="L22" s="4" t="s">
        <v>81</v>
      </c>
      <c r="M22"/>
    </row>
    <row r="23" spans="1:13" x14ac:dyDescent="0.25">
      <c r="A23" t="s">
        <v>23</v>
      </c>
      <c r="C23" t="s">
        <v>61</v>
      </c>
      <c r="D23" t="s">
        <v>105</v>
      </c>
      <c r="E23" t="str">
        <f>VLOOKUP(Sheet1!A23,Sheet5!B$1:AA$613,26,FALSE)</f>
        <v>failed</v>
      </c>
      <c r="F23" t="str">
        <f>VLOOKUP(Sheet1!A23,Sheet5!B$1:AA$613,25,FALSE)</f>
        <v>failed</v>
      </c>
      <c r="G23" s="97" t="s">
        <v>61</v>
      </c>
      <c r="H23" t="s">
        <v>1787</v>
      </c>
      <c r="I23" t="str">
        <f t="shared" si="0"/>
        <v>Failed - failed to aggregate - low entropy - domain knowledge v.s. Failed --&gt; Need Domain Knowledge</v>
      </c>
      <c r="J23" s="4" t="s">
        <v>133</v>
      </c>
      <c r="K23" t="s">
        <v>71</v>
      </c>
      <c r="L23" s="2" t="s">
        <v>70</v>
      </c>
      <c r="M23"/>
    </row>
    <row r="24" spans="1:13" x14ac:dyDescent="0.25">
      <c r="A24" t="s">
        <v>24</v>
      </c>
      <c r="C24" t="s">
        <v>61</v>
      </c>
      <c r="D24" t="s">
        <v>104</v>
      </c>
      <c r="E24" t="str">
        <f>VLOOKUP(Sheet1!A24,Sheet5!B$1:AA$613,26,FALSE)</f>
        <v>data pre processing error</v>
      </c>
      <c r="F24">
        <f>VLOOKUP(Sheet1!A24,Sheet5!B$1:AA$613,25,FALSE)</f>
        <v>0</v>
      </c>
      <c r="G24" s="97" t="s">
        <v>61</v>
      </c>
      <c r="H24" t="s">
        <v>1787</v>
      </c>
      <c r="I24" t="str">
        <f t="shared" si="0"/>
        <v>Failed - failed to aggregate - low entropy - data type change v.s. Failed --&gt; Need Domain Knowledge</v>
      </c>
      <c r="J24" s="4" t="s">
        <v>134</v>
      </c>
      <c r="K24" t="s">
        <v>71</v>
      </c>
      <c r="L24" s="2" t="s">
        <v>70</v>
      </c>
      <c r="M24"/>
    </row>
    <row r="25" spans="1:13" ht="45" x14ac:dyDescent="0.25">
      <c r="A25" t="s">
        <v>25</v>
      </c>
      <c r="C25" t="s">
        <v>61</v>
      </c>
      <c r="D25" t="s">
        <v>99</v>
      </c>
      <c r="E25" t="str">
        <f>VLOOKUP(Sheet1!A25,Sheet5!B$1:AA$613,26,FALSE)</f>
        <v>data pre processing error</v>
      </c>
      <c r="F25">
        <f>VLOOKUP(Sheet1!A25,Sheet5!B$1:AA$613,25,FALSE)</f>
        <v>0</v>
      </c>
      <c r="G25" s="97" t="s">
        <v>61</v>
      </c>
      <c r="H25" t="s">
        <v>99</v>
      </c>
      <c r="I25" t="str">
        <f t="shared" si="0"/>
        <v>Bad Case - task makes no sense v.s. Failed --&gt; Bad Case - task makes no sense</v>
      </c>
      <c r="J25" s="4" t="s">
        <v>135</v>
      </c>
      <c r="K25" t="s">
        <v>63</v>
      </c>
      <c r="L25" s="4" t="s">
        <v>82</v>
      </c>
      <c r="M25"/>
    </row>
    <row r="26" spans="1:13" x14ac:dyDescent="0.25">
      <c r="A26" t="s">
        <v>26</v>
      </c>
      <c r="C26" t="s">
        <v>61</v>
      </c>
      <c r="D26" t="s">
        <v>106</v>
      </c>
      <c r="E26">
        <f>VLOOKUP(Sheet1!A26,Sheet5!B$1:AA$613,26,FALSE)</f>
        <v>0</v>
      </c>
      <c r="F26">
        <f>VLOOKUP(Sheet1!A26,Sheet5!B$1:AA$613,25,FALSE)</f>
        <v>0</v>
      </c>
      <c r="G26" s="97" t="s">
        <v>61</v>
      </c>
      <c r="H26" s="17" t="s">
        <v>106</v>
      </c>
      <c r="I26" t="str">
        <f t="shared" si="0"/>
        <v>Success* bad test case : Dec_2012 vs Dec_2013 v.s. Failed --&gt; Success* bad test case : Dec_2012 vs Dec_2013</v>
      </c>
      <c r="J26" t="s">
        <v>136</v>
      </c>
      <c r="K26" t="s">
        <v>71</v>
      </c>
      <c r="L26" s="2" t="s">
        <v>70</v>
      </c>
      <c r="M26"/>
    </row>
    <row r="27" spans="1:13" x14ac:dyDescent="0.25">
      <c r="A27" t="s">
        <v>27</v>
      </c>
      <c r="C27" t="s">
        <v>61</v>
      </c>
      <c r="D27" t="s">
        <v>106</v>
      </c>
      <c r="E27" t="e">
        <f>VLOOKUP(Sheet1!A27,Sheet5!B$1:AA$613,26,FALSE)</f>
        <v>#N/A</v>
      </c>
      <c r="F27" t="e">
        <f>VLOOKUP(Sheet1!A27,Sheet5!B$1:AA$613,25,FALSE)</f>
        <v>#N/A</v>
      </c>
      <c r="G27" s="97" t="s">
        <v>137</v>
      </c>
      <c r="H27" t="s">
        <v>60</v>
      </c>
      <c r="I27" t="str">
        <f t="shared" si="0"/>
        <v>Success* bad test case : Dec_2012 vs Dec_2013 v.s. Success* --&gt; Success</v>
      </c>
      <c r="J27" s="4" t="s">
        <v>138</v>
      </c>
      <c r="K27" t="s">
        <v>71</v>
      </c>
      <c r="L27" s="2" t="s">
        <v>70</v>
      </c>
      <c r="M27"/>
    </row>
    <row r="28" spans="1:13" ht="45" x14ac:dyDescent="0.25">
      <c r="A28" t="s">
        <v>28</v>
      </c>
      <c r="C28" t="s">
        <v>61</v>
      </c>
      <c r="D28" t="s">
        <v>104</v>
      </c>
      <c r="E28" t="str">
        <f>VLOOKUP(Sheet1!A28,Sheet5!B$1:AA$613,26,FALSE)</f>
        <v>failed</v>
      </c>
      <c r="F28" t="str">
        <f>VLOOKUP(Sheet1!A28,Sheet5!B$1:AA$613,25,FALSE)</f>
        <v>failed</v>
      </c>
      <c r="G28" s="97" t="s">
        <v>61</v>
      </c>
      <c r="I28" t="str">
        <f t="shared" si="0"/>
        <v>Failed - failed to aggregate - low entropy - data type change v.s. Failed</v>
      </c>
      <c r="J28" s="4" t="s">
        <v>139</v>
      </c>
      <c r="K28" t="s">
        <v>71</v>
      </c>
      <c r="L28" s="2" t="s">
        <v>70</v>
      </c>
      <c r="M28"/>
    </row>
    <row r="29" spans="1:13" x14ac:dyDescent="0.25">
      <c r="A29" t="s">
        <v>29</v>
      </c>
      <c r="C29" t="s">
        <v>61</v>
      </c>
      <c r="D29" t="s">
        <v>107</v>
      </c>
      <c r="E29" t="str">
        <f>VLOOKUP(Sheet1!A29,Sheet5!B$1:AA$613,26,FALSE)</f>
        <v>failed</v>
      </c>
      <c r="F29" t="str">
        <f>VLOOKUP(Sheet1!A29,Sheet5!B$1:AA$613,25,FALSE)</f>
        <v>failed</v>
      </c>
      <c r="G29" s="97" t="s">
        <v>137</v>
      </c>
      <c r="H29" t="s">
        <v>60</v>
      </c>
      <c r="I29" t="str">
        <f t="shared" si="0"/>
        <v>Success*  grouped by continent - did not remove the empty continent - I would not call this failed.. v.s. Success* --&gt; Success</v>
      </c>
      <c r="J29" t="s">
        <v>140</v>
      </c>
      <c r="K29" t="s">
        <v>71</v>
      </c>
      <c r="L29" s="2" t="s">
        <v>70</v>
      </c>
      <c r="M29"/>
    </row>
    <row r="30" spans="1:13" ht="45" x14ac:dyDescent="0.25">
      <c r="A30" t="s">
        <v>30</v>
      </c>
      <c r="C30" t="s">
        <v>61</v>
      </c>
      <c r="D30" t="s">
        <v>105</v>
      </c>
      <c r="E30" t="e">
        <f>VLOOKUP(Sheet1!A30,Sheet5!B$1:AA$613,26,FALSE)</f>
        <v>#N/A</v>
      </c>
      <c r="F30" t="e">
        <f>VLOOKUP(Sheet1!A30,Sheet5!B$1:AA$613,25,FALSE)</f>
        <v>#N/A</v>
      </c>
      <c r="G30" s="97" t="s">
        <v>61</v>
      </c>
      <c r="H30" t="s">
        <v>1787</v>
      </c>
      <c r="I30" t="str">
        <f t="shared" si="0"/>
        <v>Failed - failed to aggregate - low entropy - domain knowledge v.s. Failed --&gt; Need Domain Knowledge</v>
      </c>
      <c r="J30" s="4" t="s">
        <v>141</v>
      </c>
      <c r="K30" t="s">
        <v>71</v>
      </c>
      <c r="L30" s="2" t="s">
        <v>70</v>
      </c>
      <c r="M30"/>
    </row>
    <row r="31" spans="1:13" x14ac:dyDescent="0.25">
      <c r="A31" t="s">
        <v>31</v>
      </c>
      <c r="C31" t="s">
        <v>60</v>
      </c>
      <c r="D31" t="s">
        <v>60</v>
      </c>
      <c r="E31" t="e">
        <f>VLOOKUP(Sheet1!A31,Sheet5!B$1:AA$613,26,FALSE)</f>
        <v>#N/A</v>
      </c>
      <c r="F31" t="e">
        <f>VLOOKUP(Sheet1!A31,Sheet5!B$1:AA$613,25,FALSE)</f>
        <v>#N/A</v>
      </c>
      <c r="G31" s="97" t="s">
        <v>143</v>
      </c>
      <c r="H31" t="s">
        <v>60</v>
      </c>
      <c r="I31" t="str">
        <f t="shared" si="0"/>
        <v>Success v.s. Failed* VERY CLOSE.. CHECK --&gt; Success</v>
      </c>
      <c r="J31" s="4" t="s">
        <v>142</v>
      </c>
      <c r="K31" t="s">
        <v>60</v>
      </c>
      <c r="L31" t="s">
        <v>64</v>
      </c>
      <c r="M31"/>
    </row>
    <row r="32" spans="1:13" ht="41.1" customHeight="1" x14ac:dyDescent="0.25">
      <c r="A32" t="s">
        <v>32</v>
      </c>
      <c r="C32" t="s">
        <v>60</v>
      </c>
      <c r="D32" t="s">
        <v>60</v>
      </c>
      <c r="E32">
        <f>VLOOKUP(Sheet1!A32,Sheet5!B$1:AA$613,26,FALSE)</f>
        <v>0</v>
      </c>
      <c r="F32">
        <f>VLOOKUP(Sheet1!A32,Sheet5!B$1:AA$613,25,FALSE)</f>
        <v>0</v>
      </c>
      <c r="G32" s="97" t="s">
        <v>61</v>
      </c>
      <c r="H32" t="s">
        <v>200</v>
      </c>
      <c r="I32" t="str">
        <f t="shared" si="0"/>
        <v>Success v.s. Failed --&gt; Success-itr2</v>
      </c>
      <c r="J32" s="4" t="s">
        <v>144</v>
      </c>
      <c r="K32" t="s">
        <v>60</v>
      </c>
      <c r="L32" t="s">
        <v>73</v>
      </c>
      <c r="M32"/>
    </row>
    <row r="33" spans="1:13" ht="45" x14ac:dyDescent="0.25">
      <c r="A33" t="s">
        <v>33</v>
      </c>
      <c r="C33" t="s">
        <v>61</v>
      </c>
      <c r="D33" t="s">
        <v>198</v>
      </c>
      <c r="E33" t="str">
        <f>VLOOKUP(Sheet1!A33,Sheet5!B$1:AA$613,26,FALSE)</f>
        <v>ERROR: Error: ERROR:  invalid input syntax for type integer: "2003.0"
CONTEXT:  COPY source59_0, line 2, column year_id: "2003.0"</v>
      </c>
      <c r="F33" t="str">
        <f>VLOOKUP(Sheet1!A33,Sheet5!B$1:AA$613,25,FALSE)</f>
        <v>0.5 success [1,0.7] score.</v>
      </c>
      <c r="G33" s="97" t="s">
        <v>60</v>
      </c>
      <c r="H33" t="s">
        <v>60</v>
      </c>
      <c r="I33" t="str">
        <f t="shared" si="0"/>
        <v>Success - preprocessing v.s. Success --&gt; Success</v>
      </c>
      <c r="K33" t="s">
        <v>63</v>
      </c>
      <c r="L33" s="4" t="s">
        <v>83</v>
      </c>
      <c r="M33"/>
    </row>
    <row r="34" spans="1:13" x14ac:dyDescent="0.25">
      <c r="A34" t="s">
        <v>34</v>
      </c>
      <c r="C34" t="s">
        <v>60</v>
      </c>
      <c r="D34" t="s">
        <v>60</v>
      </c>
      <c r="E34" t="str">
        <f>VLOOKUP(Sheet1!A34,Sheet5!B$1:AA$613,26,FALSE)</f>
        <v>failed</v>
      </c>
      <c r="F34" t="str">
        <f>VLOOKUP(Sheet1!A34,Sheet5!B$1:AA$613,25,FALSE)</f>
        <v>success</v>
      </c>
      <c r="G34" s="97" t="s">
        <v>60</v>
      </c>
      <c r="H34" t="s">
        <v>60</v>
      </c>
      <c r="I34" t="str">
        <f t="shared" si="0"/>
        <v>Success v.s. Success --&gt; Success</v>
      </c>
      <c r="K34" t="s">
        <v>60</v>
      </c>
      <c r="L34" t="s">
        <v>64</v>
      </c>
      <c r="M34"/>
    </row>
    <row r="35" spans="1:13" x14ac:dyDescent="0.25">
      <c r="A35" t="s">
        <v>35</v>
      </c>
      <c r="C35" t="s">
        <v>61</v>
      </c>
      <c r="D35" t="s">
        <v>105</v>
      </c>
      <c r="E35" t="e">
        <f>VLOOKUP(Sheet1!A35,Sheet5!B$1:AA$613,26,FALSE)</f>
        <v>#N/A</v>
      </c>
      <c r="F35" t="e">
        <f>VLOOKUP(Sheet1!A35,Sheet5!B$1:AA$613,25,FALSE)</f>
        <v>#N/A</v>
      </c>
      <c r="G35" s="97" t="s">
        <v>145</v>
      </c>
      <c r="I35" t="str">
        <f t="shared" si="0"/>
        <v xml:space="preserve">Failed - failed to aggregate - low entropy - domain knowledge v.s. Success** DID BETTER!!! BY CHANCE I GUESS.. </v>
      </c>
      <c r="K35" t="s">
        <v>71</v>
      </c>
      <c r="L35" s="2" t="s">
        <v>70</v>
      </c>
      <c r="M35"/>
    </row>
    <row r="36" spans="1:13" x14ac:dyDescent="0.25">
      <c r="A36" t="s">
        <v>36</v>
      </c>
      <c r="C36" t="s">
        <v>61</v>
      </c>
      <c r="D36" t="s">
        <v>60</v>
      </c>
      <c r="E36" t="str">
        <f>VLOOKUP(Sheet1!A36,Sheet5!B$1:AA$613,26,FALSE)</f>
        <v>failed</v>
      </c>
      <c r="F36" t="str">
        <f>VLOOKUP(Sheet1!A36,Sheet5!B$1:AA$613,25,FALSE)</f>
        <v>failed</v>
      </c>
      <c r="G36" s="97" t="s">
        <v>60</v>
      </c>
      <c r="H36" t="s">
        <v>60</v>
      </c>
      <c r="I36" t="str">
        <f t="shared" si="0"/>
        <v>Success v.s. Success --&gt; Success</v>
      </c>
      <c r="K36" t="s">
        <v>62</v>
      </c>
      <c r="L36" t="s">
        <v>67</v>
      </c>
      <c r="M36" s="3" t="s">
        <v>78</v>
      </c>
    </row>
    <row r="37" spans="1:13" x14ac:dyDescent="0.25">
      <c r="A37" t="s">
        <v>37</v>
      </c>
      <c r="C37" t="s">
        <v>60</v>
      </c>
      <c r="D37" t="s">
        <v>60</v>
      </c>
      <c r="E37">
        <f>VLOOKUP(Sheet1!A37,Sheet5!B$1:AA$613,26,FALSE)</f>
        <v>0</v>
      </c>
      <c r="F37" t="str">
        <f>VLOOKUP(Sheet1!A37,Sheet5!B$1:AA$613,25,FALSE)</f>
        <v>success</v>
      </c>
      <c r="G37" s="97" t="s">
        <v>60</v>
      </c>
      <c r="H37" t="s">
        <v>60</v>
      </c>
      <c r="I37" t="str">
        <f t="shared" si="0"/>
        <v>Success v.s. Success --&gt; Success</v>
      </c>
      <c r="K37" t="s">
        <v>60</v>
      </c>
      <c r="L37" t="s">
        <v>64</v>
      </c>
      <c r="M37"/>
    </row>
    <row r="38" spans="1:13" x14ac:dyDescent="0.25">
      <c r="A38" t="s">
        <v>38</v>
      </c>
      <c r="C38" t="s">
        <v>60</v>
      </c>
      <c r="D38" t="s">
        <v>60</v>
      </c>
      <c r="E38" t="e">
        <f>VLOOKUP(Sheet1!A38,Sheet5!B$1:AA$613,26,FALSE)</f>
        <v>#N/A</v>
      </c>
      <c r="F38" t="e">
        <f>VLOOKUP(Sheet1!A38,Sheet5!B$1:AA$613,25,FALSE)</f>
        <v>#N/A</v>
      </c>
      <c r="G38" s="97" t="s">
        <v>60</v>
      </c>
      <c r="H38" t="s">
        <v>60</v>
      </c>
      <c r="I38" t="str">
        <f t="shared" si="0"/>
        <v>Success v.s. Success --&gt; Success</v>
      </c>
      <c r="K38" t="s">
        <v>60</v>
      </c>
      <c r="L38" t="s">
        <v>64</v>
      </c>
      <c r="M38"/>
    </row>
    <row r="39" spans="1:13" x14ac:dyDescent="0.25">
      <c r="A39" t="s">
        <v>39</v>
      </c>
      <c r="C39" t="s">
        <v>60</v>
      </c>
      <c r="D39" t="s">
        <v>60</v>
      </c>
      <c r="E39" t="e">
        <f>VLOOKUP(Sheet1!A39,Sheet5!B$1:AA$613,26,FALSE)</f>
        <v>#N/A</v>
      </c>
      <c r="F39" t="e">
        <f>VLOOKUP(Sheet1!A39,Sheet5!B$1:AA$613,25,FALSE)</f>
        <v>#N/A</v>
      </c>
      <c r="G39" s="97" t="s">
        <v>147</v>
      </c>
      <c r="H39" t="s">
        <v>60</v>
      </c>
      <c r="I39" t="str">
        <f t="shared" si="0"/>
        <v>Success v.s. Failed - DID NOT DO SUBSTRING --&gt; Success</v>
      </c>
      <c r="J39" t="s">
        <v>146</v>
      </c>
      <c r="K39" t="s">
        <v>60</v>
      </c>
      <c r="L39" t="s">
        <v>64</v>
      </c>
      <c r="M39"/>
    </row>
    <row r="40" spans="1:13" x14ac:dyDescent="0.25">
      <c r="A40" t="s">
        <v>40</v>
      </c>
      <c r="C40" t="s">
        <v>60</v>
      </c>
      <c r="D40" t="s">
        <v>60</v>
      </c>
      <c r="E40" t="str">
        <f>VLOOKUP(Sheet1!A40,Sheet5!B$1:AA$613,26,FALSE)</f>
        <v>success</v>
      </c>
      <c r="F40" t="str">
        <f>VLOOKUP(Sheet1!A40,Sheet5!B$1:AA$613,25,FALSE)</f>
        <v>success</v>
      </c>
      <c r="G40" s="97" t="s">
        <v>60</v>
      </c>
      <c r="H40" t="s">
        <v>60</v>
      </c>
      <c r="I40" t="str">
        <f t="shared" si="0"/>
        <v>Success v.s. Success --&gt; Success</v>
      </c>
      <c r="K40" t="s">
        <v>60</v>
      </c>
      <c r="L40" t="s">
        <v>64</v>
      </c>
      <c r="M40"/>
    </row>
    <row r="41" spans="1:13" ht="45" x14ac:dyDescent="0.25">
      <c r="A41" t="s">
        <v>41</v>
      </c>
      <c r="C41" t="s">
        <v>60</v>
      </c>
      <c r="D41" t="s">
        <v>60</v>
      </c>
      <c r="E41" t="str">
        <f>VLOOKUP(Sheet1!A41,Sheet5!B$1:AA$613,26,FALSE)</f>
        <v>failed</v>
      </c>
      <c r="F41" t="str">
        <f>VLOOKUP(Sheet1!A41,Sheet5!B$1:AA$613,25,FALSE)</f>
        <v>failed</v>
      </c>
      <c r="G41" s="97" t="s">
        <v>61</v>
      </c>
      <c r="H41" s="95" t="s">
        <v>61</v>
      </c>
      <c r="I41" t="str">
        <f t="shared" si="0"/>
        <v>Success v.s. Failed --&gt; Failed</v>
      </c>
      <c r="J41" s="4" t="s">
        <v>148</v>
      </c>
      <c r="K41" t="s">
        <v>60</v>
      </c>
      <c r="L41" t="s">
        <v>64</v>
      </c>
      <c r="M41"/>
    </row>
    <row r="42" spans="1:13" x14ac:dyDescent="0.25">
      <c r="A42" t="s">
        <v>42</v>
      </c>
      <c r="C42" t="s">
        <v>61</v>
      </c>
      <c r="D42" t="s">
        <v>108</v>
      </c>
      <c r="E42">
        <f>VLOOKUP(Sheet1!A42,Sheet5!B$1:AA$613,26,FALSE)</f>
        <v>0</v>
      </c>
      <c r="F42">
        <f>VLOOKUP(Sheet1!A42,Sheet5!B$1:AA$613,25,FALSE)</f>
        <v>0</v>
      </c>
      <c r="G42" s="97" t="s">
        <v>61</v>
      </c>
      <c r="H42" t="s">
        <v>1787</v>
      </c>
      <c r="I42" t="str">
        <f t="shared" si="0"/>
        <v>Failed - failed to aggregate - low entropy - domain knowledge/ did not do count v.s. Failed --&gt; Need Domain Knowledge</v>
      </c>
      <c r="J42" t="s">
        <v>149</v>
      </c>
      <c r="K42" t="s">
        <v>71</v>
      </c>
      <c r="L42" s="2" t="s">
        <v>70</v>
      </c>
      <c r="M42"/>
    </row>
    <row r="43" spans="1:13" x14ac:dyDescent="0.25">
      <c r="A43" t="s">
        <v>43</v>
      </c>
      <c r="C43" t="s">
        <v>61</v>
      </c>
      <c r="D43" t="s">
        <v>109</v>
      </c>
      <c r="E43" t="str">
        <f>VLOOKUP(Sheet1!A43,Sheet5!B$1:AA$613,26,FALSE)</f>
        <v>data pre processing error</v>
      </c>
      <c r="F43">
        <f>VLOOKUP(Sheet1!A43,Sheet5!B$1:AA$613,25,FALSE)</f>
        <v>0</v>
      </c>
      <c r="G43" s="97" t="s">
        <v>137</v>
      </c>
      <c r="H43" t="s">
        <v>1786</v>
      </c>
      <c r="I43" t="str">
        <f t="shared" si="0"/>
        <v xml:space="preserve">Success*  grouped by continent - did not remove the empty fac_type - I would not call this failed.. v.s. Success* --&gt; Success* </v>
      </c>
      <c r="J43" t="s">
        <v>150</v>
      </c>
      <c r="K43" t="s">
        <v>71</v>
      </c>
      <c r="L43" s="2" t="s">
        <v>70</v>
      </c>
      <c r="M43"/>
    </row>
    <row r="44" spans="1:13" ht="45" x14ac:dyDescent="0.25">
      <c r="A44" t="s">
        <v>44</v>
      </c>
      <c r="C44" t="s">
        <v>61</v>
      </c>
      <c r="D44" t="s">
        <v>100</v>
      </c>
      <c r="E44" t="str">
        <f>VLOOKUP(Sheet1!A44,Sheet5!B$1:AA$613,26,FALSE)</f>
        <v>data pre processing error</v>
      </c>
      <c r="F44">
        <f>VLOOKUP(Sheet1!A44,Sheet5!B$1:AA$613,25,FALSE)</f>
        <v>0</v>
      </c>
      <c r="G44" s="97" t="s">
        <v>61</v>
      </c>
      <c r="H44" t="s">
        <v>1787</v>
      </c>
      <c r="I44" t="str">
        <f t="shared" si="0"/>
        <v>Need Domain Knowledge - Use Aggregation or not v.s. Failed --&gt; Need Domain Knowledge</v>
      </c>
      <c r="J44" t="s">
        <v>151</v>
      </c>
      <c r="K44" t="s">
        <v>63</v>
      </c>
      <c r="L44" s="4" t="s">
        <v>84</v>
      </c>
      <c r="M44"/>
    </row>
    <row r="45" spans="1:13" ht="30" x14ac:dyDescent="0.25">
      <c r="A45" t="s">
        <v>45</v>
      </c>
      <c r="C45" t="s">
        <v>60</v>
      </c>
      <c r="D45" t="s">
        <v>60</v>
      </c>
      <c r="E45" t="str">
        <f>VLOOKUP(Sheet1!A45,Sheet5!B$1:AA$613,26,FALSE)</f>
        <v>failed</v>
      </c>
      <c r="F45" t="str">
        <f>VLOOKUP(Sheet1!A45,Sheet5!B$1:AA$613,25,FALSE)</f>
        <v>failed</v>
      </c>
      <c r="G45" s="97" t="s">
        <v>61</v>
      </c>
      <c r="H45" t="s">
        <v>60</v>
      </c>
      <c r="I45" t="str">
        <f t="shared" si="0"/>
        <v>Success v.s. Failed --&gt; Success</v>
      </c>
      <c r="J45" s="4" t="s">
        <v>152</v>
      </c>
      <c r="K45" t="s">
        <v>60</v>
      </c>
      <c r="L45" t="s">
        <v>64</v>
      </c>
      <c r="M45"/>
    </row>
    <row r="46" spans="1:13" x14ac:dyDescent="0.25">
      <c r="A46" t="s">
        <v>46</v>
      </c>
      <c r="C46" t="s">
        <v>61</v>
      </c>
      <c r="D46" t="s">
        <v>105</v>
      </c>
      <c r="E46">
        <f>VLOOKUP(Sheet1!A46,Sheet5!B$1:AA$613,26,FALSE)</f>
        <v>0</v>
      </c>
      <c r="F46" t="str">
        <f>VLOOKUP(Sheet1!A46,Sheet5!B$1:AA$613,25,FALSE)</f>
        <v>failed</v>
      </c>
      <c r="G46" s="97" t="s">
        <v>61</v>
      </c>
      <c r="H46" t="s">
        <v>1787</v>
      </c>
      <c r="I46" t="str">
        <f t="shared" si="0"/>
        <v>Failed - failed to aggregate - low entropy - domain knowledge v.s. Failed --&gt; Need Domain Knowledge</v>
      </c>
      <c r="J46" t="s">
        <v>153</v>
      </c>
      <c r="K46" t="s">
        <v>71</v>
      </c>
      <c r="L46" s="2" t="s">
        <v>70</v>
      </c>
      <c r="M46"/>
    </row>
    <row r="47" spans="1:13" x14ac:dyDescent="0.25">
      <c r="A47" t="s">
        <v>47</v>
      </c>
      <c r="C47" t="s">
        <v>61</v>
      </c>
      <c r="D47" t="s">
        <v>110</v>
      </c>
      <c r="E47">
        <f>VLOOKUP(Sheet1!A47,Sheet5!B$1:AA$613,26,FALSE)</f>
        <v>0</v>
      </c>
      <c r="F47" t="str">
        <f>VLOOKUP(Sheet1!A47,Sheet5!B$1:AA$613,25,FALSE)</f>
        <v>failed</v>
      </c>
      <c r="G47" s="97" t="s">
        <v>137</v>
      </c>
      <c r="H47" t="s">
        <v>137</v>
      </c>
      <c r="I47" t="str">
        <f t="shared" si="0"/>
        <v>Success*  grouped by continent - did not remove the empty conservation_status - I would not call this failed.. v.s. Success* --&gt; Success*</v>
      </c>
      <c r="J47" t="s">
        <v>154</v>
      </c>
      <c r="K47" t="s">
        <v>71</v>
      </c>
      <c r="L47" s="2" t="s">
        <v>70</v>
      </c>
      <c r="M47"/>
    </row>
    <row r="48" spans="1:13" ht="45" x14ac:dyDescent="0.25">
      <c r="A48" t="s">
        <v>48</v>
      </c>
      <c r="C48" t="s">
        <v>60</v>
      </c>
      <c r="D48" t="s">
        <v>60</v>
      </c>
      <c r="E48" t="e">
        <f>VLOOKUP(Sheet1!A48,Sheet5!B$1:AA$613,26,FALSE)</f>
        <v>#N/A</v>
      </c>
      <c r="F48" t="e">
        <f>VLOOKUP(Sheet1!A48,Sheet5!B$1:AA$613,25,FALSE)</f>
        <v>#N/A</v>
      </c>
      <c r="G48" s="97" t="s">
        <v>61</v>
      </c>
      <c r="H48" s="95" t="s">
        <v>61</v>
      </c>
      <c r="I48" t="str">
        <f t="shared" si="0"/>
        <v>Success v.s. Failed --&gt; Failed</v>
      </c>
      <c r="J48" s="4" t="s">
        <v>155</v>
      </c>
      <c r="K48" t="s">
        <v>60</v>
      </c>
      <c r="L48" t="s">
        <v>64</v>
      </c>
      <c r="M48"/>
    </row>
    <row r="49" spans="1:13" x14ac:dyDescent="0.25">
      <c r="A49" t="s">
        <v>49</v>
      </c>
      <c r="C49" t="s">
        <v>61</v>
      </c>
      <c r="D49" t="s">
        <v>97</v>
      </c>
      <c r="E49">
        <f>VLOOKUP(Sheet1!A49,Sheet5!B$1:AA$613,26,FALSE)</f>
        <v>0</v>
      </c>
      <c r="F49" t="str">
        <f>VLOOKUP(Sheet1!A49,Sheet5!B$1:AA$613,25,FALSE)</f>
        <v>failed</v>
      </c>
      <c r="G49" s="97" t="s">
        <v>61</v>
      </c>
      <c r="H49" t="s">
        <v>1787</v>
      </c>
      <c r="I49" t="str">
        <f xml:space="preserve"> D49 &amp; " v.s. " &amp; IF(AND(NOT(ISBLANK(G49)), NOT(ISBLANK(H49))), G49 &amp; " --&gt; " &amp; H49, G49 &amp; H49)</f>
        <v>Need Domain Knowledge - Aggregation function v.s. Failed --&gt; Need Domain Knowledge</v>
      </c>
      <c r="J49" t="s">
        <v>156</v>
      </c>
      <c r="K49" t="s">
        <v>62</v>
      </c>
      <c r="L49" t="s">
        <v>68</v>
      </c>
      <c r="M49" t="s">
        <v>79</v>
      </c>
    </row>
    <row r="50" spans="1:13" x14ac:dyDescent="0.25">
      <c r="A50" t="s">
        <v>50</v>
      </c>
      <c r="C50" t="s">
        <v>61</v>
      </c>
      <c r="D50" t="s">
        <v>105</v>
      </c>
      <c r="E50" t="e">
        <f>VLOOKUP(Sheet1!A50,Sheet5!B$1:AA$613,26,FALSE)</f>
        <v>#N/A</v>
      </c>
      <c r="F50" t="e">
        <f>VLOOKUP(Sheet1!A50,Sheet5!B$1:AA$613,25,FALSE)</f>
        <v>#N/A</v>
      </c>
      <c r="G50" s="97" t="s">
        <v>61</v>
      </c>
      <c r="H50" t="s">
        <v>1787</v>
      </c>
      <c r="I50" t="e">
        <f xml:space="preserve"> D50 &amp; " v.s. " &amp; IF(AND(NOT(ISBLANK(G50)), NOT(ISBLANK(#REF!))), G50 &amp; " --&gt; " &amp;#REF!, G50 &amp;#REF!)</f>
        <v>#REF!</v>
      </c>
      <c r="J50" t="s">
        <v>157</v>
      </c>
      <c r="K50" t="s">
        <v>71</v>
      </c>
      <c r="L50" s="2" t="s">
        <v>70</v>
      </c>
      <c r="M50"/>
    </row>
    <row r="51" spans="1:13" ht="75" x14ac:dyDescent="0.25">
      <c r="A51" t="s">
        <v>51</v>
      </c>
      <c r="C51" t="s">
        <v>61</v>
      </c>
      <c r="D51" t="s">
        <v>60</v>
      </c>
      <c r="E51" t="str">
        <f>VLOOKUP(Sheet1!A51,Sheet5!B$1:AA$613,26,FALSE)</f>
        <v>success</v>
      </c>
      <c r="F51" t="str">
        <f>VLOOKUP(Sheet1!A51,Sheet5!B$1:AA$613,25,FALSE)</f>
        <v>success</v>
      </c>
      <c r="G51" s="97" t="s">
        <v>61</v>
      </c>
      <c r="H51" s="95" t="s">
        <v>61</v>
      </c>
      <c r="I51" t="str">
        <f t="shared" si="0"/>
        <v>Success v.s. Failed --&gt; Failed</v>
      </c>
      <c r="J51" t="s">
        <v>158</v>
      </c>
      <c r="K51" t="s">
        <v>63</v>
      </c>
      <c r="L51" s="4" t="s">
        <v>85</v>
      </c>
      <c r="M51"/>
    </row>
    <row r="52" spans="1:13" ht="45" x14ac:dyDescent="0.25">
      <c r="A52" t="s">
        <v>52</v>
      </c>
      <c r="C52" t="s">
        <v>61</v>
      </c>
      <c r="D52" t="s">
        <v>99</v>
      </c>
      <c r="E52">
        <f>VLOOKUP(Sheet1!A52,Sheet5!B$1:AA$613,26,FALSE)</f>
        <v>0</v>
      </c>
      <c r="F52" t="str">
        <f>VLOOKUP(Sheet1!A52,Sheet5!B$1:AA$613,25,FALSE)</f>
        <v xml:space="preserve">error in date column; headear is for two rows, </v>
      </c>
      <c r="G52" s="97" t="s">
        <v>61</v>
      </c>
      <c r="H52" t="s">
        <v>99</v>
      </c>
      <c r="I52" t="str">
        <f t="shared" si="0"/>
        <v>Bad Case - task makes no sense v.s. Failed --&gt; Bad Case - task makes no sense</v>
      </c>
      <c r="J52" s="4" t="s">
        <v>159</v>
      </c>
      <c r="K52" t="s">
        <v>63</v>
      </c>
      <c r="L52" s="4" t="s">
        <v>86</v>
      </c>
      <c r="M52"/>
    </row>
    <row r="53" spans="1:13" ht="60" x14ac:dyDescent="0.25">
      <c r="A53" t="s">
        <v>53</v>
      </c>
      <c r="C53" t="s">
        <v>61</v>
      </c>
      <c r="D53" t="s">
        <v>101</v>
      </c>
      <c r="E53">
        <f>VLOOKUP(Sheet1!A53,Sheet5!B$1:AA$613,26,FALSE)</f>
        <v>0</v>
      </c>
      <c r="F53" t="str">
        <f>VLOOKUP(Sheet1!A53,Sheet5!B$1:AA$613,25,FALSE)</f>
        <v>failed</v>
      </c>
      <c r="G53" s="97" t="s">
        <v>61</v>
      </c>
      <c r="H53" t="s">
        <v>1787</v>
      </c>
      <c r="I53" t="str">
        <f t="shared" si="0"/>
        <v>Need Domain Knowledge - Rare case/ expectation v.s. Failed --&gt; Need Domain Knowledge</v>
      </c>
      <c r="J53" s="4" t="s">
        <v>160</v>
      </c>
      <c r="K53" t="s">
        <v>63</v>
      </c>
      <c r="L53" s="4" t="s">
        <v>87</v>
      </c>
      <c r="M53"/>
    </row>
    <row r="54" spans="1:13" ht="45" x14ac:dyDescent="0.25">
      <c r="A54" t="s">
        <v>54</v>
      </c>
      <c r="C54" t="s">
        <v>61</v>
      </c>
      <c r="D54" t="s">
        <v>102</v>
      </c>
      <c r="E54">
        <f>VLOOKUP(Sheet1!A54,Sheet5!B$1:AA$613,26,FALSE)</f>
        <v>0</v>
      </c>
      <c r="F54" t="str">
        <f>VLOOKUP(Sheet1!A54,Sheet5!B$1:AA$613,25,FALSE)</f>
        <v>could not treat empty value as NULL</v>
      </c>
      <c r="G54" s="97" t="s">
        <v>162</v>
      </c>
      <c r="H54" t="s">
        <v>60</v>
      </c>
      <c r="I54" t="str">
        <f t="shared" si="0"/>
        <v>Success - next iteration v.s. GUESS IT CAN SUCCESS --&gt; Success</v>
      </c>
      <c r="J54" s="4" t="s">
        <v>161</v>
      </c>
      <c r="K54" t="s">
        <v>63</v>
      </c>
      <c r="L54" s="4" t="s">
        <v>88</v>
      </c>
      <c r="M54"/>
    </row>
    <row r="55" spans="1:13" ht="27" x14ac:dyDescent="0.25">
      <c r="A55" t="s">
        <v>55</v>
      </c>
      <c r="C55" t="s">
        <v>61</v>
      </c>
      <c r="D55" t="s">
        <v>102</v>
      </c>
      <c r="E55">
        <f>VLOOKUP(Sheet1!A55,Sheet5!B$1:AA$613,26,FALSE)</f>
        <v>0</v>
      </c>
      <c r="F55" t="str">
        <f>VLOOKUP(Sheet1!A55,Sheet5!B$1:AA$613,25,FALSE)</f>
        <v>[0,1,1] sim score, and 0.6 accuracy</v>
      </c>
      <c r="G55" s="97" t="s">
        <v>60</v>
      </c>
      <c r="H55" s="17" t="s">
        <v>60</v>
      </c>
      <c r="I55" t="str">
        <f t="shared" si="0"/>
        <v>Success - next iteration v.s. Success --&gt; Success</v>
      </c>
      <c r="K55" t="s">
        <v>63</v>
      </c>
      <c r="L55" t="s">
        <v>69</v>
      </c>
      <c r="M55" s="5" t="s">
        <v>76</v>
      </c>
    </row>
    <row r="56" spans="1:13" ht="45" x14ac:dyDescent="0.25">
      <c r="A56" t="s">
        <v>56</v>
      </c>
      <c r="C56" t="s">
        <v>61</v>
      </c>
      <c r="D56" t="s">
        <v>102</v>
      </c>
      <c r="E56">
        <f>VLOOKUP(Sheet1!A56,Sheet5!B$1:AA$613,26,FALSE)</f>
        <v>0</v>
      </c>
      <c r="F56" t="str">
        <f>VLOOKUP(Sheet1!A56,Sheet5!B$1:AA$613,25,FALSE)</f>
        <v>failed with error</v>
      </c>
      <c r="G56" s="97" t="s">
        <v>61</v>
      </c>
      <c r="H56" s="95" t="s">
        <v>1788</v>
      </c>
      <c r="I56" t="str">
        <f t="shared" si="0"/>
        <v>Success - next iteration v.s. Failed --&gt; Failed-syntax</v>
      </c>
      <c r="J56" s="4" t="s">
        <v>163</v>
      </c>
      <c r="K56" t="s">
        <v>63</v>
      </c>
      <c r="L56" s="4" t="s">
        <v>89</v>
      </c>
      <c r="M56"/>
    </row>
    <row r="57" spans="1:13" ht="30" x14ac:dyDescent="0.25">
      <c r="A57" t="s">
        <v>57</v>
      </c>
      <c r="C57" t="s">
        <v>61</v>
      </c>
      <c r="D57" t="s">
        <v>111</v>
      </c>
      <c r="E57">
        <f>VLOOKUP(Sheet1!A57,Sheet5!B$1:AA$613,26,FALSE)</f>
        <v>0</v>
      </c>
      <c r="F57" t="str">
        <f>VLOOKUP(Sheet1!A57,Sheet5!B$1:AA$613,25,FALSE)</f>
        <v>failed</v>
      </c>
      <c r="G57" s="97" t="s">
        <v>61</v>
      </c>
      <c r="H57" t="s">
        <v>1787</v>
      </c>
      <c r="I57" t="str">
        <f t="shared" si="0"/>
        <v>Failed - failed to aggregate - low entropy - domain knowledge - hard (newest date) v.s. Failed --&gt; Need Domain Knowledge</v>
      </c>
      <c r="J57" s="4" t="s">
        <v>164</v>
      </c>
      <c r="K57" t="s">
        <v>71</v>
      </c>
      <c r="L57" s="2" t="s">
        <v>70</v>
      </c>
      <c r="M57"/>
    </row>
    <row r="58" spans="1:13" x14ac:dyDescent="0.25">
      <c r="A58" t="s">
        <v>58</v>
      </c>
      <c r="C58" t="s">
        <v>61</v>
      </c>
      <c r="D58" t="s">
        <v>103</v>
      </c>
      <c r="E58">
        <f>VLOOKUP(Sheet1!A58,Sheet5!B$1:AA$613,26,FALSE)</f>
        <v>0</v>
      </c>
      <c r="F58" t="str">
        <f>VLOOKUP(Sheet1!A58,Sheet5!B$1:AA$613,25,FALSE)</f>
        <v>[1,0] sim score, 0.5 accuracy</v>
      </c>
      <c r="G58" s="97" t="s">
        <v>61</v>
      </c>
      <c r="H58" t="s">
        <v>169</v>
      </c>
      <c r="I58" t="str">
        <f t="shared" si="0"/>
        <v>Need Domain Knowledge - expectation/ count on which v.s. Failed --&gt; Success - by luck</v>
      </c>
      <c r="J58" s="4" t="s">
        <v>165</v>
      </c>
      <c r="K58" t="s">
        <v>62</v>
      </c>
      <c r="L58" t="s">
        <v>75</v>
      </c>
      <c r="M58" s="4" t="s">
        <v>77</v>
      </c>
    </row>
    <row r="59" spans="1:13" ht="30" x14ac:dyDescent="0.25">
      <c r="A59" t="s">
        <v>59</v>
      </c>
      <c r="C59" t="s">
        <v>61</v>
      </c>
      <c r="D59" t="s">
        <v>112</v>
      </c>
      <c r="E59" t="str">
        <f>VLOOKUP(Sheet1!A59,Sheet5!B$1:AA$613,26,FALSE)</f>
        <v>failed</v>
      </c>
      <c r="F59" t="str">
        <f>VLOOKUP(Sheet1!A59,Sheet5!B$1:AA$613,25,FALSE)</f>
        <v>data procesessing error</v>
      </c>
      <c r="G59" s="97" t="s">
        <v>61</v>
      </c>
      <c r="H59" t="s">
        <v>112</v>
      </c>
      <c r="I59" t="str">
        <f t="shared" si="0"/>
        <v>Failed - did not figured out v.s. Failed --&gt; Failed - did not figured out</v>
      </c>
      <c r="J59" s="4" t="s">
        <v>166</v>
      </c>
      <c r="K59" t="s">
        <v>71</v>
      </c>
      <c r="L59" s="2" t="s">
        <v>70</v>
      </c>
      <c r="M59"/>
    </row>
  </sheetData>
  <autoFilter ref="A1:L59" xr:uid="{00000000-0001-0000-0000-000000000000}"/>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9DF98-9A08-FB44-A9BE-D84DBBFA2773}">
  <dimension ref="A1:AB613"/>
  <sheetViews>
    <sheetView topLeftCell="A165" zoomScale="50" workbookViewId="0">
      <selection activeCell="T154" sqref="T154"/>
    </sheetView>
  </sheetViews>
  <sheetFormatPr defaultColWidth="11.42578125" defaultRowHeight="15" x14ac:dyDescent="0.25"/>
  <cols>
    <col min="3" max="6" width="0" hidden="1" customWidth="1"/>
    <col min="7" max="7" width="30.28515625" hidden="1" customWidth="1"/>
    <col min="8" max="17" width="0" hidden="1" customWidth="1"/>
    <col min="18" max="18" width="8.85546875" hidden="1" customWidth="1"/>
    <col min="19" max="19" width="6.28515625" hidden="1" customWidth="1"/>
    <col min="20" max="20" width="32.42578125" customWidth="1"/>
    <col min="26" max="26" width="28.7109375" customWidth="1"/>
  </cols>
  <sheetData>
    <row r="1" spans="1:28" ht="51.75" thickBot="1" x14ac:dyDescent="0.3">
      <c r="A1" s="18" t="s">
        <v>211</v>
      </c>
      <c r="B1" s="19" t="s">
        <v>212</v>
      </c>
      <c r="C1" s="20" t="s">
        <v>213</v>
      </c>
      <c r="D1" s="20" t="s">
        <v>214</v>
      </c>
      <c r="E1" s="20" t="s">
        <v>215</v>
      </c>
      <c r="F1" s="20" t="s">
        <v>216</v>
      </c>
      <c r="G1" s="20" t="s">
        <v>217</v>
      </c>
      <c r="H1" s="20" t="s">
        <v>218</v>
      </c>
      <c r="I1" s="21" t="s">
        <v>219</v>
      </c>
      <c r="J1" s="21" t="s">
        <v>220</v>
      </c>
      <c r="K1" s="21" t="s">
        <v>221</v>
      </c>
      <c r="L1" s="22" t="s">
        <v>222</v>
      </c>
      <c r="M1" s="22" t="s">
        <v>223</v>
      </c>
      <c r="N1" s="22" t="s">
        <v>224</v>
      </c>
      <c r="O1" s="23" t="s">
        <v>225</v>
      </c>
      <c r="P1" s="23" t="s">
        <v>226</v>
      </c>
      <c r="Q1" s="23" t="s">
        <v>227</v>
      </c>
      <c r="R1" s="24" t="s">
        <v>228</v>
      </c>
      <c r="S1" s="24" t="s">
        <v>229</v>
      </c>
      <c r="T1" s="25" t="s">
        <v>230</v>
      </c>
      <c r="U1" s="26" t="s">
        <v>231</v>
      </c>
      <c r="V1" s="26" t="s">
        <v>232</v>
      </c>
      <c r="W1" s="26" t="s">
        <v>233</v>
      </c>
      <c r="X1" s="27" t="s">
        <v>234</v>
      </c>
      <c r="Y1" s="28" t="s">
        <v>235</v>
      </c>
      <c r="Z1" s="29" t="s">
        <v>236</v>
      </c>
      <c r="AA1" s="30" t="s">
        <v>237</v>
      </c>
      <c r="AB1" s="4"/>
    </row>
    <row r="2" spans="1:28" ht="128.25" thickBot="1" x14ac:dyDescent="0.3">
      <c r="A2" s="31" t="s">
        <v>238</v>
      </c>
      <c r="B2" s="32" t="s">
        <v>239</v>
      </c>
      <c r="C2" s="33" t="s">
        <v>240</v>
      </c>
      <c r="D2" s="34" t="s">
        <v>241</v>
      </c>
      <c r="E2" s="35" t="s">
        <v>242</v>
      </c>
      <c r="F2" s="33" t="s">
        <v>243</v>
      </c>
      <c r="G2" s="33" t="s">
        <v>244</v>
      </c>
      <c r="H2" s="34" t="s">
        <v>245</v>
      </c>
      <c r="I2" s="36"/>
      <c r="J2" s="36"/>
      <c r="K2" s="36"/>
      <c r="L2" s="37">
        <v>0</v>
      </c>
      <c r="M2" s="37">
        <v>0</v>
      </c>
      <c r="N2" s="37"/>
      <c r="O2" s="38"/>
      <c r="P2" s="38"/>
      <c r="Q2" s="39"/>
      <c r="R2" s="40"/>
      <c r="S2" s="40"/>
      <c r="T2" s="41">
        <v>0</v>
      </c>
      <c r="U2" s="42"/>
      <c r="V2" s="42"/>
      <c r="W2" s="43"/>
      <c r="X2" s="44"/>
      <c r="Y2" s="4">
        <v>1</v>
      </c>
      <c r="Z2" s="45" t="s">
        <v>246</v>
      </c>
      <c r="AA2" s="45" t="s">
        <v>247</v>
      </c>
      <c r="AB2" s="4"/>
    </row>
    <row r="3" spans="1:28" ht="409.6" thickBot="1" x14ac:dyDescent="0.3">
      <c r="A3" s="164" t="s">
        <v>248</v>
      </c>
      <c r="B3" s="155" t="s">
        <v>249</v>
      </c>
      <c r="C3" s="175" t="s">
        <v>250</v>
      </c>
      <c r="D3" s="157" t="s">
        <v>251</v>
      </c>
      <c r="E3" s="170" t="s">
        <v>252</v>
      </c>
      <c r="F3" s="33" t="s">
        <v>243</v>
      </c>
      <c r="G3" s="33" t="s">
        <v>253</v>
      </c>
      <c r="H3" s="34" t="s">
        <v>254</v>
      </c>
      <c r="I3" s="46"/>
      <c r="J3" s="46"/>
      <c r="K3" s="46" t="s">
        <v>255</v>
      </c>
      <c r="L3" s="177">
        <v>0</v>
      </c>
      <c r="M3" s="149">
        <v>0.45</v>
      </c>
      <c r="N3" s="149"/>
      <c r="O3" s="47"/>
      <c r="P3" s="47"/>
      <c r="Q3" s="39"/>
      <c r="R3" s="174">
        <v>0.45</v>
      </c>
      <c r="S3" s="40"/>
      <c r="T3" s="137">
        <v>1</v>
      </c>
      <c r="U3" s="42"/>
      <c r="V3" s="42"/>
      <c r="W3" s="43"/>
      <c r="X3" s="44"/>
      <c r="Y3" s="4"/>
      <c r="Z3" s="45"/>
      <c r="AA3" s="4" t="s">
        <v>394</v>
      </c>
      <c r="AB3" s="4"/>
    </row>
    <row r="4" spans="1:28" ht="64.5" thickBot="1" x14ac:dyDescent="0.3">
      <c r="A4" s="165"/>
      <c r="B4" s="156"/>
      <c r="C4" s="176"/>
      <c r="D4" s="158"/>
      <c r="E4" s="171"/>
      <c r="F4" s="33" t="s">
        <v>256</v>
      </c>
      <c r="G4" s="33" t="s">
        <v>257</v>
      </c>
      <c r="H4" s="33" t="s">
        <v>258</v>
      </c>
      <c r="I4" s="23"/>
      <c r="J4" s="23"/>
      <c r="K4" s="23"/>
      <c r="L4" s="178"/>
      <c r="M4" s="150"/>
      <c r="N4" s="150"/>
      <c r="O4" s="47"/>
      <c r="P4" s="47"/>
      <c r="Q4" s="39"/>
      <c r="R4" s="174"/>
      <c r="S4" s="40"/>
      <c r="T4" s="137"/>
      <c r="U4" s="42"/>
      <c r="V4" s="42"/>
      <c r="W4" s="43"/>
      <c r="X4" s="44"/>
      <c r="Y4" s="4"/>
      <c r="Z4" s="45"/>
      <c r="AA4" s="45"/>
      <c r="AB4" s="4"/>
    </row>
    <row r="5" spans="1:28" ht="217.5" thickBot="1" x14ac:dyDescent="0.3">
      <c r="A5" s="31" t="s">
        <v>259</v>
      </c>
      <c r="B5" s="32" t="s">
        <v>7</v>
      </c>
      <c r="C5" s="33" t="s">
        <v>260</v>
      </c>
      <c r="D5" s="34" t="s">
        <v>261</v>
      </c>
      <c r="E5" s="35" t="s">
        <v>262</v>
      </c>
      <c r="F5" s="33" t="s">
        <v>263</v>
      </c>
      <c r="G5" s="33" t="s">
        <v>264</v>
      </c>
      <c r="H5" s="34" t="s">
        <v>265</v>
      </c>
      <c r="I5" s="36"/>
      <c r="J5" s="36"/>
      <c r="K5" s="36"/>
      <c r="L5" s="37">
        <v>0</v>
      </c>
      <c r="M5" s="37">
        <v>0</v>
      </c>
      <c r="N5" s="37"/>
      <c r="O5" s="38"/>
      <c r="P5" s="38"/>
      <c r="Q5" s="39"/>
      <c r="R5" s="40">
        <v>0</v>
      </c>
      <c r="S5" s="40"/>
      <c r="T5" s="41">
        <v>0</v>
      </c>
      <c r="U5" s="42"/>
      <c r="V5" s="42"/>
      <c r="W5" s="43"/>
      <c r="X5" s="44"/>
      <c r="Y5" s="4"/>
      <c r="Z5" s="48" t="s">
        <v>266</v>
      </c>
      <c r="AA5" s="48" t="s">
        <v>246</v>
      </c>
      <c r="AB5" s="4"/>
    </row>
    <row r="6" spans="1:28" ht="120.75" thickBot="1" x14ac:dyDescent="0.3">
      <c r="A6" s="31" t="s">
        <v>267</v>
      </c>
      <c r="B6" s="32" t="s">
        <v>8</v>
      </c>
      <c r="C6" s="49" t="s">
        <v>268</v>
      </c>
      <c r="D6" s="33" t="s">
        <v>269</v>
      </c>
      <c r="E6" s="33" t="s">
        <v>270</v>
      </c>
      <c r="F6" s="33" t="s">
        <v>271</v>
      </c>
      <c r="G6" s="33" t="s">
        <v>272</v>
      </c>
      <c r="H6" s="33" t="s">
        <v>273</v>
      </c>
      <c r="I6" s="50"/>
      <c r="J6" s="50"/>
      <c r="K6" s="50"/>
      <c r="L6" s="37">
        <v>0</v>
      </c>
      <c r="M6" s="37">
        <v>0</v>
      </c>
      <c r="N6" s="37"/>
      <c r="O6" s="38"/>
      <c r="P6" s="38"/>
      <c r="Q6" s="39"/>
      <c r="R6" s="40">
        <v>1</v>
      </c>
      <c r="S6" s="51" t="s">
        <v>274</v>
      </c>
      <c r="T6" s="41">
        <v>0</v>
      </c>
      <c r="U6" s="42"/>
      <c r="V6" s="42"/>
      <c r="W6" s="43"/>
      <c r="X6" s="44"/>
      <c r="Y6" s="4">
        <v>1</v>
      </c>
      <c r="Z6" s="45" t="s">
        <v>246</v>
      </c>
      <c r="AA6" s="45" t="s">
        <v>246</v>
      </c>
      <c r="AB6" s="4"/>
    </row>
    <row r="7" spans="1:28" ht="153.75" thickBot="1" x14ac:dyDescent="0.3">
      <c r="A7" s="164" t="s">
        <v>275</v>
      </c>
      <c r="B7" s="155" t="s">
        <v>276</v>
      </c>
      <c r="C7" s="175" t="s">
        <v>277</v>
      </c>
      <c r="D7" s="157" t="s">
        <v>278</v>
      </c>
      <c r="E7" s="170" t="s">
        <v>279</v>
      </c>
      <c r="F7" s="33" t="s">
        <v>280</v>
      </c>
      <c r="G7" s="33" t="s">
        <v>281</v>
      </c>
      <c r="H7" s="34" t="s">
        <v>282</v>
      </c>
      <c r="I7" s="36"/>
      <c r="J7" s="36"/>
      <c r="K7" s="36"/>
      <c r="L7" s="37"/>
      <c r="M7" s="37">
        <v>0</v>
      </c>
      <c r="N7" s="37"/>
      <c r="O7" s="38"/>
      <c r="P7" s="38"/>
      <c r="Q7" s="39"/>
      <c r="R7" s="40">
        <v>0</v>
      </c>
      <c r="S7" s="40"/>
      <c r="T7" s="137">
        <v>0</v>
      </c>
      <c r="U7" s="42"/>
      <c r="V7" s="42"/>
      <c r="W7" s="43"/>
      <c r="X7" s="44"/>
      <c r="Y7" s="4"/>
      <c r="Z7" s="45"/>
      <c r="AA7" s="45"/>
      <c r="AB7" s="4"/>
    </row>
    <row r="8" spans="1:28" ht="39" thickBot="1" x14ac:dyDescent="0.3">
      <c r="A8" s="165"/>
      <c r="B8" s="156"/>
      <c r="C8" s="176"/>
      <c r="D8" s="158"/>
      <c r="E8" s="171"/>
      <c r="F8" s="33" t="s">
        <v>283</v>
      </c>
      <c r="G8" s="33" t="s">
        <v>284</v>
      </c>
      <c r="H8" s="33" t="s">
        <v>285</v>
      </c>
      <c r="I8" s="50"/>
      <c r="J8" s="50"/>
      <c r="K8" s="50"/>
      <c r="L8" s="37">
        <v>0</v>
      </c>
      <c r="M8" s="37">
        <v>0</v>
      </c>
      <c r="N8" s="37"/>
      <c r="O8" s="38"/>
      <c r="P8" s="38"/>
      <c r="Q8" s="39"/>
      <c r="R8" s="40"/>
      <c r="S8" s="40"/>
      <c r="T8" s="137"/>
      <c r="U8" s="42"/>
      <c r="V8" s="42"/>
      <c r="W8" s="43"/>
      <c r="X8" s="44"/>
      <c r="Y8" s="4"/>
      <c r="Z8" s="45"/>
      <c r="AA8" s="45"/>
      <c r="AB8" s="4"/>
    </row>
    <row r="9" spans="1:28" ht="141" thickBot="1" x14ac:dyDescent="0.3">
      <c r="A9" s="31" t="s">
        <v>286</v>
      </c>
      <c r="B9" s="32" t="s">
        <v>9</v>
      </c>
      <c r="C9" s="33" t="s">
        <v>287</v>
      </c>
      <c r="D9" s="34" t="s">
        <v>288</v>
      </c>
      <c r="E9" s="35" t="s">
        <v>289</v>
      </c>
      <c r="F9" s="33" t="s">
        <v>290</v>
      </c>
      <c r="G9" s="33" t="s">
        <v>291</v>
      </c>
      <c r="H9" s="33" t="s">
        <v>292</v>
      </c>
      <c r="I9" s="50"/>
      <c r="J9" s="50"/>
      <c r="K9" s="50"/>
      <c r="L9" s="37">
        <v>0</v>
      </c>
      <c r="M9" s="37">
        <v>0</v>
      </c>
      <c r="N9" s="37"/>
      <c r="O9" s="38"/>
      <c r="P9" s="38"/>
      <c r="Q9" s="39"/>
      <c r="R9" s="40">
        <v>0</v>
      </c>
      <c r="S9" s="40"/>
      <c r="T9" s="41">
        <v>0</v>
      </c>
      <c r="U9" s="42"/>
      <c r="V9" s="42"/>
      <c r="W9" s="43"/>
      <c r="X9" s="44"/>
      <c r="Y9" s="4" t="s">
        <v>293</v>
      </c>
      <c r="Z9" s="45" t="s">
        <v>246</v>
      </c>
      <c r="AA9" s="45" t="s">
        <v>246</v>
      </c>
      <c r="AB9" s="4"/>
    </row>
    <row r="10" spans="1:28" ht="166.5" thickBot="1" x14ac:dyDescent="0.3">
      <c r="A10" s="164" t="s">
        <v>294</v>
      </c>
      <c r="B10" s="155" t="s">
        <v>295</v>
      </c>
      <c r="C10" s="157" t="s">
        <v>296</v>
      </c>
      <c r="D10" s="157" t="s">
        <v>297</v>
      </c>
      <c r="E10" s="170" t="s">
        <v>298</v>
      </c>
      <c r="F10" s="33" t="s">
        <v>299</v>
      </c>
      <c r="G10" s="33" t="s">
        <v>300</v>
      </c>
      <c r="H10" s="33" t="s">
        <v>301</v>
      </c>
      <c r="I10" s="172" t="s">
        <v>302</v>
      </c>
      <c r="J10" s="50" t="s">
        <v>303</v>
      </c>
      <c r="K10" s="50"/>
      <c r="L10" s="37">
        <v>0</v>
      </c>
      <c r="M10" s="37">
        <v>1</v>
      </c>
      <c r="N10" s="37" t="s">
        <v>304</v>
      </c>
      <c r="O10" s="38"/>
      <c r="P10" s="38"/>
      <c r="Q10" s="39" t="s">
        <v>305</v>
      </c>
      <c r="R10" s="40">
        <v>0.84</v>
      </c>
      <c r="S10" s="40"/>
      <c r="T10" s="137" t="s">
        <v>306</v>
      </c>
      <c r="U10" s="42"/>
      <c r="V10" s="42" t="s">
        <v>307</v>
      </c>
      <c r="W10" s="43"/>
      <c r="X10" s="44"/>
      <c r="Y10" s="4"/>
      <c r="Z10" s="45"/>
      <c r="AA10" s="45"/>
      <c r="AB10" s="4"/>
    </row>
    <row r="11" spans="1:28" ht="154.5" thickTop="1" thickBot="1" x14ac:dyDescent="0.3">
      <c r="A11" s="165"/>
      <c r="B11" s="156"/>
      <c r="C11" s="158"/>
      <c r="D11" s="158"/>
      <c r="E11" s="171"/>
      <c r="F11" s="33" t="s">
        <v>308</v>
      </c>
      <c r="G11" s="33" t="s">
        <v>309</v>
      </c>
      <c r="H11" s="34" t="s">
        <v>310</v>
      </c>
      <c r="I11" s="173"/>
      <c r="J11" s="52" t="s">
        <v>311</v>
      </c>
      <c r="K11" s="36"/>
      <c r="L11" s="37"/>
      <c r="M11" s="37"/>
      <c r="N11" s="37"/>
      <c r="O11" s="38"/>
      <c r="P11" s="38"/>
      <c r="Q11" s="39"/>
      <c r="R11" s="40"/>
      <c r="S11" s="40"/>
      <c r="T11" s="137"/>
      <c r="U11" s="42"/>
      <c r="V11" s="42"/>
      <c r="W11" s="43"/>
      <c r="X11" s="44"/>
      <c r="Y11" s="4"/>
      <c r="Z11" s="45"/>
      <c r="AA11" s="45"/>
      <c r="AB11" s="4"/>
    </row>
    <row r="12" spans="1:28" ht="120.75" thickBot="1" x14ac:dyDescent="0.3">
      <c r="A12" s="164" t="s">
        <v>312</v>
      </c>
      <c r="B12" s="155" t="s">
        <v>313</v>
      </c>
      <c r="C12" s="157" t="s">
        <v>314</v>
      </c>
      <c r="D12" s="157" t="s">
        <v>315</v>
      </c>
      <c r="E12" s="159" t="s">
        <v>316</v>
      </c>
      <c r="F12" s="33" t="s">
        <v>317</v>
      </c>
      <c r="G12" s="33" t="s">
        <v>318</v>
      </c>
      <c r="H12" s="34" t="s">
        <v>319</v>
      </c>
      <c r="I12" s="36"/>
      <c r="J12" s="36"/>
      <c r="K12" s="36"/>
      <c r="L12" s="37"/>
      <c r="M12" s="149">
        <v>1</v>
      </c>
      <c r="N12" s="149" t="s">
        <v>320</v>
      </c>
      <c r="O12" s="38"/>
      <c r="P12" s="38"/>
      <c r="Q12" s="39"/>
      <c r="R12" s="40">
        <v>0.27</v>
      </c>
      <c r="S12" s="40"/>
      <c r="T12" s="137">
        <v>0</v>
      </c>
      <c r="U12" s="42"/>
      <c r="V12" s="42"/>
      <c r="W12" s="43"/>
      <c r="X12" s="44" t="s">
        <v>321</v>
      </c>
      <c r="Y12" s="4"/>
      <c r="Z12" s="45"/>
      <c r="AA12" s="45"/>
      <c r="AB12" s="4"/>
    </row>
    <row r="13" spans="1:28" ht="102.75" thickBot="1" x14ac:dyDescent="0.3">
      <c r="A13" s="165"/>
      <c r="B13" s="156"/>
      <c r="C13" s="158"/>
      <c r="D13" s="158"/>
      <c r="E13" s="160"/>
      <c r="F13" s="33" t="s">
        <v>322</v>
      </c>
      <c r="G13" s="33" t="s">
        <v>323</v>
      </c>
      <c r="H13" s="34" t="s">
        <v>324</v>
      </c>
      <c r="I13" s="36"/>
      <c r="J13" s="36"/>
      <c r="K13" s="36"/>
      <c r="L13" s="37"/>
      <c r="M13" s="150"/>
      <c r="N13" s="150"/>
      <c r="O13" s="38"/>
      <c r="P13" s="38"/>
      <c r="Q13" s="39"/>
      <c r="R13" s="40"/>
      <c r="S13" s="40"/>
      <c r="T13" s="137"/>
      <c r="U13" s="42"/>
      <c r="V13" s="42"/>
      <c r="W13" s="43"/>
      <c r="X13" s="44"/>
      <c r="Y13" s="4"/>
      <c r="Z13" s="45"/>
      <c r="AA13" s="45"/>
      <c r="AB13" s="4"/>
    </row>
    <row r="14" spans="1:28" ht="409.6" thickBot="1" x14ac:dyDescent="0.3">
      <c r="A14" s="31" t="s">
        <v>325</v>
      </c>
      <c r="B14" s="32" t="s">
        <v>10</v>
      </c>
      <c r="C14" s="33" t="s">
        <v>326</v>
      </c>
      <c r="D14" s="34" t="s">
        <v>327</v>
      </c>
      <c r="E14" s="35" t="s">
        <v>328</v>
      </c>
      <c r="F14" s="33" t="s">
        <v>329</v>
      </c>
      <c r="G14" s="33" t="s">
        <v>330</v>
      </c>
      <c r="H14" s="34" t="s">
        <v>331</v>
      </c>
      <c r="I14" s="36"/>
      <c r="J14" s="36"/>
      <c r="K14" s="36"/>
      <c r="L14" s="37">
        <v>0</v>
      </c>
      <c r="M14" s="37"/>
      <c r="N14" s="37"/>
      <c r="O14" s="38"/>
      <c r="P14" s="38"/>
      <c r="Q14" s="39"/>
      <c r="R14" s="40"/>
      <c r="S14" s="40"/>
      <c r="T14" s="41" t="s">
        <v>306</v>
      </c>
      <c r="U14" s="42"/>
      <c r="V14" s="42" t="s">
        <v>332</v>
      </c>
      <c r="W14" s="43" t="s">
        <v>333</v>
      </c>
      <c r="X14" s="44"/>
      <c r="Y14" s="4"/>
      <c r="Z14" s="45" t="s">
        <v>334</v>
      </c>
      <c r="AA14" s="45" t="s">
        <v>246</v>
      </c>
      <c r="AB14" s="4"/>
    </row>
    <row r="15" spans="1:28" ht="64.5" thickBot="1" x14ac:dyDescent="0.3">
      <c r="A15" s="164" t="s">
        <v>335</v>
      </c>
      <c r="B15" s="155" t="s">
        <v>336</v>
      </c>
      <c r="C15" s="157" t="s">
        <v>337</v>
      </c>
      <c r="D15" s="157" t="s">
        <v>338</v>
      </c>
      <c r="E15" s="159" t="s">
        <v>339</v>
      </c>
      <c r="F15" s="33" t="s">
        <v>340</v>
      </c>
      <c r="G15" s="33" t="s">
        <v>257</v>
      </c>
      <c r="H15" s="33" t="s">
        <v>258</v>
      </c>
      <c r="I15" s="50"/>
      <c r="J15" s="50"/>
      <c r="K15" s="50"/>
      <c r="L15" s="37"/>
      <c r="M15" s="149">
        <v>0.45</v>
      </c>
      <c r="N15" s="149" t="s">
        <v>341</v>
      </c>
      <c r="O15" s="38"/>
      <c r="P15" s="38"/>
      <c r="Q15" s="39"/>
      <c r="R15" s="40"/>
      <c r="S15" s="40"/>
      <c r="T15" s="137">
        <v>1</v>
      </c>
      <c r="U15" s="42"/>
      <c r="V15" s="42"/>
      <c r="W15" s="43"/>
      <c r="X15" s="44"/>
      <c r="Y15" s="4"/>
      <c r="Z15" s="45"/>
      <c r="AA15" s="4" t="s">
        <v>394</v>
      </c>
      <c r="AB15" s="4"/>
    </row>
    <row r="16" spans="1:28" ht="128.25" thickBot="1" x14ac:dyDescent="0.3">
      <c r="A16" s="165"/>
      <c r="B16" s="156"/>
      <c r="C16" s="158"/>
      <c r="D16" s="158"/>
      <c r="E16" s="160"/>
      <c r="F16" s="33" t="s">
        <v>342</v>
      </c>
      <c r="G16" s="33" t="s">
        <v>253</v>
      </c>
      <c r="H16" s="34" t="s">
        <v>254</v>
      </c>
      <c r="I16" s="36"/>
      <c r="J16" s="36"/>
      <c r="K16" s="36"/>
      <c r="L16" s="37"/>
      <c r="M16" s="150"/>
      <c r="N16" s="150"/>
      <c r="O16" s="38"/>
      <c r="P16" s="38"/>
      <c r="Q16" s="39"/>
      <c r="R16" s="40"/>
      <c r="S16" s="40"/>
      <c r="T16" s="137"/>
      <c r="U16" s="42"/>
      <c r="V16" s="42"/>
      <c r="W16" s="43"/>
      <c r="X16" s="44"/>
      <c r="Y16" s="4"/>
      <c r="Z16" s="45"/>
      <c r="AA16" s="45"/>
      <c r="AB16" s="4"/>
    </row>
    <row r="17" spans="1:28" ht="90" thickBot="1" x14ac:dyDescent="0.3">
      <c r="A17" s="31" t="s">
        <v>343</v>
      </c>
      <c r="B17" s="32" t="s">
        <v>11</v>
      </c>
      <c r="C17" s="33" t="s">
        <v>344</v>
      </c>
      <c r="D17" s="34" t="s">
        <v>345</v>
      </c>
      <c r="E17" s="35" t="s">
        <v>346</v>
      </c>
      <c r="F17" s="33" t="s">
        <v>347</v>
      </c>
      <c r="G17" s="33" t="s">
        <v>348</v>
      </c>
      <c r="H17" s="34" t="s">
        <v>349</v>
      </c>
      <c r="I17" s="36"/>
      <c r="J17" s="36"/>
      <c r="K17" s="36"/>
      <c r="L17" s="37">
        <v>0</v>
      </c>
      <c r="M17" s="37"/>
      <c r="N17" s="37"/>
      <c r="O17" s="38"/>
      <c r="P17" s="38"/>
      <c r="Q17" s="39"/>
      <c r="R17" s="40"/>
      <c r="S17" s="40"/>
      <c r="T17" s="41">
        <v>0</v>
      </c>
      <c r="U17" s="42"/>
      <c r="V17" s="42"/>
      <c r="W17" s="43"/>
      <c r="X17" s="44"/>
      <c r="Y17" s="4"/>
      <c r="Z17" s="45" t="s">
        <v>246</v>
      </c>
      <c r="AA17" s="45" t="s">
        <v>246</v>
      </c>
      <c r="AB17" s="4"/>
    </row>
    <row r="18" spans="1:28" ht="409.6" thickBot="1" x14ac:dyDescent="0.3">
      <c r="A18" s="153" t="s">
        <v>350</v>
      </c>
      <c r="B18" s="155" t="s">
        <v>351</v>
      </c>
      <c r="C18" s="157" t="s">
        <v>352</v>
      </c>
      <c r="D18" s="157" t="s">
        <v>353</v>
      </c>
      <c r="E18" s="159" t="s">
        <v>354</v>
      </c>
      <c r="F18" s="33" t="s">
        <v>355</v>
      </c>
      <c r="G18" s="33" t="s">
        <v>356</v>
      </c>
      <c r="H18" s="34" t="s">
        <v>357</v>
      </c>
      <c r="I18" s="168" t="s">
        <v>358</v>
      </c>
      <c r="J18" s="36" t="s">
        <v>359</v>
      </c>
      <c r="K18" s="168"/>
      <c r="L18" s="37"/>
      <c r="M18" s="37"/>
      <c r="N18" s="37"/>
      <c r="O18" s="38"/>
      <c r="P18" s="38"/>
      <c r="Q18" s="39"/>
      <c r="R18" s="40"/>
      <c r="S18" s="40"/>
      <c r="T18" s="137">
        <v>0.95</v>
      </c>
      <c r="U18" s="138" t="s">
        <v>360</v>
      </c>
      <c r="V18" s="42"/>
      <c r="W18" s="43"/>
      <c r="X18" s="44" t="s">
        <v>361</v>
      </c>
      <c r="Y18" s="4"/>
      <c r="Z18" s="45"/>
      <c r="AA18" s="45"/>
      <c r="AB18" s="4"/>
    </row>
    <row r="19" spans="1:28" ht="345" thickBot="1" x14ac:dyDescent="0.3">
      <c r="A19" s="154"/>
      <c r="B19" s="156"/>
      <c r="C19" s="158"/>
      <c r="D19" s="158"/>
      <c r="E19" s="160"/>
      <c r="F19" s="33" t="s">
        <v>362</v>
      </c>
      <c r="G19" s="33" t="s">
        <v>363</v>
      </c>
      <c r="H19" s="34" t="s">
        <v>364</v>
      </c>
      <c r="I19" s="169"/>
      <c r="J19" s="36"/>
      <c r="K19" s="169"/>
      <c r="L19" s="37">
        <v>0</v>
      </c>
      <c r="M19" s="37"/>
      <c r="N19" s="37"/>
      <c r="O19" s="38"/>
      <c r="P19" s="38"/>
      <c r="Q19" s="39"/>
      <c r="R19" s="40"/>
      <c r="S19" s="40"/>
      <c r="T19" s="137"/>
      <c r="U19" s="138"/>
      <c r="V19" s="42"/>
      <c r="W19" s="43"/>
      <c r="X19" s="44"/>
      <c r="Y19" s="4"/>
      <c r="Z19" s="45"/>
      <c r="AA19" s="45"/>
      <c r="AB19" s="4"/>
    </row>
    <row r="20" spans="1:28" ht="319.5" thickBot="1" x14ac:dyDescent="0.3">
      <c r="A20" s="164" t="s">
        <v>365</v>
      </c>
      <c r="B20" s="155" t="s">
        <v>366</v>
      </c>
      <c r="C20" s="157" t="s">
        <v>367</v>
      </c>
      <c r="D20" s="157" t="s">
        <v>368</v>
      </c>
      <c r="E20" s="159"/>
      <c r="F20" s="33" t="s">
        <v>369</v>
      </c>
      <c r="G20" s="33" t="s">
        <v>370</v>
      </c>
      <c r="H20" s="34" t="s">
        <v>367</v>
      </c>
      <c r="I20" s="36"/>
      <c r="J20" s="36"/>
      <c r="K20" s="168" t="s">
        <v>371</v>
      </c>
      <c r="L20" s="37"/>
      <c r="M20" s="37">
        <v>0.2</v>
      </c>
      <c r="N20" s="37" t="s">
        <v>372</v>
      </c>
      <c r="O20" s="38"/>
      <c r="P20" s="38"/>
      <c r="Q20" s="39" t="s">
        <v>373</v>
      </c>
      <c r="R20" s="40"/>
      <c r="S20" s="40"/>
      <c r="T20" s="137">
        <v>0.87</v>
      </c>
      <c r="U20" s="42" t="s">
        <v>374</v>
      </c>
      <c r="V20" s="42"/>
      <c r="W20" s="43" t="s">
        <v>374</v>
      </c>
      <c r="X20" s="44" t="s">
        <v>375</v>
      </c>
      <c r="Y20" s="4"/>
      <c r="Z20" s="45"/>
      <c r="AA20" s="45"/>
      <c r="AB20" s="4"/>
    </row>
    <row r="21" spans="1:28" ht="306.75" thickBot="1" x14ac:dyDescent="0.3">
      <c r="A21" s="165"/>
      <c r="B21" s="156"/>
      <c r="C21" s="158"/>
      <c r="D21" s="158"/>
      <c r="E21" s="160"/>
      <c r="F21" s="33" t="s">
        <v>376</v>
      </c>
      <c r="G21" s="33" t="s">
        <v>368</v>
      </c>
      <c r="H21" s="34" t="s">
        <v>367</v>
      </c>
      <c r="I21" s="36"/>
      <c r="J21" s="36"/>
      <c r="K21" s="169"/>
      <c r="L21" s="37">
        <v>0</v>
      </c>
      <c r="M21" s="37"/>
      <c r="N21" s="37"/>
      <c r="O21" s="38"/>
      <c r="P21" s="38"/>
      <c r="Q21" s="39"/>
      <c r="R21" s="40"/>
      <c r="S21" s="40"/>
      <c r="T21" s="137"/>
      <c r="U21" s="42"/>
      <c r="V21" s="42"/>
      <c r="W21" s="43"/>
      <c r="X21" s="44" t="s">
        <v>377</v>
      </c>
      <c r="Y21" s="4"/>
      <c r="Z21" s="45"/>
      <c r="AA21" s="45"/>
      <c r="AB21" s="4"/>
    </row>
    <row r="22" spans="1:28" ht="230.25" thickBot="1" x14ac:dyDescent="0.3">
      <c r="A22" s="31" t="s">
        <v>378</v>
      </c>
      <c r="B22" s="32" t="s">
        <v>12</v>
      </c>
      <c r="C22" s="33" t="s">
        <v>379</v>
      </c>
      <c r="D22" s="34" t="s">
        <v>380</v>
      </c>
      <c r="E22" s="35"/>
      <c r="F22" s="33" t="s">
        <v>381</v>
      </c>
      <c r="G22" s="33" t="s">
        <v>382</v>
      </c>
      <c r="H22" s="33" t="s">
        <v>383</v>
      </c>
      <c r="I22" s="50"/>
      <c r="J22" s="50"/>
      <c r="K22" s="50"/>
      <c r="L22" s="37">
        <v>0</v>
      </c>
      <c r="M22" s="37"/>
      <c r="N22" s="37"/>
      <c r="O22" s="38"/>
      <c r="P22" s="38"/>
      <c r="Q22" s="39"/>
      <c r="R22" s="40"/>
      <c r="S22" s="40"/>
      <c r="T22" s="41">
        <v>0</v>
      </c>
      <c r="U22" s="42"/>
      <c r="V22" s="42"/>
      <c r="W22" s="43"/>
      <c r="X22" s="44"/>
      <c r="Y22" s="4"/>
      <c r="Z22" s="45" t="s">
        <v>246</v>
      </c>
      <c r="AA22" s="45" t="s">
        <v>246</v>
      </c>
      <c r="AB22" s="4"/>
    </row>
    <row r="23" spans="1:28" ht="409.6" thickBot="1" x14ac:dyDescent="0.3">
      <c r="A23" s="31" t="s">
        <v>384</v>
      </c>
      <c r="B23" s="32" t="s">
        <v>13</v>
      </c>
      <c r="C23" s="33" t="s">
        <v>385</v>
      </c>
      <c r="D23" s="34" t="s">
        <v>386</v>
      </c>
      <c r="E23" s="35" t="s">
        <v>387</v>
      </c>
      <c r="F23" s="33" t="s">
        <v>388</v>
      </c>
      <c r="G23" s="33" t="s">
        <v>389</v>
      </c>
      <c r="H23" s="34" t="s">
        <v>390</v>
      </c>
      <c r="I23" s="36"/>
      <c r="J23" s="36"/>
      <c r="K23" s="36" t="s">
        <v>391</v>
      </c>
      <c r="L23" s="37"/>
      <c r="M23" s="37">
        <v>0</v>
      </c>
      <c r="N23" s="39"/>
      <c r="O23" s="39"/>
      <c r="P23" s="39"/>
      <c r="Q23" s="37" t="s">
        <v>392</v>
      </c>
      <c r="R23" s="40" t="s">
        <v>393</v>
      </c>
      <c r="S23" s="40"/>
      <c r="T23" s="41">
        <v>0</v>
      </c>
      <c r="U23" s="42"/>
      <c r="V23" s="42"/>
      <c r="W23" s="43"/>
      <c r="X23" s="44"/>
      <c r="Y23" s="4"/>
      <c r="Z23" s="48" t="s">
        <v>394</v>
      </c>
      <c r="AA23" s="48" t="s">
        <v>246</v>
      </c>
      <c r="AB23" s="4"/>
    </row>
    <row r="24" spans="1:28" ht="26.25" thickBot="1" x14ac:dyDescent="0.3">
      <c r="A24" s="31" t="s">
        <v>395</v>
      </c>
      <c r="B24" s="32" t="s">
        <v>14</v>
      </c>
      <c r="C24" s="33" t="s">
        <v>396</v>
      </c>
      <c r="D24" s="33" t="s">
        <v>397</v>
      </c>
      <c r="E24" s="35"/>
      <c r="F24" s="33" t="s">
        <v>398</v>
      </c>
      <c r="G24" s="33" t="s">
        <v>399</v>
      </c>
      <c r="H24" s="33" t="s">
        <v>396</v>
      </c>
      <c r="I24" s="50"/>
      <c r="J24" s="50"/>
      <c r="K24" s="50"/>
      <c r="L24" s="37">
        <v>0</v>
      </c>
      <c r="M24" s="37"/>
      <c r="N24" s="37"/>
      <c r="O24" s="38"/>
      <c r="P24" s="38"/>
      <c r="Q24" s="39"/>
      <c r="R24" s="40"/>
      <c r="S24" s="40"/>
      <c r="T24" s="41">
        <v>0</v>
      </c>
      <c r="U24" s="42"/>
      <c r="V24" s="42"/>
      <c r="W24" s="43"/>
      <c r="X24" s="44"/>
      <c r="Y24" s="4"/>
      <c r="Z24" s="45" t="s">
        <v>246</v>
      </c>
      <c r="AA24" s="45" t="s">
        <v>246</v>
      </c>
      <c r="AB24" s="4"/>
    </row>
    <row r="25" spans="1:28" ht="64.5" thickBot="1" x14ac:dyDescent="0.3">
      <c r="A25" s="31" t="s">
        <v>400</v>
      </c>
      <c r="B25" s="32" t="s">
        <v>15</v>
      </c>
      <c r="C25" s="33" t="s">
        <v>401</v>
      </c>
      <c r="D25" s="34" t="s">
        <v>402</v>
      </c>
      <c r="E25" s="35"/>
      <c r="F25" s="33" t="s">
        <v>403</v>
      </c>
      <c r="G25" s="33" t="s">
        <v>404</v>
      </c>
      <c r="H25" s="33" t="s">
        <v>405</v>
      </c>
      <c r="I25" s="50"/>
      <c r="J25" s="50"/>
      <c r="K25" s="50"/>
      <c r="L25" s="37">
        <v>0</v>
      </c>
      <c r="M25" s="37"/>
      <c r="N25" s="37"/>
      <c r="O25" s="38"/>
      <c r="P25" s="38"/>
      <c r="Q25" s="39"/>
      <c r="R25" s="40"/>
      <c r="S25" s="40"/>
      <c r="T25" s="41">
        <v>0</v>
      </c>
      <c r="U25" s="42"/>
      <c r="V25" s="42"/>
      <c r="W25" s="43"/>
      <c r="X25" s="44"/>
      <c r="Y25" s="4"/>
      <c r="Z25" s="45" t="s">
        <v>246</v>
      </c>
      <c r="AA25" s="45" t="s">
        <v>246</v>
      </c>
      <c r="AB25" s="4"/>
    </row>
    <row r="26" spans="1:28" ht="409.6" thickBot="1" x14ac:dyDescent="0.3">
      <c r="A26" s="164" t="s">
        <v>406</v>
      </c>
      <c r="B26" s="166" t="s">
        <v>407</v>
      </c>
      <c r="C26" s="157" t="s">
        <v>314</v>
      </c>
      <c r="D26" s="157" t="s">
        <v>315</v>
      </c>
      <c r="E26" s="31"/>
      <c r="F26" s="33" t="s">
        <v>408</v>
      </c>
      <c r="G26" s="33" t="s">
        <v>318</v>
      </c>
      <c r="H26" s="34" t="s">
        <v>319</v>
      </c>
      <c r="I26" s="36"/>
      <c r="J26" s="36"/>
      <c r="K26" s="36" t="s">
        <v>409</v>
      </c>
      <c r="L26" s="37">
        <v>0</v>
      </c>
      <c r="M26" s="37">
        <v>1</v>
      </c>
      <c r="N26" s="37" t="s">
        <v>320</v>
      </c>
      <c r="O26" s="38"/>
      <c r="P26" s="38"/>
      <c r="Q26" s="39"/>
      <c r="R26" s="40"/>
      <c r="S26" s="40"/>
      <c r="T26" s="137">
        <v>0</v>
      </c>
      <c r="U26" s="42"/>
      <c r="V26" s="42"/>
      <c r="W26" s="43"/>
      <c r="X26" s="44"/>
      <c r="Y26" s="4"/>
      <c r="Z26" s="45"/>
      <c r="AA26" s="45"/>
      <c r="AB26" s="4"/>
    </row>
    <row r="27" spans="1:28" ht="102.75" thickBot="1" x14ac:dyDescent="0.3">
      <c r="A27" s="165"/>
      <c r="B27" s="167"/>
      <c r="C27" s="158"/>
      <c r="D27" s="158"/>
      <c r="E27" s="35"/>
      <c r="F27" s="33" t="s">
        <v>410</v>
      </c>
      <c r="G27" s="33" t="s">
        <v>323</v>
      </c>
      <c r="H27" s="34" t="s">
        <v>324</v>
      </c>
      <c r="I27" s="36"/>
      <c r="J27" s="36"/>
      <c r="K27" s="36"/>
      <c r="L27" s="37">
        <v>0</v>
      </c>
      <c r="M27" s="37"/>
      <c r="N27" s="37"/>
      <c r="O27" s="38"/>
      <c r="P27" s="38"/>
      <c r="Q27" s="39"/>
      <c r="R27" s="40"/>
      <c r="S27" s="40"/>
      <c r="T27" s="137"/>
      <c r="U27" s="42"/>
      <c r="V27" s="42"/>
      <c r="W27" s="43"/>
      <c r="X27" s="44"/>
      <c r="Y27" s="4"/>
      <c r="Z27" s="45"/>
      <c r="AA27" s="45"/>
      <c r="AB27" s="4"/>
    </row>
    <row r="28" spans="1:28" ht="409.6" thickBot="1" x14ac:dyDescent="0.3">
      <c r="A28" s="31" t="s">
        <v>411</v>
      </c>
      <c r="B28" s="32" t="s">
        <v>17</v>
      </c>
      <c r="C28" s="33" t="s">
        <v>412</v>
      </c>
      <c r="D28" s="34" t="s">
        <v>413</v>
      </c>
      <c r="E28" s="35"/>
      <c r="F28" s="33" t="s">
        <v>414</v>
      </c>
      <c r="G28" s="33" t="s">
        <v>415</v>
      </c>
      <c r="H28" s="34" t="s">
        <v>416</v>
      </c>
      <c r="I28" s="36"/>
      <c r="J28" s="36"/>
      <c r="K28" s="36"/>
      <c r="L28" s="37">
        <v>0</v>
      </c>
      <c r="M28" s="37">
        <v>0</v>
      </c>
      <c r="N28" s="37"/>
      <c r="O28" s="38"/>
      <c r="P28" s="38"/>
      <c r="Q28" s="39"/>
      <c r="R28" s="40"/>
      <c r="S28" s="40"/>
      <c r="T28" s="41">
        <v>0</v>
      </c>
      <c r="U28" s="42"/>
      <c r="V28" s="42"/>
      <c r="W28" s="43"/>
      <c r="X28" s="44"/>
      <c r="Y28" s="4"/>
      <c r="Z28" s="45" t="s">
        <v>246</v>
      </c>
      <c r="AA28" s="45" t="s">
        <v>246</v>
      </c>
      <c r="AB28" s="4"/>
    </row>
    <row r="29" spans="1:28" ht="409.6" thickBot="1" x14ac:dyDescent="0.3">
      <c r="A29" s="31" t="s">
        <v>417</v>
      </c>
      <c r="B29" s="32" t="s">
        <v>18</v>
      </c>
      <c r="C29" s="33" t="s">
        <v>418</v>
      </c>
      <c r="D29" s="34" t="s">
        <v>419</v>
      </c>
      <c r="E29" s="35" t="s">
        <v>420</v>
      </c>
      <c r="F29" s="33" t="s">
        <v>421</v>
      </c>
      <c r="G29" s="33" t="s">
        <v>422</v>
      </c>
      <c r="H29" s="34" t="s">
        <v>423</v>
      </c>
      <c r="I29" s="36"/>
      <c r="J29" s="36"/>
      <c r="K29" s="36" t="s">
        <v>424</v>
      </c>
      <c r="L29" s="37">
        <v>0</v>
      </c>
      <c r="M29" s="37">
        <v>0</v>
      </c>
      <c r="N29" s="37"/>
      <c r="O29" s="38"/>
      <c r="P29" s="38"/>
      <c r="Q29" s="39"/>
      <c r="R29" s="40"/>
      <c r="S29" s="40"/>
      <c r="T29" s="41">
        <v>1</v>
      </c>
      <c r="U29" s="42"/>
      <c r="V29" s="42"/>
      <c r="W29" s="43"/>
      <c r="X29" s="44"/>
      <c r="Y29" s="4"/>
      <c r="Z29" s="48" t="s">
        <v>394</v>
      </c>
      <c r="AA29" s="48" t="s">
        <v>246</v>
      </c>
      <c r="AB29" s="4"/>
    </row>
    <row r="30" spans="1:28" ht="409.6" thickBot="1" x14ac:dyDescent="0.3">
      <c r="A30" s="31" t="s">
        <v>425</v>
      </c>
      <c r="B30" s="32" t="s">
        <v>3</v>
      </c>
      <c r="C30" s="33" t="s">
        <v>385</v>
      </c>
      <c r="D30" s="34" t="s">
        <v>386</v>
      </c>
      <c r="E30" s="35" t="s">
        <v>426</v>
      </c>
      <c r="F30" s="33" t="s">
        <v>427</v>
      </c>
      <c r="G30" s="33" t="s">
        <v>389</v>
      </c>
      <c r="H30" s="33" t="s">
        <v>390</v>
      </c>
      <c r="I30" s="50"/>
      <c r="J30" s="50"/>
      <c r="K30" s="50" t="s">
        <v>428</v>
      </c>
      <c r="L30" s="53">
        <v>0</v>
      </c>
      <c r="M30" s="37"/>
      <c r="N30" s="37"/>
      <c r="O30" s="38"/>
      <c r="P30" s="38"/>
      <c r="Q30" s="39" t="s">
        <v>392</v>
      </c>
      <c r="R30" s="40"/>
      <c r="S30" s="40"/>
      <c r="T30" s="41">
        <v>0</v>
      </c>
      <c r="U30" s="42"/>
      <c r="V30" s="42"/>
      <c r="W30" s="43"/>
      <c r="X30" s="44"/>
      <c r="Y30" s="4">
        <v>1</v>
      </c>
      <c r="Z30" s="48" t="s">
        <v>394</v>
      </c>
      <c r="AA30" s="48"/>
      <c r="AB30" s="4"/>
    </row>
    <row r="31" spans="1:28" ht="165.75" thickBot="1" x14ac:dyDescent="0.3">
      <c r="A31" s="164" t="s">
        <v>429</v>
      </c>
      <c r="B31" s="155" t="s">
        <v>430</v>
      </c>
      <c r="C31" s="157" t="s">
        <v>431</v>
      </c>
      <c r="D31" s="157" t="s">
        <v>432</v>
      </c>
      <c r="E31" s="159" t="s">
        <v>433</v>
      </c>
      <c r="F31" s="33" t="s">
        <v>434</v>
      </c>
      <c r="G31" s="33" t="s">
        <v>435</v>
      </c>
      <c r="H31" s="33" t="s">
        <v>436</v>
      </c>
      <c r="I31" s="54"/>
      <c r="J31" s="54"/>
      <c r="K31" s="151" t="s">
        <v>437</v>
      </c>
      <c r="L31" s="147">
        <v>0</v>
      </c>
      <c r="M31" s="149">
        <v>0.67</v>
      </c>
      <c r="N31" s="37" t="s">
        <v>438</v>
      </c>
      <c r="O31" s="38"/>
      <c r="P31" s="38"/>
      <c r="Q31" s="39" t="s">
        <v>439</v>
      </c>
      <c r="R31" s="40"/>
      <c r="S31" s="40"/>
      <c r="T31" s="137">
        <v>1</v>
      </c>
      <c r="U31" s="42"/>
      <c r="V31" s="42"/>
      <c r="W31" s="43"/>
      <c r="X31" s="44"/>
      <c r="Y31" s="4"/>
      <c r="Z31" s="45"/>
      <c r="AA31" s="4" t="s">
        <v>394</v>
      </c>
      <c r="AB31" s="4"/>
    </row>
    <row r="32" spans="1:28" ht="77.25" thickBot="1" x14ac:dyDescent="0.3">
      <c r="A32" s="165"/>
      <c r="B32" s="156"/>
      <c r="C32" s="158"/>
      <c r="D32" s="158"/>
      <c r="E32" s="160"/>
      <c r="F32" s="33" t="s">
        <v>440</v>
      </c>
      <c r="G32" s="33" t="s">
        <v>441</v>
      </c>
      <c r="H32" s="33" t="s">
        <v>442</v>
      </c>
      <c r="I32" s="55"/>
      <c r="J32" s="55"/>
      <c r="K32" s="152"/>
      <c r="L32" s="148"/>
      <c r="M32" s="150"/>
      <c r="N32" s="37"/>
      <c r="O32" s="38"/>
      <c r="P32" s="38"/>
      <c r="Q32" s="39"/>
      <c r="R32" s="40"/>
      <c r="S32" s="40"/>
      <c r="T32" s="137"/>
      <c r="U32" s="42"/>
      <c r="V32" s="42"/>
      <c r="W32" s="43"/>
      <c r="X32" s="44"/>
      <c r="Y32" s="4"/>
      <c r="Z32" s="45"/>
      <c r="AA32" s="45"/>
      <c r="AB32" s="4"/>
    </row>
    <row r="33" spans="1:28" ht="409.6" thickBot="1" x14ac:dyDescent="0.3">
      <c r="A33" s="164" t="s">
        <v>443</v>
      </c>
      <c r="B33" s="166" t="s">
        <v>444</v>
      </c>
      <c r="C33" s="157" t="s">
        <v>445</v>
      </c>
      <c r="D33" s="157" t="s">
        <v>446</v>
      </c>
      <c r="E33" s="159" t="s">
        <v>433</v>
      </c>
      <c r="F33" s="33" t="s">
        <v>447</v>
      </c>
      <c r="G33" s="33" t="s">
        <v>323</v>
      </c>
      <c r="H33" s="33" t="s">
        <v>324</v>
      </c>
      <c r="I33" s="54" t="s">
        <v>448</v>
      </c>
      <c r="J33" s="54" t="s">
        <v>449</v>
      </c>
      <c r="K33" s="151" t="s">
        <v>450</v>
      </c>
      <c r="L33" s="147">
        <v>0.45</v>
      </c>
      <c r="M33" s="149">
        <v>1</v>
      </c>
      <c r="N33" s="149" t="s">
        <v>320</v>
      </c>
      <c r="O33" s="47"/>
      <c r="P33" s="47"/>
      <c r="Q33" s="39"/>
      <c r="R33" s="40"/>
      <c r="S33" s="40"/>
      <c r="T33" s="137">
        <v>0</v>
      </c>
      <c r="U33" s="42"/>
      <c r="V33" s="42"/>
      <c r="W33" s="43"/>
      <c r="X33" s="44"/>
      <c r="Y33" s="4"/>
      <c r="Z33" s="45"/>
      <c r="AA33" s="45"/>
      <c r="AB33" s="4"/>
    </row>
    <row r="34" spans="1:28" ht="90" thickBot="1" x14ac:dyDescent="0.3">
      <c r="A34" s="165"/>
      <c r="B34" s="167"/>
      <c r="C34" s="158"/>
      <c r="D34" s="158"/>
      <c r="E34" s="160"/>
      <c r="F34" s="33" t="s">
        <v>451</v>
      </c>
      <c r="G34" s="33" t="s">
        <v>318</v>
      </c>
      <c r="H34" s="33" t="s">
        <v>319</v>
      </c>
      <c r="I34" s="55"/>
      <c r="J34" s="55"/>
      <c r="K34" s="152"/>
      <c r="L34" s="148"/>
      <c r="M34" s="150"/>
      <c r="N34" s="150"/>
      <c r="O34" s="47"/>
      <c r="P34" s="47"/>
      <c r="Q34" s="39"/>
      <c r="R34" s="40"/>
      <c r="S34" s="40"/>
      <c r="T34" s="137"/>
      <c r="U34" s="42"/>
      <c r="V34" s="42"/>
      <c r="W34" s="43"/>
      <c r="X34" s="44"/>
      <c r="Y34" s="4"/>
      <c r="Z34" s="45"/>
      <c r="AA34" s="45"/>
      <c r="AB34" s="4"/>
    </row>
    <row r="35" spans="1:28" ht="409.6" thickBot="1" x14ac:dyDescent="0.3">
      <c r="A35" s="31" t="s">
        <v>452</v>
      </c>
      <c r="B35" s="32" t="s">
        <v>19</v>
      </c>
      <c r="C35" s="33" t="s">
        <v>453</v>
      </c>
      <c r="D35" s="34" t="s">
        <v>454</v>
      </c>
      <c r="E35" s="35" t="s">
        <v>455</v>
      </c>
      <c r="F35" s="33" t="s">
        <v>456</v>
      </c>
      <c r="G35" s="33" t="s">
        <v>454</v>
      </c>
      <c r="H35" s="33" t="s">
        <v>457</v>
      </c>
      <c r="I35" s="50"/>
      <c r="J35" s="50"/>
      <c r="K35" s="50" t="s">
        <v>458</v>
      </c>
      <c r="L35" s="56">
        <v>1</v>
      </c>
      <c r="M35" s="37">
        <v>0</v>
      </c>
      <c r="N35" s="37"/>
      <c r="O35" s="38"/>
      <c r="P35" s="38"/>
      <c r="Q35" s="39"/>
      <c r="R35" s="40"/>
      <c r="S35" s="40"/>
      <c r="T35" s="41">
        <v>1</v>
      </c>
      <c r="U35" s="42"/>
      <c r="V35" s="42"/>
      <c r="W35" s="43"/>
      <c r="X35" s="44"/>
      <c r="Y35" s="4"/>
      <c r="Z35" s="48" t="s">
        <v>394</v>
      </c>
      <c r="AA35" s="57" t="s">
        <v>394</v>
      </c>
      <c r="AB35" s="4"/>
    </row>
    <row r="36" spans="1:28" ht="409.6" thickBot="1" x14ac:dyDescent="0.3">
      <c r="A36" s="31" t="s">
        <v>459</v>
      </c>
      <c r="B36" s="32" t="s">
        <v>20</v>
      </c>
      <c r="C36" s="33" t="s">
        <v>460</v>
      </c>
      <c r="D36" s="34" t="s">
        <v>461</v>
      </c>
      <c r="E36" s="35" t="s">
        <v>462</v>
      </c>
      <c r="F36" s="33" t="s">
        <v>463</v>
      </c>
      <c r="G36" s="33" t="s">
        <v>464</v>
      </c>
      <c r="H36" s="33" t="s">
        <v>465</v>
      </c>
      <c r="I36" s="50"/>
      <c r="J36" s="50"/>
      <c r="K36" s="50" t="s">
        <v>466</v>
      </c>
      <c r="L36" s="56">
        <v>1</v>
      </c>
      <c r="M36" s="37">
        <v>0</v>
      </c>
      <c r="N36" s="37"/>
      <c r="O36" s="38"/>
      <c r="P36" s="38"/>
      <c r="Q36" s="39"/>
      <c r="R36" s="40"/>
      <c r="S36" s="40"/>
      <c r="T36" s="94">
        <v>0</v>
      </c>
      <c r="U36" s="42"/>
      <c r="V36" s="42"/>
      <c r="W36" s="43"/>
      <c r="X36" s="44"/>
      <c r="Y36" s="4"/>
      <c r="Z36" s="45" t="s">
        <v>246</v>
      </c>
      <c r="AA36" s="92"/>
      <c r="AB36" s="4"/>
    </row>
    <row r="37" spans="1:28" ht="409.6" thickBot="1" x14ac:dyDescent="0.3">
      <c r="A37" s="164" t="s">
        <v>467</v>
      </c>
      <c r="B37" s="155" t="s">
        <v>468</v>
      </c>
      <c r="C37" s="157" t="s">
        <v>367</v>
      </c>
      <c r="D37" s="157" t="s">
        <v>469</v>
      </c>
      <c r="E37" s="159" t="s">
        <v>470</v>
      </c>
      <c r="F37" s="33" t="s">
        <v>471</v>
      </c>
      <c r="G37" s="33" t="s">
        <v>472</v>
      </c>
      <c r="H37" s="33" t="s">
        <v>367</v>
      </c>
      <c r="I37" s="4" t="s">
        <v>473</v>
      </c>
      <c r="J37" s="54"/>
      <c r="K37" s="151"/>
      <c r="L37" s="147">
        <v>0</v>
      </c>
      <c r="M37" s="149">
        <v>0</v>
      </c>
      <c r="N37" s="37"/>
      <c r="O37" s="38"/>
      <c r="P37" s="38"/>
      <c r="Q37" s="39" t="s">
        <v>474</v>
      </c>
      <c r="R37" s="40"/>
      <c r="S37" s="40"/>
      <c r="T37" s="137" t="s">
        <v>306</v>
      </c>
      <c r="U37" s="42"/>
      <c r="V37" s="42" t="s">
        <v>475</v>
      </c>
      <c r="W37" s="43"/>
      <c r="X37" s="44"/>
      <c r="Y37" s="4"/>
      <c r="Z37" s="45"/>
      <c r="AA37" s="45"/>
      <c r="AB37" s="4"/>
    </row>
    <row r="38" spans="1:28" ht="306.75" thickBot="1" x14ac:dyDescent="0.3">
      <c r="A38" s="165"/>
      <c r="B38" s="156"/>
      <c r="C38" s="158"/>
      <c r="D38" s="158"/>
      <c r="E38" s="160"/>
      <c r="F38" s="33" t="s">
        <v>476</v>
      </c>
      <c r="G38" s="33" t="s">
        <v>469</v>
      </c>
      <c r="H38" s="33" t="s">
        <v>367</v>
      </c>
      <c r="I38" s="55"/>
      <c r="J38" s="55"/>
      <c r="K38" s="152"/>
      <c r="L38" s="148"/>
      <c r="M38" s="150"/>
      <c r="N38" s="37"/>
      <c r="O38" s="38"/>
      <c r="P38" s="38"/>
      <c r="Q38" s="39"/>
      <c r="R38" s="40"/>
      <c r="S38" s="40"/>
      <c r="T38" s="137"/>
      <c r="U38" s="42"/>
      <c r="V38" s="42"/>
      <c r="W38" s="43"/>
      <c r="X38" s="44"/>
      <c r="Y38" s="4"/>
      <c r="Z38" s="45"/>
      <c r="AA38" s="45"/>
      <c r="AB38" s="4"/>
    </row>
    <row r="39" spans="1:28" ht="270.75" thickBot="1" x14ac:dyDescent="0.3">
      <c r="A39" s="164" t="s">
        <v>477</v>
      </c>
      <c r="B39" s="155" t="s">
        <v>478</v>
      </c>
      <c r="C39" s="157" t="s">
        <v>479</v>
      </c>
      <c r="D39" s="157" t="s">
        <v>480</v>
      </c>
      <c r="E39" s="159" t="s">
        <v>481</v>
      </c>
      <c r="F39" s="33" t="s">
        <v>482</v>
      </c>
      <c r="G39" s="33" t="s">
        <v>483</v>
      </c>
      <c r="H39" s="33" t="s">
        <v>484</v>
      </c>
      <c r="I39" s="54"/>
      <c r="J39" s="54"/>
      <c r="K39" s="151" t="s">
        <v>485</v>
      </c>
      <c r="L39" s="147">
        <v>0</v>
      </c>
      <c r="M39" s="149">
        <v>0</v>
      </c>
      <c r="N39" s="149">
        <v>0.14000000000000001</v>
      </c>
      <c r="O39" s="58"/>
      <c r="P39" s="58"/>
      <c r="Q39" s="161" t="s">
        <v>486</v>
      </c>
      <c r="R39" s="59" t="s">
        <v>487</v>
      </c>
      <c r="S39" s="40"/>
      <c r="T39" s="137"/>
      <c r="U39" s="42"/>
      <c r="V39" s="42" t="s">
        <v>488</v>
      </c>
      <c r="W39" s="43"/>
      <c r="X39" s="44"/>
      <c r="Y39" s="4"/>
      <c r="Z39" s="45"/>
      <c r="AA39" s="45"/>
      <c r="AB39" s="4"/>
    </row>
    <row r="40" spans="1:28" ht="115.5" thickBot="1" x14ac:dyDescent="0.3">
      <c r="A40" s="165"/>
      <c r="B40" s="156"/>
      <c r="C40" s="158"/>
      <c r="D40" s="158"/>
      <c r="E40" s="160"/>
      <c r="F40" s="33" t="s">
        <v>489</v>
      </c>
      <c r="G40" s="33" t="s">
        <v>490</v>
      </c>
      <c r="H40" s="33" t="s">
        <v>491</v>
      </c>
      <c r="I40" s="55"/>
      <c r="J40" s="55"/>
      <c r="K40" s="152"/>
      <c r="L40" s="148"/>
      <c r="M40" s="150"/>
      <c r="N40" s="150"/>
      <c r="O40" s="58"/>
      <c r="P40" s="58"/>
      <c r="Q40" s="161"/>
      <c r="R40" s="40"/>
      <c r="S40" s="40"/>
      <c r="T40" s="137"/>
      <c r="U40" s="42"/>
      <c r="V40" s="42"/>
      <c r="W40" s="43"/>
      <c r="X40" s="44"/>
      <c r="Y40" s="4"/>
      <c r="Z40" s="45"/>
      <c r="AA40" s="45"/>
      <c r="AB40" s="4"/>
    </row>
    <row r="41" spans="1:28" ht="409.6" thickBot="1" x14ac:dyDescent="0.3">
      <c r="A41" s="31" t="s">
        <v>492</v>
      </c>
      <c r="B41" s="32" t="s">
        <v>21</v>
      </c>
      <c r="C41" s="33" t="s">
        <v>493</v>
      </c>
      <c r="D41" s="34" t="s">
        <v>494</v>
      </c>
      <c r="E41" s="35" t="s">
        <v>495</v>
      </c>
      <c r="F41" s="33" t="s">
        <v>496</v>
      </c>
      <c r="G41" s="33" t="s">
        <v>497</v>
      </c>
      <c r="H41" s="33" t="s">
        <v>498</v>
      </c>
      <c r="I41" s="50" t="s">
        <v>499</v>
      </c>
      <c r="J41" s="50" t="s">
        <v>500</v>
      </c>
      <c r="K41" s="50" t="s">
        <v>501</v>
      </c>
      <c r="L41" s="53">
        <v>0</v>
      </c>
      <c r="M41" s="37">
        <v>0</v>
      </c>
      <c r="N41" s="37"/>
      <c r="O41" s="38"/>
      <c r="P41" s="38"/>
      <c r="Q41" s="39" t="s">
        <v>502</v>
      </c>
      <c r="R41" s="40"/>
      <c r="S41" s="40"/>
      <c r="T41" s="94"/>
      <c r="U41" s="42"/>
      <c r="V41" s="42"/>
      <c r="W41" s="43"/>
      <c r="X41" s="44"/>
      <c r="Y41" s="4"/>
      <c r="Z41" s="45" t="s">
        <v>246</v>
      </c>
      <c r="AA41" s="92"/>
      <c r="AB41" s="4"/>
    </row>
    <row r="42" spans="1:28" ht="409.6" thickBot="1" x14ac:dyDescent="0.3">
      <c r="A42" s="31" t="s">
        <v>503</v>
      </c>
      <c r="B42" s="60" t="s">
        <v>4</v>
      </c>
      <c r="C42" s="33" t="s">
        <v>504</v>
      </c>
      <c r="D42" s="34" t="s">
        <v>505</v>
      </c>
      <c r="E42" s="35" t="s">
        <v>506</v>
      </c>
      <c r="F42" s="33" t="s">
        <v>507</v>
      </c>
      <c r="G42" s="33" t="s">
        <v>508</v>
      </c>
      <c r="H42" s="33" t="s">
        <v>509</v>
      </c>
      <c r="I42" s="50" t="s">
        <v>510</v>
      </c>
      <c r="J42" s="50" t="s">
        <v>511</v>
      </c>
      <c r="K42" s="50" t="s">
        <v>512</v>
      </c>
      <c r="L42" s="53">
        <v>0</v>
      </c>
      <c r="M42" s="37">
        <v>0</v>
      </c>
      <c r="N42" s="37"/>
      <c r="O42" s="38"/>
      <c r="P42" s="38"/>
      <c r="Q42" s="39" t="s">
        <v>513</v>
      </c>
      <c r="R42" s="40"/>
      <c r="S42" s="40"/>
      <c r="T42" s="41">
        <v>1</v>
      </c>
      <c r="U42" s="42"/>
      <c r="V42" s="42"/>
      <c r="W42" s="43"/>
      <c r="X42" s="44"/>
      <c r="Y42" s="4">
        <v>1</v>
      </c>
      <c r="Z42" s="48" t="s">
        <v>394</v>
      </c>
      <c r="AA42" s="57" t="s">
        <v>394</v>
      </c>
      <c r="AB42" s="4"/>
    </row>
    <row r="43" spans="1:28" ht="409.6" thickBot="1" x14ac:dyDescent="0.3">
      <c r="A43" s="31" t="s">
        <v>514</v>
      </c>
      <c r="B43" s="60" t="s">
        <v>22</v>
      </c>
      <c r="C43" s="33" t="s">
        <v>515</v>
      </c>
      <c r="D43" s="34" t="s">
        <v>516</v>
      </c>
      <c r="E43" s="35" t="s">
        <v>517</v>
      </c>
      <c r="F43" s="33" t="s">
        <v>518</v>
      </c>
      <c r="G43" s="33" t="s">
        <v>330</v>
      </c>
      <c r="H43" s="33" t="s">
        <v>331</v>
      </c>
      <c r="I43" s="50" t="s">
        <v>519</v>
      </c>
      <c r="J43" s="50" t="s">
        <v>520</v>
      </c>
      <c r="K43" s="50"/>
      <c r="L43" s="22" t="s">
        <v>293</v>
      </c>
      <c r="M43" s="37">
        <v>0</v>
      </c>
      <c r="N43" s="37"/>
      <c r="O43" s="38"/>
      <c r="P43" s="38"/>
      <c r="Q43" s="39" t="s">
        <v>521</v>
      </c>
      <c r="R43" s="40"/>
      <c r="S43" s="40"/>
      <c r="T43" s="41" t="s">
        <v>306</v>
      </c>
      <c r="U43" s="42"/>
      <c r="V43" s="42" t="s">
        <v>522</v>
      </c>
      <c r="W43" s="43"/>
      <c r="X43" s="44"/>
      <c r="Y43" s="4"/>
      <c r="Z43" s="45"/>
      <c r="AA43" s="45" t="s">
        <v>523</v>
      </c>
      <c r="AB43" s="4"/>
    </row>
    <row r="44" spans="1:28" ht="409.6" thickBot="1" x14ac:dyDescent="0.3">
      <c r="A44" s="31" t="s">
        <v>524</v>
      </c>
      <c r="B44" s="60" t="s">
        <v>23</v>
      </c>
      <c r="C44" s="33" t="s">
        <v>525</v>
      </c>
      <c r="D44" s="34" t="s">
        <v>526</v>
      </c>
      <c r="E44" s="35" t="s">
        <v>527</v>
      </c>
      <c r="F44" s="33" t="s">
        <v>528</v>
      </c>
      <c r="G44" s="33" t="s">
        <v>529</v>
      </c>
      <c r="H44" s="33" t="s">
        <v>530</v>
      </c>
      <c r="I44" s="50" t="s">
        <v>531</v>
      </c>
      <c r="J44" s="50" t="s">
        <v>532</v>
      </c>
      <c r="K44" s="50"/>
      <c r="L44" s="53">
        <v>0</v>
      </c>
      <c r="M44" s="37">
        <v>0</v>
      </c>
      <c r="N44" s="37"/>
      <c r="O44" s="38"/>
      <c r="P44" s="38"/>
      <c r="Q44" s="39" t="s">
        <v>533</v>
      </c>
      <c r="R44" s="61" t="s">
        <v>534</v>
      </c>
      <c r="S44" s="40"/>
      <c r="T44" s="41">
        <v>0</v>
      </c>
      <c r="U44" s="42"/>
      <c r="V44" s="42"/>
      <c r="W44" s="43"/>
      <c r="X44" s="44"/>
      <c r="Y44" s="4"/>
      <c r="Z44" s="45" t="s">
        <v>246</v>
      </c>
      <c r="AA44" s="45" t="s">
        <v>246</v>
      </c>
      <c r="AB44" s="4"/>
    </row>
    <row r="45" spans="1:28" ht="285.75" thickBot="1" x14ac:dyDescent="0.3">
      <c r="A45" s="153" t="s">
        <v>535</v>
      </c>
      <c r="B45" s="162" t="s">
        <v>536</v>
      </c>
      <c r="C45" s="157" t="s">
        <v>537</v>
      </c>
      <c r="D45" s="157" t="s">
        <v>538</v>
      </c>
      <c r="E45" s="159" t="s">
        <v>433</v>
      </c>
      <c r="F45" s="33" t="s">
        <v>539</v>
      </c>
      <c r="G45" s="33" t="s">
        <v>540</v>
      </c>
      <c r="H45" s="33" t="s">
        <v>541</v>
      </c>
      <c r="I45" s="54"/>
      <c r="J45" s="151" t="s">
        <v>542</v>
      </c>
      <c r="K45" s="151" t="s">
        <v>543</v>
      </c>
      <c r="L45" s="147">
        <v>0</v>
      </c>
      <c r="M45" s="149">
        <v>0</v>
      </c>
      <c r="N45" s="37"/>
      <c r="O45" s="38" t="s">
        <v>61</v>
      </c>
      <c r="P45" s="38"/>
      <c r="Q45" s="39" t="s">
        <v>544</v>
      </c>
      <c r="R45" s="62" t="s">
        <v>545</v>
      </c>
      <c r="S45" s="40"/>
      <c r="T45" s="137">
        <v>1</v>
      </c>
      <c r="U45" s="42"/>
      <c r="V45" s="42"/>
      <c r="W45" s="43"/>
      <c r="X45" s="44"/>
      <c r="Y45" s="4"/>
      <c r="Z45" s="45"/>
      <c r="AA45" s="45"/>
      <c r="AB45" s="4"/>
    </row>
    <row r="46" spans="1:28" ht="319.5" thickBot="1" x14ac:dyDescent="0.3">
      <c r="A46" s="154"/>
      <c r="B46" s="163"/>
      <c r="C46" s="158"/>
      <c r="D46" s="158"/>
      <c r="E46" s="160"/>
      <c r="F46" s="33" t="s">
        <v>546</v>
      </c>
      <c r="G46" s="33" t="s">
        <v>547</v>
      </c>
      <c r="H46" s="33" t="s">
        <v>548</v>
      </c>
      <c r="I46" s="55"/>
      <c r="J46" s="152"/>
      <c r="K46" s="152"/>
      <c r="L46" s="148"/>
      <c r="M46" s="150"/>
      <c r="N46" s="37"/>
      <c r="O46" s="38"/>
      <c r="P46" s="38"/>
      <c r="Q46" s="39"/>
      <c r="R46" s="40"/>
      <c r="S46" s="40"/>
      <c r="T46" s="137"/>
      <c r="U46" s="42"/>
      <c r="V46" s="42"/>
      <c r="W46" s="43"/>
      <c r="X46" s="44"/>
      <c r="Y46" s="4"/>
      <c r="Z46" s="45"/>
      <c r="AA46" s="45"/>
      <c r="AB46" s="4"/>
    </row>
    <row r="47" spans="1:28" ht="409.6" thickBot="1" x14ac:dyDescent="0.3">
      <c r="A47" s="31" t="s">
        <v>549</v>
      </c>
      <c r="B47" s="32" t="s">
        <v>24</v>
      </c>
      <c r="C47" s="33" t="s">
        <v>550</v>
      </c>
      <c r="D47" s="34" t="s">
        <v>551</v>
      </c>
      <c r="E47" s="35" t="s">
        <v>552</v>
      </c>
      <c r="F47" s="33" t="s">
        <v>553</v>
      </c>
      <c r="G47" s="33" t="s">
        <v>554</v>
      </c>
      <c r="H47" s="33" t="s">
        <v>555</v>
      </c>
      <c r="I47" s="50"/>
      <c r="J47" s="50"/>
      <c r="K47" s="50" t="s">
        <v>556</v>
      </c>
      <c r="L47" s="53">
        <v>0</v>
      </c>
      <c r="M47" s="37">
        <v>0</v>
      </c>
      <c r="N47" s="37"/>
      <c r="O47" s="38"/>
      <c r="P47" s="38"/>
      <c r="Q47" s="39" t="s">
        <v>557</v>
      </c>
      <c r="R47" s="40"/>
      <c r="S47" s="40"/>
      <c r="T47" s="41" t="s">
        <v>306</v>
      </c>
      <c r="U47" s="42"/>
      <c r="V47" s="42" t="s">
        <v>558</v>
      </c>
      <c r="W47" s="43"/>
      <c r="X47" s="44"/>
      <c r="Y47" s="4"/>
      <c r="Z47" s="45"/>
      <c r="AA47" s="45" t="s">
        <v>523</v>
      </c>
      <c r="AB47" s="4"/>
    </row>
    <row r="48" spans="1:28" ht="409.6" thickBot="1" x14ac:dyDescent="0.3">
      <c r="A48" s="31" t="s">
        <v>559</v>
      </c>
      <c r="B48" s="32" t="s">
        <v>26</v>
      </c>
      <c r="C48" s="33" t="s">
        <v>560</v>
      </c>
      <c r="D48" s="34" t="s">
        <v>561</v>
      </c>
      <c r="E48" s="35" t="s">
        <v>562</v>
      </c>
      <c r="F48" s="33" t="s">
        <v>563</v>
      </c>
      <c r="G48" s="33" t="s">
        <v>564</v>
      </c>
      <c r="H48" s="33" t="s">
        <v>565</v>
      </c>
      <c r="I48" s="50"/>
      <c r="J48" s="50"/>
      <c r="K48" s="50" t="s">
        <v>566</v>
      </c>
      <c r="L48" s="53">
        <v>0</v>
      </c>
      <c r="M48" s="37">
        <v>0</v>
      </c>
      <c r="N48" s="37"/>
      <c r="O48" s="38"/>
      <c r="P48" s="38"/>
      <c r="Q48" s="39"/>
      <c r="R48" s="40"/>
      <c r="S48" s="40"/>
      <c r="T48" s="41">
        <v>0</v>
      </c>
      <c r="U48" s="42"/>
      <c r="V48" s="42"/>
      <c r="W48" s="43"/>
      <c r="X48" s="44" t="s">
        <v>567</v>
      </c>
      <c r="Y48" s="4"/>
      <c r="Z48" s="45"/>
      <c r="AA48" s="92"/>
      <c r="AB48" s="93"/>
    </row>
    <row r="49" spans="1:28" ht="64.5" thickBot="1" x14ac:dyDescent="0.3">
      <c r="A49" s="153" t="s">
        <v>568</v>
      </c>
      <c r="B49" s="155" t="s">
        <v>569</v>
      </c>
      <c r="C49" s="157" t="s">
        <v>570</v>
      </c>
      <c r="D49" s="157" t="s">
        <v>571</v>
      </c>
      <c r="E49" s="159" t="s">
        <v>433</v>
      </c>
      <c r="F49" s="33" t="s">
        <v>572</v>
      </c>
      <c r="G49" s="33" t="s">
        <v>573</v>
      </c>
      <c r="H49" s="33" t="s">
        <v>574</v>
      </c>
      <c r="I49" s="54"/>
      <c r="J49" s="54"/>
      <c r="K49" s="151"/>
      <c r="L49" s="147">
        <v>0</v>
      </c>
      <c r="M49" s="149">
        <v>1</v>
      </c>
      <c r="N49" s="149" t="s">
        <v>575</v>
      </c>
      <c r="O49" s="38"/>
      <c r="P49" s="38"/>
      <c r="Q49" s="146" t="s">
        <v>394</v>
      </c>
      <c r="R49" s="40"/>
      <c r="S49" s="40"/>
      <c r="T49" s="137">
        <v>1</v>
      </c>
      <c r="U49" s="42"/>
      <c r="V49" s="42"/>
      <c r="W49" s="43"/>
      <c r="X49" s="44"/>
      <c r="Y49" s="4"/>
      <c r="Z49" s="45"/>
      <c r="AA49" s="45"/>
      <c r="AB49" s="4"/>
    </row>
    <row r="50" spans="1:28" ht="64.5" thickBot="1" x14ac:dyDescent="0.3">
      <c r="A50" s="154"/>
      <c r="B50" s="156"/>
      <c r="C50" s="158"/>
      <c r="D50" s="158"/>
      <c r="E50" s="160"/>
      <c r="F50" s="33" t="s">
        <v>576</v>
      </c>
      <c r="G50" s="33" t="s">
        <v>577</v>
      </c>
      <c r="H50" s="33" t="s">
        <v>578</v>
      </c>
      <c r="I50" s="55"/>
      <c r="J50" s="55"/>
      <c r="K50" s="152"/>
      <c r="L50" s="148"/>
      <c r="M50" s="150"/>
      <c r="N50" s="150"/>
      <c r="O50" s="38"/>
      <c r="P50" s="38"/>
      <c r="Q50" s="146"/>
      <c r="R50" s="40"/>
      <c r="S50" s="40"/>
      <c r="T50" s="137"/>
      <c r="U50" s="42"/>
      <c r="V50" s="42"/>
      <c r="W50" s="43"/>
      <c r="X50" s="44"/>
      <c r="Y50" s="4"/>
      <c r="Z50" s="45"/>
      <c r="AA50" s="45"/>
      <c r="AB50" s="4"/>
    </row>
    <row r="51" spans="1:28" ht="409.6" thickBot="1" x14ac:dyDescent="0.3">
      <c r="A51" s="31" t="s">
        <v>579</v>
      </c>
      <c r="B51" s="32" t="s">
        <v>28</v>
      </c>
      <c r="C51" s="33" t="s">
        <v>580</v>
      </c>
      <c r="D51" s="33" t="s">
        <v>397</v>
      </c>
      <c r="E51" s="35" t="s">
        <v>581</v>
      </c>
      <c r="F51" s="33" t="s">
        <v>582</v>
      </c>
      <c r="G51" s="33" t="s">
        <v>399</v>
      </c>
      <c r="H51" s="33" t="s">
        <v>396</v>
      </c>
      <c r="I51" s="50"/>
      <c r="J51" s="50"/>
      <c r="K51" s="50" t="s">
        <v>583</v>
      </c>
      <c r="L51" s="37">
        <v>0</v>
      </c>
      <c r="M51" s="37">
        <v>0.5</v>
      </c>
      <c r="N51" s="37" t="s">
        <v>584</v>
      </c>
      <c r="O51" s="38"/>
      <c r="P51" s="38"/>
      <c r="Q51" s="39" t="s">
        <v>585</v>
      </c>
      <c r="R51" s="40"/>
      <c r="S51" s="40"/>
      <c r="T51" s="41">
        <v>0</v>
      </c>
      <c r="U51" s="42"/>
      <c r="V51" s="42"/>
      <c r="W51" s="43"/>
      <c r="X51" s="44"/>
      <c r="Y51" s="4"/>
      <c r="Z51" s="45" t="s">
        <v>246</v>
      </c>
      <c r="AA51" s="45" t="s">
        <v>246</v>
      </c>
      <c r="AB51" s="4" t="s">
        <v>586</v>
      </c>
    </row>
    <row r="52" spans="1:28" ht="409.6" thickBot="1" x14ac:dyDescent="0.3">
      <c r="A52" s="31" t="s">
        <v>587</v>
      </c>
      <c r="B52" s="32" t="s">
        <v>29</v>
      </c>
      <c r="C52" s="33" t="s">
        <v>588</v>
      </c>
      <c r="D52" s="34" t="s">
        <v>589</v>
      </c>
      <c r="E52" s="35" t="s">
        <v>590</v>
      </c>
      <c r="F52" s="33" t="s">
        <v>591</v>
      </c>
      <c r="G52" s="33" t="s">
        <v>592</v>
      </c>
      <c r="H52" s="33" t="s">
        <v>593</v>
      </c>
      <c r="I52" s="50"/>
      <c r="J52" s="50"/>
      <c r="K52" s="50" t="s">
        <v>594</v>
      </c>
      <c r="L52" s="53"/>
      <c r="M52" s="37">
        <v>0</v>
      </c>
      <c r="N52" s="37"/>
      <c r="O52" s="38"/>
      <c r="P52" s="38"/>
      <c r="Q52" s="39" t="s">
        <v>585</v>
      </c>
      <c r="R52" s="40" t="s">
        <v>595</v>
      </c>
      <c r="S52" s="40"/>
      <c r="T52" s="41">
        <v>0</v>
      </c>
      <c r="U52" s="42"/>
      <c r="V52" s="42"/>
      <c r="W52" s="43"/>
      <c r="X52" s="44" t="s">
        <v>596</v>
      </c>
      <c r="Y52" s="4"/>
      <c r="Z52" s="45" t="s">
        <v>246</v>
      </c>
      <c r="AA52" s="45" t="s">
        <v>246</v>
      </c>
      <c r="AB52" s="4" t="s">
        <v>597</v>
      </c>
    </row>
    <row r="53" spans="1:28" ht="135.75" thickBot="1" x14ac:dyDescent="0.3">
      <c r="A53" s="31" t="s">
        <v>598</v>
      </c>
      <c r="B53" s="32" t="s">
        <v>32</v>
      </c>
      <c r="C53" s="33" t="s">
        <v>599</v>
      </c>
      <c r="D53" s="34" t="s">
        <v>600</v>
      </c>
      <c r="E53" s="35" t="s">
        <v>601</v>
      </c>
      <c r="F53" s="33" t="s">
        <v>602</v>
      </c>
      <c r="G53" s="33" t="s">
        <v>603</v>
      </c>
      <c r="H53" s="33" t="s">
        <v>604</v>
      </c>
      <c r="I53" s="50"/>
      <c r="J53" s="50"/>
      <c r="K53" s="50"/>
      <c r="L53" s="53">
        <v>0</v>
      </c>
      <c r="M53" s="37"/>
      <c r="N53" s="37"/>
      <c r="O53" s="38"/>
      <c r="P53" s="38"/>
      <c r="Q53" s="39" t="s">
        <v>585</v>
      </c>
      <c r="R53" s="40"/>
      <c r="S53" s="40"/>
      <c r="T53" s="41">
        <v>0</v>
      </c>
      <c r="U53" s="42"/>
      <c r="V53" s="42"/>
      <c r="W53" s="43"/>
      <c r="X53" s="44"/>
      <c r="Y53" s="4"/>
      <c r="Z53" s="92"/>
      <c r="AA53" s="92"/>
      <c r="AB53" s="4"/>
    </row>
    <row r="54" spans="1:28" ht="409.6" thickBot="1" x14ac:dyDescent="0.3">
      <c r="A54" s="31" t="s">
        <v>605</v>
      </c>
      <c r="B54" s="63" t="s">
        <v>33</v>
      </c>
      <c r="C54" s="33" t="s">
        <v>606</v>
      </c>
      <c r="D54" s="34" t="s">
        <v>607</v>
      </c>
      <c r="E54" s="35" t="s">
        <v>608</v>
      </c>
      <c r="F54" s="33" t="s">
        <v>609</v>
      </c>
      <c r="G54" s="33" t="s">
        <v>330</v>
      </c>
      <c r="H54" s="34" t="s">
        <v>331</v>
      </c>
      <c r="I54" s="36" t="s">
        <v>610</v>
      </c>
      <c r="J54" s="36" t="s">
        <v>611</v>
      </c>
      <c r="K54" s="36" t="s">
        <v>612</v>
      </c>
      <c r="L54" s="37"/>
      <c r="M54" s="37"/>
      <c r="N54" s="37"/>
      <c r="O54" s="38"/>
      <c r="P54" s="38"/>
      <c r="Q54" s="39" t="s">
        <v>585</v>
      </c>
      <c r="R54" s="40"/>
      <c r="S54" s="40"/>
      <c r="T54" s="64" t="s">
        <v>306</v>
      </c>
      <c r="U54" s="42"/>
      <c r="V54" s="42" t="s">
        <v>613</v>
      </c>
      <c r="W54" s="43"/>
      <c r="X54" s="44"/>
      <c r="Y54" s="4"/>
      <c r="Z54" s="48" t="s">
        <v>614</v>
      </c>
      <c r="AA54" s="48" t="s">
        <v>615</v>
      </c>
      <c r="AB54" s="4"/>
    </row>
    <row r="55" spans="1:28" ht="409.5" x14ac:dyDescent="0.25">
      <c r="A55" s="85" t="s">
        <v>616</v>
      </c>
      <c r="B55" s="86" t="s">
        <v>5</v>
      </c>
      <c r="C55" s="65" t="s">
        <v>617</v>
      </c>
      <c r="D55" s="65" t="s">
        <v>618</v>
      </c>
      <c r="E55" s="65"/>
      <c r="F55" s="65" t="s">
        <v>619</v>
      </c>
      <c r="G55" s="65" t="s">
        <v>620</v>
      </c>
      <c r="H55" s="65" t="s">
        <v>621</v>
      </c>
      <c r="I55" s="66" t="s">
        <v>622</v>
      </c>
      <c r="J55" s="66" t="s">
        <v>623</v>
      </c>
      <c r="K55" s="39"/>
      <c r="L55" s="39"/>
      <c r="M55" s="39"/>
      <c r="N55" s="39"/>
      <c r="O55" s="39"/>
      <c r="P55" s="39"/>
      <c r="Q55" s="39" t="s">
        <v>624</v>
      </c>
      <c r="R55" s="40"/>
      <c r="S55" s="40"/>
      <c r="T55" s="41">
        <v>0</v>
      </c>
      <c r="U55" s="42"/>
      <c r="V55" s="42"/>
      <c r="W55" s="43"/>
      <c r="X55" s="44"/>
      <c r="Y55" s="4">
        <v>1</v>
      </c>
      <c r="Z55" s="45" t="s">
        <v>246</v>
      </c>
      <c r="AA55" s="45" t="s">
        <v>246</v>
      </c>
      <c r="AB55" s="4"/>
    </row>
    <row r="56" spans="1:28" ht="409.5" x14ac:dyDescent="0.25">
      <c r="A56" s="85" t="s">
        <v>625</v>
      </c>
      <c r="B56" s="86" t="s">
        <v>34</v>
      </c>
      <c r="C56" s="65" t="s">
        <v>626</v>
      </c>
      <c r="D56" s="65" t="s">
        <v>627</v>
      </c>
      <c r="E56" s="65" t="s">
        <v>628</v>
      </c>
      <c r="F56" s="65" t="s">
        <v>629</v>
      </c>
      <c r="G56" s="65" t="s">
        <v>630</v>
      </c>
      <c r="H56" s="65" t="s">
        <v>631</v>
      </c>
      <c r="I56" s="66"/>
      <c r="J56" s="66"/>
      <c r="K56" s="39" t="s">
        <v>632</v>
      </c>
      <c r="L56" s="39"/>
      <c r="M56" s="39">
        <v>0.5</v>
      </c>
      <c r="N56" s="39" t="s">
        <v>633</v>
      </c>
      <c r="O56" s="39"/>
      <c r="P56" s="39"/>
      <c r="Q56" s="39" t="s">
        <v>634</v>
      </c>
      <c r="R56" s="40"/>
      <c r="S56" s="40"/>
      <c r="T56" s="41"/>
      <c r="U56" s="42"/>
      <c r="V56" s="42"/>
      <c r="W56" s="43"/>
      <c r="X56" s="44"/>
      <c r="Y56" s="4"/>
      <c r="Z56" s="48" t="s">
        <v>394</v>
      </c>
      <c r="AA56" s="48" t="s">
        <v>246</v>
      </c>
      <c r="AB56" s="4"/>
    </row>
    <row r="57" spans="1:28" ht="330" x14ac:dyDescent="0.25">
      <c r="A57" s="144" t="s">
        <v>635</v>
      </c>
      <c r="B57" s="124" t="s">
        <v>636</v>
      </c>
      <c r="C57" s="127" t="s">
        <v>637</v>
      </c>
      <c r="D57" s="127" t="s">
        <v>638</v>
      </c>
      <c r="E57" s="132" t="s">
        <v>433</v>
      </c>
      <c r="F57" s="65" t="s">
        <v>639</v>
      </c>
      <c r="G57" s="65" t="s">
        <v>640</v>
      </c>
      <c r="H57" s="65" t="s">
        <v>641</v>
      </c>
      <c r="I57" s="145" t="s">
        <v>642</v>
      </c>
      <c r="J57" s="66" t="s">
        <v>303</v>
      </c>
      <c r="K57" s="39"/>
      <c r="L57" s="39"/>
      <c r="M57" s="39"/>
      <c r="N57" s="39"/>
      <c r="O57" s="39"/>
      <c r="P57" s="39"/>
      <c r="Q57" s="146" t="s">
        <v>643</v>
      </c>
      <c r="R57" s="40"/>
      <c r="S57" s="40"/>
      <c r="T57" s="41"/>
      <c r="U57" s="42"/>
      <c r="V57" s="42" t="s">
        <v>644</v>
      </c>
      <c r="W57" s="43"/>
      <c r="X57" s="44"/>
      <c r="Y57" s="4"/>
      <c r="Z57" s="45"/>
      <c r="AA57" s="45"/>
      <c r="AB57" s="4"/>
    </row>
    <row r="58" spans="1:28" ht="409.5" x14ac:dyDescent="0.25">
      <c r="A58" s="144"/>
      <c r="B58" s="126"/>
      <c r="C58" s="129"/>
      <c r="D58" s="129"/>
      <c r="E58" s="134"/>
      <c r="F58" s="65" t="s">
        <v>645</v>
      </c>
      <c r="G58" s="65" t="s">
        <v>646</v>
      </c>
      <c r="H58" s="65" t="s">
        <v>647</v>
      </c>
      <c r="I58" s="145"/>
      <c r="J58" s="66"/>
      <c r="K58" s="39"/>
      <c r="L58" s="39"/>
      <c r="M58" s="39"/>
      <c r="N58" s="39"/>
      <c r="O58" s="39"/>
      <c r="P58" s="39"/>
      <c r="Q58" s="146"/>
      <c r="R58" s="40"/>
      <c r="S58" s="40"/>
      <c r="T58" s="41"/>
      <c r="U58" s="42"/>
      <c r="V58" s="42"/>
      <c r="W58" s="43"/>
      <c r="X58" s="44"/>
      <c r="Y58" s="4"/>
      <c r="Z58" s="45"/>
      <c r="AA58" s="45"/>
      <c r="AB58" s="4"/>
    </row>
    <row r="59" spans="1:28" ht="409.5" x14ac:dyDescent="0.25">
      <c r="A59" s="85" t="s">
        <v>648</v>
      </c>
      <c r="B59" s="86" t="s">
        <v>37</v>
      </c>
      <c r="C59" s="65" t="s">
        <v>649</v>
      </c>
      <c r="D59" s="65" t="s">
        <v>650</v>
      </c>
      <c r="E59" s="65" t="s">
        <v>651</v>
      </c>
      <c r="F59" s="65" t="s">
        <v>652</v>
      </c>
      <c r="G59" s="65" t="s">
        <v>653</v>
      </c>
      <c r="H59" s="65" t="s">
        <v>654</v>
      </c>
      <c r="I59" s="66"/>
      <c r="J59" s="66"/>
      <c r="K59" s="39" t="s">
        <v>655</v>
      </c>
      <c r="L59" s="39"/>
      <c r="M59" s="39">
        <v>0</v>
      </c>
      <c r="N59" s="39" t="s">
        <v>656</v>
      </c>
      <c r="O59" s="39"/>
      <c r="P59" s="39"/>
      <c r="Q59" s="39" t="s">
        <v>657</v>
      </c>
      <c r="R59" s="40"/>
      <c r="S59" s="40"/>
      <c r="T59" s="41">
        <v>0</v>
      </c>
      <c r="U59" s="42"/>
      <c r="V59" s="42"/>
      <c r="W59" s="43"/>
      <c r="X59" s="44"/>
      <c r="Y59" s="4"/>
      <c r="Z59" s="45" t="s">
        <v>394</v>
      </c>
      <c r="AA59" s="92"/>
      <c r="AB59" s="4"/>
    </row>
    <row r="60" spans="1:28" ht="38.25" x14ac:dyDescent="0.25">
      <c r="A60" s="131" t="s">
        <v>658</v>
      </c>
      <c r="B60" s="124" t="s">
        <v>659</v>
      </c>
      <c r="C60" s="127" t="s">
        <v>660</v>
      </c>
      <c r="D60" s="127" t="s">
        <v>661</v>
      </c>
      <c r="E60" s="132" t="s">
        <v>433</v>
      </c>
      <c r="F60" s="65" t="s">
        <v>662</v>
      </c>
      <c r="G60" s="65" t="s">
        <v>663</v>
      </c>
      <c r="H60" s="65" t="s">
        <v>631</v>
      </c>
      <c r="I60" s="66"/>
      <c r="J60" s="69"/>
      <c r="K60" s="143" t="s">
        <v>664</v>
      </c>
      <c r="L60" s="69"/>
      <c r="M60" s="112">
        <v>0.5</v>
      </c>
      <c r="N60" s="112" t="s">
        <v>665</v>
      </c>
      <c r="O60" s="4"/>
      <c r="P60" s="4"/>
      <c r="Q60" s="4"/>
      <c r="R60" s="40"/>
      <c r="S60" s="40"/>
      <c r="T60" s="41">
        <v>1</v>
      </c>
      <c r="U60" s="42"/>
      <c r="V60" s="42"/>
      <c r="W60" s="43"/>
      <c r="X60" s="44"/>
      <c r="Y60" s="4"/>
      <c r="Z60" s="45"/>
      <c r="AA60" s="45"/>
      <c r="AB60" s="4"/>
    </row>
    <row r="61" spans="1:28" ht="76.5" x14ac:dyDescent="0.25">
      <c r="A61" s="131"/>
      <c r="B61" s="126"/>
      <c r="C61" s="129"/>
      <c r="D61" s="129"/>
      <c r="E61" s="134"/>
      <c r="F61" s="65" t="s">
        <v>666</v>
      </c>
      <c r="G61" s="65" t="s">
        <v>667</v>
      </c>
      <c r="H61" s="65" t="s">
        <v>668</v>
      </c>
      <c r="I61" s="66"/>
      <c r="J61" s="69"/>
      <c r="K61" s="143"/>
      <c r="L61" s="69"/>
      <c r="M61" s="112"/>
      <c r="N61" s="112"/>
      <c r="O61" s="4"/>
      <c r="P61" s="4"/>
      <c r="Q61" s="4"/>
      <c r="R61" s="40"/>
      <c r="S61" s="40"/>
      <c r="T61" s="41"/>
      <c r="U61" s="42"/>
      <c r="V61" s="42"/>
      <c r="W61" s="43"/>
      <c r="X61" s="44"/>
      <c r="Y61" s="4"/>
      <c r="Z61" s="45"/>
      <c r="AA61" s="45"/>
      <c r="AB61" s="4"/>
    </row>
    <row r="62" spans="1:28" ht="267.75" x14ac:dyDescent="0.25">
      <c r="A62" s="144" t="s">
        <v>669</v>
      </c>
      <c r="B62" s="124" t="s">
        <v>670</v>
      </c>
      <c r="C62" s="127" t="s">
        <v>671</v>
      </c>
      <c r="D62" s="127" t="s">
        <v>672</v>
      </c>
      <c r="E62" s="132" t="s">
        <v>433</v>
      </c>
      <c r="F62" s="65" t="s">
        <v>673</v>
      </c>
      <c r="G62" s="65" t="s">
        <v>674</v>
      </c>
      <c r="H62" s="65" t="s">
        <v>675</v>
      </c>
      <c r="I62" s="66"/>
      <c r="J62" s="69"/>
      <c r="K62" s="143" t="s">
        <v>676</v>
      </c>
      <c r="L62" s="69"/>
      <c r="M62" s="4"/>
      <c r="N62" s="4"/>
      <c r="O62" s="4"/>
      <c r="P62" s="4"/>
      <c r="Q62" s="4" t="s">
        <v>677</v>
      </c>
      <c r="R62" s="40"/>
      <c r="S62" s="40"/>
      <c r="T62" s="137">
        <v>1</v>
      </c>
      <c r="U62" s="42"/>
      <c r="V62" s="42"/>
      <c r="W62" s="43"/>
      <c r="X62" s="44"/>
      <c r="Y62" s="4"/>
      <c r="Z62" s="45"/>
      <c r="AA62" s="45"/>
      <c r="AB62" s="4"/>
    </row>
    <row r="63" spans="1:28" ht="229.5" x14ac:dyDescent="0.25">
      <c r="A63" s="144"/>
      <c r="B63" s="126"/>
      <c r="C63" s="129"/>
      <c r="D63" s="129"/>
      <c r="E63" s="134"/>
      <c r="F63" s="65" t="s">
        <v>678</v>
      </c>
      <c r="G63" s="65" t="s">
        <v>679</v>
      </c>
      <c r="H63" s="65" t="s">
        <v>680</v>
      </c>
      <c r="I63" s="66"/>
      <c r="J63" s="69"/>
      <c r="K63" s="143"/>
      <c r="L63" s="69"/>
      <c r="M63" s="4">
        <v>0.56999999999999995</v>
      </c>
      <c r="N63" s="4" t="s">
        <v>681</v>
      </c>
      <c r="O63" s="4"/>
      <c r="P63" s="4"/>
      <c r="Q63" s="4" t="s">
        <v>682</v>
      </c>
      <c r="R63" s="40"/>
      <c r="S63" s="40"/>
      <c r="T63" s="137"/>
      <c r="U63" s="42"/>
      <c r="V63" s="42"/>
      <c r="W63" s="43"/>
      <c r="X63" s="44"/>
      <c r="Y63" s="4"/>
      <c r="Z63" s="45"/>
      <c r="AA63" s="45"/>
      <c r="AB63" s="4"/>
    </row>
    <row r="64" spans="1:28" ht="409.5" x14ac:dyDescent="0.25">
      <c r="A64" s="85" t="s">
        <v>683</v>
      </c>
      <c r="B64" s="86" t="s">
        <v>40</v>
      </c>
      <c r="C64" s="65" t="s">
        <v>684</v>
      </c>
      <c r="D64" s="65" t="s">
        <v>685</v>
      </c>
      <c r="E64" s="65" t="s">
        <v>686</v>
      </c>
      <c r="F64" s="65" t="s">
        <v>687</v>
      </c>
      <c r="G64" s="65" t="s">
        <v>688</v>
      </c>
      <c r="H64" s="65" t="s">
        <v>689</v>
      </c>
      <c r="I64" s="66"/>
      <c r="J64" s="69"/>
      <c r="K64" s="69" t="s">
        <v>690</v>
      </c>
      <c r="L64" s="69"/>
      <c r="M64" s="4">
        <v>0.33</v>
      </c>
      <c r="N64" s="4" t="s">
        <v>691</v>
      </c>
      <c r="O64" s="4"/>
      <c r="P64" s="4"/>
      <c r="Q64" s="4"/>
      <c r="R64" s="40"/>
      <c r="S64" s="40"/>
      <c r="T64" s="41">
        <v>1</v>
      </c>
      <c r="U64" s="42"/>
      <c r="V64" s="42"/>
      <c r="W64" s="43"/>
      <c r="X64" s="44"/>
      <c r="Y64" s="4"/>
      <c r="Z64" s="48" t="s">
        <v>394</v>
      </c>
      <c r="AA64" s="57" t="s">
        <v>394</v>
      </c>
      <c r="AB64" s="4"/>
    </row>
    <row r="65" spans="1:28" ht="409.5" x14ac:dyDescent="0.25">
      <c r="A65" s="85" t="s">
        <v>692</v>
      </c>
      <c r="B65" s="87" t="s">
        <v>41</v>
      </c>
      <c r="C65" s="65" t="s">
        <v>580</v>
      </c>
      <c r="D65" s="65" t="s">
        <v>397</v>
      </c>
      <c r="E65" s="65" t="s">
        <v>693</v>
      </c>
      <c r="F65" s="65" t="s">
        <v>694</v>
      </c>
      <c r="G65" s="65" t="s">
        <v>399</v>
      </c>
      <c r="H65" s="65" t="s">
        <v>396</v>
      </c>
      <c r="I65" s="66"/>
      <c r="J65" s="69"/>
      <c r="K65" s="69" t="s">
        <v>695</v>
      </c>
      <c r="L65" s="69"/>
      <c r="M65" s="4">
        <v>1</v>
      </c>
      <c r="N65" s="4"/>
      <c r="O65" s="4"/>
      <c r="P65" s="4"/>
      <c r="Q65" s="4" t="s">
        <v>394</v>
      </c>
      <c r="R65" s="40"/>
      <c r="S65" s="40"/>
      <c r="T65" s="41">
        <v>0</v>
      </c>
      <c r="U65" s="42"/>
      <c r="V65" s="42"/>
      <c r="W65" s="43"/>
      <c r="X65" s="44"/>
      <c r="Y65" s="4"/>
      <c r="Z65" s="45" t="s">
        <v>246</v>
      </c>
      <c r="AA65" s="45" t="s">
        <v>246</v>
      </c>
      <c r="AB65" s="4" t="s">
        <v>696</v>
      </c>
    </row>
    <row r="66" spans="1:28" ht="267.75" x14ac:dyDescent="0.25">
      <c r="A66" s="131" t="s">
        <v>697</v>
      </c>
      <c r="B66" s="124" t="s">
        <v>698</v>
      </c>
      <c r="C66" s="127" t="s">
        <v>699</v>
      </c>
      <c r="D66" s="127" t="s">
        <v>700</v>
      </c>
      <c r="E66" s="132" t="s">
        <v>701</v>
      </c>
      <c r="F66" s="65" t="s">
        <v>702</v>
      </c>
      <c r="G66" s="65" t="s">
        <v>703</v>
      </c>
      <c r="H66" s="65" t="s">
        <v>704</v>
      </c>
      <c r="I66" s="66"/>
      <c r="J66" s="69"/>
      <c r="K66" s="143" t="s">
        <v>705</v>
      </c>
      <c r="L66" s="69"/>
      <c r="M66" s="112">
        <v>8.5999999999999993E-2</v>
      </c>
      <c r="N66" s="112" t="s">
        <v>706</v>
      </c>
      <c r="O66" s="4"/>
      <c r="P66" s="4"/>
      <c r="Q66" s="4" t="s">
        <v>707</v>
      </c>
      <c r="R66" s="40"/>
      <c r="S66" s="40"/>
      <c r="T66" s="137">
        <v>1</v>
      </c>
      <c r="U66" s="42"/>
      <c r="V66" s="42"/>
      <c r="W66" s="43"/>
      <c r="X66" s="44"/>
      <c r="Y66" s="4"/>
      <c r="Z66" s="45"/>
      <c r="AA66" s="45"/>
      <c r="AB66" s="4"/>
    </row>
    <row r="67" spans="1:28" ht="267.75" x14ac:dyDescent="0.25">
      <c r="A67" s="131"/>
      <c r="B67" s="126"/>
      <c r="C67" s="129"/>
      <c r="D67" s="129"/>
      <c r="E67" s="134"/>
      <c r="F67" s="65" t="s">
        <v>708</v>
      </c>
      <c r="G67" s="65" t="s">
        <v>709</v>
      </c>
      <c r="H67" s="65" t="s">
        <v>710</v>
      </c>
      <c r="I67" s="66"/>
      <c r="J67" s="69"/>
      <c r="K67" s="143"/>
      <c r="L67" s="69"/>
      <c r="M67" s="112"/>
      <c r="N67" s="112"/>
      <c r="O67" s="4"/>
      <c r="P67" s="4"/>
      <c r="Q67" s="4"/>
      <c r="R67" s="40"/>
      <c r="S67" s="40"/>
      <c r="T67" s="137"/>
      <c r="U67" s="42"/>
      <c r="V67" s="42"/>
      <c r="W67" s="43"/>
      <c r="X67" s="44"/>
      <c r="Y67" s="4"/>
      <c r="Z67" s="45"/>
      <c r="AA67" s="45"/>
      <c r="AB67" s="4"/>
    </row>
    <row r="68" spans="1:28" ht="293.25" x14ac:dyDescent="0.25">
      <c r="A68" s="85" t="s">
        <v>711</v>
      </c>
      <c r="B68" s="86" t="s">
        <v>42</v>
      </c>
      <c r="C68" s="65" t="s">
        <v>712</v>
      </c>
      <c r="D68" s="65" t="s">
        <v>713</v>
      </c>
      <c r="E68" s="65"/>
      <c r="F68" s="65" t="s">
        <v>714</v>
      </c>
      <c r="G68" s="65" t="s">
        <v>715</v>
      </c>
      <c r="H68" s="65" t="s">
        <v>716</v>
      </c>
      <c r="I68" s="66"/>
      <c r="J68" s="69"/>
      <c r="K68" s="69"/>
      <c r="L68" s="69"/>
      <c r="M68" s="4"/>
      <c r="N68" s="4"/>
      <c r="O68" s="4"/>
      <c r="P68" s="4"/>
      <c r="Q68" s="4"/>
      <c r="R68" s="40"/>
      <c r="S68" s="40"/>
      <c r="T68" s="41">
        <v>0</v>
      </c>
      <c r="U68" s="42"/>
      <c r="V68" s="42"/>
      <c r="W68" s="43"/>
      <c r="X68" s="44"/>
      <c r="Y68" s="4"/>
      <c r="Z68" s="92"/>
      <c r="AA68" s="92"/>
      <c r="AB68" s="4"/>
    </row>
    <row r="69" spans="1:28" ht="240" x14ac:dyDescent="0.25">
      <c r="A69" s="85" t="s">
        <v>717</v>
      </c>
      <c r="B69" s="88" t="s">
        <v>43</v>
      </c>
      <c r="C69" s="65" t="s">
        <v>718</v>
      </c>
      <c r="D69" s="65" t="s">
        <v>719</v>
      </c>
      <c r="E69" s="65"/>
      <c r="F69" s="65" t="s">
        <v>720</v>
      </c>
      <c r="G69" s="65" t="s">
        <v>554</v>
      </c>
      <c r="H69" s="65" t="s">
        <v>555</v>
      </c>
      <c r="I69" s="66"/>
      <c r="J69" s="69"/>
      <c r="K69" s="69"/>
      <c r="L69" s="69"/>
      <c r="M69" s="4"/>
      <c r="N69" s="4"/>
      <c r="O69" s="4"/>
      <c r="P69" s="4"/>
      <c r="Q69" s="4"/>
      <c r="R69" s="40"/>
      <c r="S69" s="40"/>
      <c r="T69" s="41" t="s">
        <v>306</v>
      </c>
      <c r="U69" s="42"/>
      <c r="V69" s="42" t="s">
        <v>721</v>
      </c>
      <c r="W69" s="43"/>
      <c r="X69" s="44"/>
      <c r="Y69" s="4"/>
      <c r="Z69" s="92"/>
      <c r="AA69" s="92" t="s">
        <v>523</v>
      </c>
      <c r="AB69" s="4"/>
    </row>
    <row r="70" spans="1:28" ht="150" x14ac:dyDescent="0.25">
      <c r="A70" s="85" t="s">
        <v>722</v>
      </c>
      <c r="B70" s="86" t="s">
        <v>44</v>
      </c>
      <c r="C70" s="65" t="s">
        <v>723</v>
      </c>
      <c r="D70" s="65" t="s">
        <v>724</v>
      </c>
      <c r="E70" s="65"/>
      <c r="F70" s="65" t="s">
        <v>725</v>
      </c>
      <c r="G70" s="65" t="s">
        <v>726</v>
      </c>
      <c r="H70" s="65" t="s">
        <v>727</v>
      </c>
      <c r="I70" s="66"/>
      <c r="J70" s="69"/>
      <c r="K70" s="69"/>
      <c r="L70" s="69"/>
      <c r="M70" s="4"/>
      <c r="N70" s="4"/>
      <c r="O70" s="4"/>
      <c r="P70" s="4"/>
      <c r="Q70" s="4"/>
      <c r="R70" s="40"/>
      <c r="S70" s="40"/>
      <c r="T70" s="41" t="s">
        <v>306</v>
      </c>
      <c r="U70" s="42"/>
      <c r="V70" s="42" t="s">
        <v>728</v>
      </c>
      <c r="W70" s="43"/>
      <c r="X70" s="44"/>
      <c r="Y70" s="4"/>
      <c r="Z70" s="92"/>
      <c r="AA70" s="92" t="s">
        <v>523</v>
      </c>
      <c r="AB70" s="4"/>
    </row>
    <row r="71" spans="1:28" ht="25.5" x14ac:dyDescent="0.25">
      <c r="A71" s="131" t="s">
        <v>729</v>
      </c>
      <c r="B71" s="124" t="s">
        <v>730</v>
      </c>
      <c r="C71" s="127" t="s">
        <v>731</v>
      </c>
      <c r="D71" s="127" t="s">
        <v>732</v>
      </c>
      <c r="E71" s="132" t="s">
        <v>733</v>
      </c>
      <c r="F71" s="65" t="s">
        <v>734</v>
      </c>
      <c r="G71" s="65" t="s">
        <v>735</v>
      </c>
      <c r="H71" s="65" t="s">
        <v>736</v>
      </c>
      <c r="I71" s="66"/>
      <c r="J71" s="69"/>
      <c r="K71" s="69"/>
      <c r="L71" s="69"/>
      <c r="M71" s="4">
        <v>0</v>
      </c>
      <c r="N71" s="4"/>
      <c r="O71" s="4"/>
      <c r="P71" s="4"/>
      <c r="Q71" s="4"/>
      <c r="R71" s="40"/>
      <c r="S71" s="40"/>
      <c r="T71" s="41">
        <v>1</v>
      </c>
      <c r="U71" s="42"/>
      <c r="V71" s="42"/>
      <c r="W71" s="43"/>
      <c r="X71" s="44"/>
      <c r="Y71" s="4"/>
      <c r="Z71" s="45"/>
      <c r="AA71" s="45"/>
      <c r="AB71" s="4"/>
    </row>
    <row r="72" spans="1:28" ht="25.5" x14ac:dyDescent="0.25">
      <c r="A72" s="131"/>
      <c r="B72" s="126"/>
      <c r="C72" s="129"/>
      <c r="D72" s="129"/>
      <c r="E72" s="134"/>
      <c r="F72" s="65" t="s">
        <v>737</v>
      </c>
      <c r="G72" s="65" t="s">
        <v>738</v>
      </c>
      <c r="H72" s="65" t="s">
        <v>739</v>
      </c>
      <c r="I72" s="66"/>
      <c r="J72" s="69"/>
      <c r="K72" s="69"/>
      <c r="L72" s="69"/>
      <c r="M72" s="4"/>
      <c r="N72" s="4"/>
      <c r="O72" s="4"/>
      <c r="P72" s="4"/>
      <c r="Q72" s="4"/>
      <c r="R72" s="40"/>
      <c r="S72" s="40"/>
      <c r="T72" s="41"/>
      <c r="U72" s="42"/>
      <c r="V72" s="42"/>
      <c r="W72" s="43"/>
      <c r="X72" s="44"/>
      <c r="Y72" s="4"/>
      <c r="Z72" s="45"/>
      <c r="AA72" s="45"/>
      <c r="AB72" s="4"/>
    </row>
    <row r="73" spans="1:28" ht="210" x14ac:dyDescent="0.25">
      <c r="A73" s="85" t="s">
        <v>740</v>
      </c>
      <c r="B73" s="86" t="s">
        <v>25</v>
      </c>
      <c r="C73" s="65" t="s">
        <v>741</v>
      </c>
      <c r="D73" s="65" t="s">
        <v>742</v>
      </c>
      <c r="E73" s="65"/>
      <c r="F73" s="65" t="s">
        <v>743</v>
      </c>
      <c r="G73" s="65" t="s">
        <v>744</v>
      </c>
      <c r="H73" s="65" t="s">
        <v>745</v>
      </c>
      <c r="I73" s="66"/>
      <c r="J73" s="69"/>
      <c r="K73" s="69"/>
      <c r="L73" s="69"/>
      <c r="M73" s="4"/>
      <c r="N73" s="4"/>
      <c r="O73" s="4"/>
      <c r="P73" s="4"/>
      <c r="Q73" s="4"/>
      <c r="R73" s="4"/>
      <c r="S73" s="4"/>
      <c r="T73" s="41" t="s">
        <v>293</v>
      </c>
      <c r="U73" s="42"/>
      <c r="V73" s="42" t="s">
        <v>746</v>
      </c>
      <c r="W73" s="43"/>
      <c r="X73" s="44"/>
      <c r="Y73" s="4"/>
      <c r="Z73" s="45"/>
      <c r="AA73" s="45" t="s">
        <v>523</v>
      </c>
      <c r="AB73" s="4"/>
    </row>
    <row r="74" spans="1:28" ht="140.25" x14ac:dyDescent="0.25">
      <c r="A74" s="85" t="s">
        <v>747</v>
      </c>
      <c r="B74" s="86" t="s">
        <v>36</v>
      </c>
      <c r="C74" s="65" t="s">
        <v>748</v>
      </c>
      <c r="D74" s="65" t="s">
        <v>561</v>
      </c>
      <c r="E74" s="65"/>
      <c r="F74" s="65" t="s">
        <v>749</v>
      </c>
      <c r="G74" s="65" t="s">
        <v>564</v>
      </c>
      <c r="H74" s="65" t="s">
        <v>565</v>
      </c>
      <c r="I74" s="66"/>
      <c r="J74" s="69"/>
      <c r="K74" s="69"/>
      <c r="L74" s="69"/>
      <c r="M74" s="4"/>
      <c r="N74" s="4"/>
      <c r="O74" s="4"/>
      <c r="P74" s="4"/>
      <c r="Q74" s="4"/>
      <c r="R74" s="4"/>
      <c r="S74" s="4"/>
      <c r="T74" s="41">
        <v>0</v>
      </c>
      <c r="U74" s="42"/>
      <c r="V74" s="42"/>
      <c r="W74" s="43"/>
      <c r="X74" s="44"/>
      <c r="Y74" s="4"/>
      <c r="Z74" s="45" t="s">
        <v>246</v>
      </c>
      <c r="AA74" s="45" t="s">
        <v>246</v>
      </c>
      <c r="AB74" s="4"/>
    </row>
    <row r="75" spans="1:28" ht="114.75" x14ac:dyDescent="0.25">
      <c r="A75" s="85" t="s">
        <v>750</v>
      </c>
      <c r="B75" s="86" t="s">
        <v>45</v>
      </c>
      <c r="C75" s="65" t="s">
        <v>599</v>
      </c>
      <c r="D75" s="65" t="s">
        <v>600</v>
      </c>
      <c r="E75" s="65"/>
      <c r="F75" s="65" t="s">
        <v>751</v>
      </c>
      <c r="G75" s="65" t="s">
        <v>603</v>
      </c>
      <c r="H75" s="65" t="s">
        <v>604</v>
      </c>
      <c r="I75" s="66"/>
      <c r="J75" s="69"/>
      <c r="K75" s="69"/>
      <c r="L75" s="69"/>
      <c r="M75" s="4"/>
      <c r="N75" s="4"/>
      <c r="O75" s="4"/>
      <c r="P75" s="4"/>
      <c r="Q75" s="4"/>
      <c r="R75" s="4"/>
      <c r="S75" s="4"/>
      <c r="T75" s="41">
        <v>0</v>
      </c>
      <c r="U75" s="42"/>
      <c r="V75" s="42"/>
      <c r="W75" s="43"/>
      <c r="X75" s="44"/>
      <c r="Y75" s="4"/>
      <c r="Z75" s="45" t="s">
        <v>246</v>
      </c>
      <c r="AA75" s="45" t="s">
        <v>246</v>
      </c>
      <c r="AB75" s="4"/>
    </row>
    <row r="76" spans="1:28" ht="242.25" x14ac:dyDescent="0.25">
      <c r="A76" s="85" t="s">
        <v>752</v>
      </c>
      <c r="B76" s="86" t="s">
        <v>59</v>
      </c>
      <c r="C76" s="65" t="s">
        <v>753</v>
      </c>
      <c r="D76" s="65" t="s">
        <v>754</v>
      </c>
      <c r="E76" s="65"/>
      <c r="F76" s="65" t="s">
        <v>755</v>
      </c>
      <c r="G76" s="65" t="s">
        <v>754</v>
      </c>
      <c r="H76" s="65" t="s">
        <v>753</v>
      </c>
      <c r="I76" s="66"/>
      <c r="J76" s="69"/>
      <c r="K76" s="69"/>
      <c r="L76" s="69"/>
      <c r="M76" s="4"/>
      <c r="N76" s="4"/>
      <c r="O76" s="4"/>
      <c r="P76" s="4"/>
      <c r="Q76" s="4"/>
      <c r="R76" s="4"/>
      <c r="S76" s="4"/>
      <c r="T76" s="41">
        <v>0</v>
      </c>
      <c r="U76" s="42"/>
      <c r="V76" s="42"/>
      <c r="W76" s="43"/>
      <c r="X76" s="44"/>
      <c r="Y76" s="4"/>
      <c r="Z76" s="45" t="s">
        <v>756</v>
      </c>
      <c r="AA76" s="45" t="s">
        <v>246</v>
      </c>
      <c r="AB76" s="4" t="s">
        <v>757</v>
      </c>
    </row>
    <row r="77" spans="1:28" ht="63.75" x14ac:dyDescent="0.25">
      <c r="A77" s="131" t="s">
        <v>758</v>
      </c>
      <c r="B77" s="141" t="s">
        <v>759</v>
      </c>
      <c r="C77" s="127" t="s">
        <v>760</v>
      </c>
      <c r="D77" s="127" t="s">
        <v>761</v>
      </c>
      <c r="E77" s="132"/>
      <c r="F77" s="65" t="s">
        <v>762</v>
      </c>
      <c r="G77" s="65" t="s">
        <v>763</v>
      </c>
      <c r="H77" s="65" t="s">
        <v>764</v>
      </c>
      <c r="I77" s="66"/>
      <c r="J77" s="69"/>
      <c r="K77" s="69"/>
      <c r="L77" s="69"/>
      <c r="M77" s="4"/>
      <c r="N77" s="4"/>
      <c r="O77" s="4"/>
      <c r="P77" s="4"/>
      <c r="Q77" s="4"/>
      <c r="R77" s="4"/>
      <c r="S77" s="4"/>
      <c r="T77" s="41"/>
      <c r="U77" s="42"/>
      <c r="V77" s="42"/>
      <c r="W77" s="43"/>
      <c r="X77" s="44"/>
      <c r="Y77" s="4"/>
      <c r="Z77" s="45"/>
      <c r="AA77" s="45"/>
      <c r="AB77" s="4"/>
    </row>
    <row r="78" spans="1:28" ht="51" x14ac:dyDescent="0.25">
      <c r="A78" s="131"/>
      <c r="B78" s="142"/>
      <c r="C78" s="129"/>
      <c r="D78" s="129"/>
      <c r="E78" s="134"/>
      <c r="F78" s="65" t="s">
        <v>765</v>
      </c>
      <c r="G78" s="65" t="s">
        <v>766</v>
      </c>
      <c r="H78" s="65" t="s">
        <v>767</v>
      </c>
      <c r="I78" s="66"/>
      <c r="J78" s="69"/>
      <c r="K78" s="69"/>
      <c r="L78" s="69"/>
      <c r="M78" s="4"/>
      <c r="N78" s="4"/>
      <c r="O78" s="4"/>
      <c r="P78" s="4"/>
      <c r="Q78" s="4"/>
      <c r="R78" s="4"/>
      <c r="S78" s="4"/>
      <c r="T78" s="41"/>
      <c r="U78" s="42"/>
      <c r="V78" s="42"/>
      <c r="W78" s="43"/>
      <c r="X78" s="44"/>
      <c r="Y78" s="4"/>
      <c r="Z78" s="45"/>
      <c r="AA78" s="45"/>
      <c r="AB78" s="4"/>
    </row>
    <row r="79" spans="1:28" ht="76.5" x14ac:dyDescent="0.25">
      <c r="A79" s="131" t="s">
        <v>768</v>
      </c>
      <c r="B79" s="124" t="s">
        <v>769</v>
      </c>
      <c r="C79" s="127" t="s">
        <v>770</v>
      </c>
      <c r="D79" s="127" t="s">
        <v>771</v>
      </c>
      <c r="E79" s="67"/>
      <c r="F79" s="65" t="s">
        <v>743</v>
      </c>
      <c r="G79" s="65" t="s">
        <v>772</v>
      </c>
      <c r="H79" s="65" t="s">
        <v>668</v>
      </c>
      <c r="I79" s="66"/>
      <c r="J79" s="69"/>
      <c r="K79" s="69"/>
      <c r="L79" s="69"/>
      <c r="M79" s="4"/>
      <c r="N79" s="4"/>
      <c r="O79" s="4"/>
      <c r="P79" s="4"/>
      <c r="Q79" s="4"/>
      <c r="R79" s="4"/>
      <c r="S79" s="4"/>
      <c r="T79" s="137">
        <v>0</v>
      </c>
      <c r="U79" s="42"/>
      <c r="V79" s="42"/>
      <c r="W79" s="43"/>
      <c r="X79" s="44"/>
      <c r="Y79" s="4"/>
      <c r="Z79" s="45"/>
      <c r="AA79" s="45"/>
      <c r="AB79" s="4"/>
    </row>
    <row r="80" spans="1:28" ht="38.25" x14ac:dyDescent="0.25">
      <c r="A80" s="131"/>
      <c r="B80" s="126"/>
      <c r="C80" s="129"/>
      <c r="D80" s="129"/>
      <c r="E80" s="68"/>
      <c r="F80" s="65" t="s">
        <v>773</v>
      </c>
      <c r="G80" s="65" t="s">
        <v>630</v>
      </c>
      <c r="H80" s="65" t="s">
        <v>631</v>
      </c>
      <c r="I80" s="66"/>
      <c r="J80" s="69"/>
      <c r="K80" s="69"/>
      <c r="L80" s="69"/>
      <c r="M80" s="4"/>
      <c r="N80" s="4"/>
      <c r="O80" s="4"/>
      <c r="P80" s="4"/>
      <c r="Q80" s="4"/>
      <c r="R80" s="4"/>
      <c r="S80" s="4"/>
      <c r="T80" s="137"/>
      <c r="U80" s="42"/>
      <c r="V80" s="42"/>
      <c r="W80" s="43"/>
      <c r="X80" s="44"/>
      <c r="Y80" s="4"/>
      <c r="Z80" s="45"/>
      <c r="AA80" s="45"/>
      <c r="AB80" s="4"/>
    </row>
    <row r="81" spans="1:28" ht="76.5" x14ac:dyDescent="0.25">
      <c r="A81" s="131" t="s">
        <v>774</v>
      </c>
      <c r="B81" s="124" t="s">
        <v>775</v>
      </c>
      <c r="C81" s="127" t="s">
        <v>776</v>
      </c>
      <c r="D81" s="127" t="s">
        <v>777</v>
      </c>
      <c r="E81" s="67"/>
      <c r="F81" s="65" t="s">
        <v>749</v>
      </c>
      <c r="G81" s="65" t="s">
        <v>772</v>
      </c>
      <c r="H81" s="65" t="s">
        <v>668</v>
      </c>
      <c r="I81" s="66"/>
      <c r="J81" s="69"/>
      <c r="K81" s="69"/>
      <c r="L81" s="69"/>
      <c r="M81" s="4"/>
      <c r="N81" s="4"/>
      <c r="O81" s="4"/>
      <c r="P81" s="4"/>
      <c r="Q81" s="4"/>
      <c r="R81" s="4"/>
      <c r="S81" s="4"/>
      <c r="T81" s="137">
        <v>0</v>
      </c>
      <c r="U81" s="42"/>
      <c r="V81" s="42"/>
      <c r="W81" s="43"/>
      <c r="X81" s="44"/>
      <c r="Y81" s="4"/>
      <c r="Z81" s="45"/>
      <c r="AA81" s="45"/>
      <c r="AB81" s="4"/>
    </row>
    <row r="82" spans="1:28" ht="38.25" x14ac:dyDescent="0.25">
      <c r="A82" s="131"/>
      <c r="B82" s="126"/>
      <c r="C82" s="129"/>
      <c r="D82" s="129"/>
      <c r="E82" s="68"/>
      <c r="F82" s="65" t="s">
        <v>778</v>
      </c>
      <c r="G82" s="65" t="s">
        <v>630</v>
      </c>
      <c r="H82" s="65" t="s">
        <v>631</v>
      </c>
      <c r="I82" s="66"/>
      <c r="J82" s="69"/>
      <c r="K82" s="69"/>
      <c r="L82" s="69"/>
      <c r="M82" s="4"/>
      <c r="N82" s="4"/>
      <c r="O82" s="4"/>
      <c r="P82" s="4"/>
      <c r="Q82" s="4"/>
      <c r="R82" s="4"/>
      <c r="S82" s="4"/>
      <c r="T82" s="137"/>
      <c r="U82" s="42"/>
      <c r="V82" s="42"/>
      <c r="W82" s="43"/>
      <c r="X82" s="44"/>
      <c r="Y82" s="4"/>
      <c r="Z82" s="45"/>
      <c r="AA82" s="45"/>
      <c r="AB82" s="4"/>
    </row>
    <row r="83" spans="1:28" ht="306" x14ac:dyDescent="0.25">
      <c r="A83" s="85" t="s">
        <v>779</v>
      </c>
      <c r="B83" s="86" t="s">
        <v>780</v>
      </c>
      <c r="C83" s="65" t="s">
        <v>781</v>
      </c>
      <c r="D83" s="65" t="s">
        <v>782</v>
      </c>
      <c r="E83" s="65"/>
      <c r="F83" s="65" t="s">
        <v>751</v>
      </c>
      <c r="G83" s="65" t="s">
        <v>782</v>
      </c>
      <c r="H83" s="65" t="s">
        <v>781</v>
      </c>
      <c r="I83" s="66"/>
      <c r="J83" s="69"/>
      <c r="K83" s="69"/>
      <c r="L83" s="69"/>
      <c r="M83" s="4"/>
      <c r="N83" s="4"/>
      <c r="O83" s="4"/>
      <c r="P83" s="4"/>
      <c r="Q83" s="4"/>
      <c r="R83" s="4"/>
      <c r="S83" s="4"/>
      <c r="T83" s="41">
        <v>0</v>
      </c>
      <c r="U83" s="42"/>
      <c r="V83" s="42"/>
      <c r="W83" s="43"/>
      <c r="X83" s="44"/>
      <c r="Y83" s="4"/>
      <c r="Z83" s="45"/>
      <c r="AA83" s="45"/>
      <c r="AB83" s="4"/>
    </row>
    <row r="84" spans="1:28" ht="38.25" x14ac:dyDescent="0.25">
      <c r="A84" s="131" t="s">
        <v>783</v>
      </c>
      <c r="B84" s="124" t="s">
        <v>784</v>
      </c>
      <c r="C84" s="127" t="s">
        <v>776</v>
      </c>
      <c r="D84" s="127" t="s">
        <v>777</v>
      </c>
      <c r="E84" s="132"/>
      <c r="F84" s="65" t="s">
        <v>755</v>
      </c>
      <c r="G84" s="65" t="s">
        <v>630</v>
      </c>
      <c r="H84" s="65" t="s">
        <v>631</v>
      </c>
      <c r="I84" s="66"/>
      <c r="J84" s="69"/>
      <c r="K84" s="69"/>
      <c r="L84" s="69"/>
      <c r="M84" s="4"/>
      <c r="N84" s="4"/>
      <c r="O84" s="4"/>
      <c r="P84" s="4"/>
      <c r="Q84" s="4"/>
      <c r="R84" s="4"/>
      <c r="S84" s="4"/>
      <c r="T84" s="137">
        <v>0</v>
      </c>
      <c r="U84" s="42"/>
      <c r="V84" s="42"/>
      <c r="W84" s="43"/>
      <c r="X84" s="44"/>
      <c r="Y84" s="4"/>
      <c r="Z84" s="45"/>
      <c r="AA84" s="45"/>
      <c r="AB84" s="4"/>
    </row>
    <row r="85" spans="1:28" ht="76.5" x14ac:dyDescent="0.25">
      <c r="A85" s="131"/>
      <c r="B85" s="126"/>
      <c r="C85" s="129"/>
      <c r="D85" s="129"/>
      <c r="E85" s="134"/>
      <c r="F85" s="65" t="s">
        <v>785</v>
      </c>
      <c r="G85" s="65" t="s">
        <v>772</v>
      </c>
      <c r="H85" s="65" t="s">
        <v>668</v>
      </c>
      <c r="I85" s="66"/>
      <c r="J85" s="69"/>
      <c r="K85" s="69"/>
      <c r="L85" s="69"/>
      <c r="M85" s="4"/>
      <c r="N85" s="4"/>
      <c r="O85" s="4"/>
      <c r="P85" s="4"/>
      <c r="Q85" s="4"/>
      <c r="R85" s="4"/>
      <c r="S85" s="4"/>
      <c r="T85" s="137"/>
      <c r="U85" s="42"/>
      <c r="V85" s="42"/>
      <c r="W85" s="43"/>
      <c r="X85" s="44"/>
      <c r="Y85" s="4"/>
      <c r="Z85" s="45"/>
      <c r="AA85" s="45"/>
      <c r="AB85" s="4"/>
    </row>
    <row r="86" spans="1:28" ht="63.75" x14ac:dyDescent="0.25">
      <c r="A86" s="131" t="s">
        <v>786</v>
      </c>
      <c r="B86" s="135" t="s">
        <v>787</v>
      </c>
      <c r="C86" s="132" t="s">
        <v>788</v>
      </c>
      <c r="D86" s="132" t="s">
        <v>789</v>
      </c>
      <c r="E86" s="132"/>
      <c r="F86" s="65" t="s">
        <v>408</v>
      </c>
      <c r="G86" s="65" t="s">
        <v>790</v>
      </c>
      <c r="H86" s="65" t="s">
        <v>791</v>
      </c>
      <c r="I86" s="66"/>
      <c r="J86" s="69"/>
      <c r="K86" s="69"/>
      <c r="L86" s="69"/>
      <c r="M86" s="4"/>
      <c r="N86" s="4"/>
      <c r="O86" s="4"/>
      <c r="P86" s="4"/>
      <c r="Q86" s="4"/>
      <c r="R86" s="4"/>
      <c r="S86" s="4"/>
      <c r="T86" s="137">
        <v>0</v>
      </c>
      <c r="U86" s="42"/>
      <c r="V86" s="42"/>
      <c r="W86" s="43"/>
      <c r="X86" s="140"/>
      <c r="Y86" s="4"/>
      <c r="Z86" s="45"/>
      <c r="AA86" s="45"/>
      <c r="AB86" s="4"/>
    </row>
    <row r="87" spans="1:28" ht="51" x14ac:dyDescent="0.25">
      <c r="A87" s="131"/>
      <c r="B87" s="139"/>
      <c r="C87" s="133"/>
      <c r="D87" s="133"/>
      <c r="E87" s="133"/>
      <c r="F87" s="65" t="s">
        <v>410</v>
      </c>
      <c r="G87" s="65" t="s">
        <v>792</v>
      </c>
      <c r="H87" s="65" t="s">
        <v>793</v>
      </c>
      <c r="I87" s="66"/>
      <c r="J87" s="69"/>
      <c r="K87" s="69"/>
      <c r="L87" s="69"/>
      <c r="M87" s="4"/>
      <c r="N87" s="4"/>
      <c r="O87" s="4"/>
      <c r="P87" s="4"/>
      <c r="Q87" s="4"/>
      <c r="R87" s="4"/>
      <c r="S87" s="4"/>
      <c r="T87" s="137"/>
      <c r="U87" s="42"/>
      <c r="V87" s="42"/>
      <c r="W87" s="43"/>
      <c r="X87" s="140"/>
      <c r="Y87" s="4"/>
      <c r="Z87" s="45"/>
      <c r="AA87" s="45"/>
      <c r="AB87" s="4"/>
    </row>
    <row r="88" spans="1:28" ht="76.5" x14ac:dyDescent="0.25">
      <c r="A88" s="131"/>
      <c r="B88" s="136"/>
      <c r="C88" s="134"/>
      <c r="D88" s="134"/>
      <c r="E88" s="134"/>
      <c r="F88" s="65" t="s">
        <v>794</v>
      </c>
      <c r="G88" s="65" t="s">
        <v>795</v>
      </c>
      <c r="H88" s="65" t="s">
        <v>796</v>
      </c>
      <c r="I88" s="66"/>
      <c r="J88" s="69"/>
      <c r="K88" s="69"/>
      <c r="L88" s="69"/>
      <c r="M88" s="4"/>
      <c r="N88" s="4"/>
      <c r="O88" s="4"/>
      <c r="P88" s="4"/>
      <c r="Q88" s="4"/>
      <c r="R88" s="4"/>
      <c r="S88" s="4"/>
      <c r="T88" s="137"/>
      <c r="U88" s="42"/>
      <c r="V88" s="42"/>
      <c r="W88" s="43"/>
      <c r="X88" s="140"/>
      <c r="Y88" s="4"/>
      <c r="Z88" s="45"/>
      <c r="AA88" s="45"/>
      <c r="AB88" s="4"/>
    </row>
    <row r="89" spans="1:28" ht="63.75" x14ac:dyDescent="0.25">
      <c r="A89" s="131" t="s">
        <v>797</v>
      </c>
      <c r="B89" s="135" t="s">
        <v>798</v>
      </c>
      <c r="C89" s="132" t="s">
        <v>799</v>
      </c>
      <c r="D89" s="132" t="s">
        <v>800</v>
      </c>
      <c r="E89" s="132"/>
      <c r="F89" s="65" t="s">
        <v>553</v>
      </c>
      <c r="G89" s="65" t="s">
        <v>257</v>
      </c>
      <c r="H89" s="65" t="s">
        <v>258</v>
      </c>
      <c r="I89" s="66"/>
      <c r="J89" s="69"/>
      <c r="K89" s="69"/>
      <c r="L89" s="69"/>
      <c r="M89" s="4"/>
      <c r="N89" s="4"/>
      <c r="O89" s="4"/>
      <c r="P89" s="4"/>
      <c r="Q89" s="4"/>
      <c r="R89" s="4"/>
      <c r="S89" s="4"/>
      <c r="T89" s="137">
        <v>0</v>
      </c>
      <c r="U89" s="42"/>
      <c r="V89" s="42"/>
      <c r="W89" s="43"/>
      <c r="X89" s="44"/>
      <c r="Y89" s="4"/>
      <c r="Z89" s="45"/>
      <c r="AA89" s="45"/>
      <c r="AB89" s="4"/>
    </row>
    <row r="90" spans="1:28" ht="127.5" x14ac:dyDescent="0.25">
      <c r="A90" s="131"/>
      <c r="B90" s="136"/>
      <c r="C90" s="134"/>
      <c r="D90" s="134"/>
      <c r="E90" s="134"/>
      <c r="F90" s="65" t="s">
        <v>801</v>
      </c>
      <c r="G90" s="65" t="s">
        <v>253</v>
      </c>
      <c r="H90" s="65" t="s">
        <v>254</v>
      </c>
      <c r="I90" s="66"/>
      <c r="J90" s="69"/>
      <c r="K90" s="69"/>
      <c r="L90" s="69"/>
      <c r="M90" s="4"/>
      <c r="N90" s="4"/>
      <c r="O90" s="4"/>
      <c r="P90" s="4"/>
      <c r="Q90" s="4"/>
      <c r="R90" s="4"/>
      <c r="S90" s="4"/>
      <c r="T90" s="137"/>
      <c r="U90" s="42"/>
      <c r="V90" s="42"/>
      <c r="W90" s="43"/>
      <c r="X90" s="44"/>
      <c r="Y90" s="4"/>
      <c r="Z90" s="45"/>
      <c r="AA90" s="45"/>
      <c r="AB90" s="4"/>
    </row>
    <row r="91" spans="1:28" ht="25.5" x14ac:dyDescent="0.25">
      <c r="A91" s="131" t="s">
        <v>802</v>
      </c>
      <c r="B91" s="135" t="s">
        <v>803</v>
      </c>
      <c r="C91" s="132" t="s">
        <v>804</v>
      </c>
      <c r="D91" s="132" t="s">
        <v>805</v>
      </c>
      <c r="E91" s="132"/>
      <c r="F91" s="65" t="s">
        <v>806</v>
      </c>
      <c r="G91" s="65" t="s">
        <v>807</v>
      </c>
      <c r="H91" s="65" t="s">
        <v>808</v>
      </c>
      <c r="I91" s="66"/>
      <c r="J91" s="69"/>
      <c r="K91" s="69"/>
      <c r="L91" s="69"/>
      <c r="M91" s="4"/>
      <c r="N91" s="4"/>
      <c r="O91" s="4"/>
      <c r="P91" s="4"/>
      <c r="Q91" s="4"/>
      <c r="R91" s="4"/>
      <c r="S91" s="4"/>
      <c r="T91" s="137">
        <v>0.09</v>
      </c>
      <c r="U91" s="138" t="s">
        <v>809</v>
      </c>
      <c r="V91" s="42"/>
      <c r="W91" s="43"/>
      <c r="X91" s="44"/>
      <c r="Y91" s="4"/>
      <c r="Z91" s="45"/>
      <c r="AA91" s="45"/>
      <c r="AB91" s="4"/>
    </row>
    <row r="92" spans="1:28" ht="89.25" x14ac:dyDescent="0.25">
      <c r="A92" s="131"/>
      <c r="B92" s="136"/>
      <c r="C92" s="134"/>
      <c r="D92" s="134"/>
      <c r="E92" s="134"/>
      <c r="F92" s="65" t="s">
        <v>810</v>
      </c>
      <c r="G92" s="65" t="s">
        <v>811</v>
      </c>
      <c r="H92" s="65" t="s">
        <v>812</v>
      </c>
      <c r="I92" s="66"/>
      <c r="J92" s="69"/>
      <c r="K92" s="69"/>
      <c r="L92" s="69"/>
      <c r="M92" s="4"/>
      <c r="N92" s="4"/>
      <c r="O92" s="4"/>
      <c r="P92" s="4"/>
      <c r="Q92" s="4"/>
      <c r="R92" s="4"/>
      <c r="S92" s="4"/>
      <c r="T92" s="137"/>
      <c r="U92" s="138"/>
      <c r="V92" s="42"/>
      <c r="W92" s="43"/>
      <c r="X92" s="44"/>
      <c r="Y92" s="4"/>
      <c r="Z92" s="45"/>
      <c r="AA92" s="45"/>
      <c r="AB92" s="4"/>
    </row>
    <row r="93" spans="1:28" ht="51" x14ac:dyDescent="0.25">
      <c r="A93" s="131" t="s">
        <v>813</v>
      </c>
      <c r="B93" s="135" t="s">
        <v>814</v>
      </c>
      <c r="C93" s="132" t="s">
        <v>815</v>
      </c>
      <c r="D93" s="132" t="s">
        <v>816</v>
      </c>
      <c r="E93" s="132"/>
      <c r="F93" s="65" t="s">
        <v>734</v>
      </c>
      <c r="G93" s="65" t="s">
        <v>817</v>
      </c>
      <c r="H93" s="65" t="s">
        <v>818</v>
      </c>
      <c r="I93" s="66"/>
      <c r="J93" s="69"/>
      <c r="K93" s="69"/>
      <c r="L93" s="69"/>
      <c r="M93" s="4"/>
      <c r="N93" s="4"/>
      <c r="O93" s="4"/>
      <c r="P93" s="4"/>
      <c r="Q93" s="4"/>
      <c r="R93" s="4"/>
      <c r="S93" s="4"/>
      <c r="T93" s="137"/>
      <c r="U93" s="42"/>
      <c r="V93" s="42"/>
      <c r="W93" s="43"/>
      <c r="X93" s="44"/>
      <c r="Y93" s="4"/>
      <c r="Z93" s="45"/>
      <c r="AA93" s="45"/>
      <c r="AB93" s="4"/>
    </row>
    <row r="94" spans="1:28" ht="51" x14ac:dyDescent="0.25">
      <c r="A94" s="131"/>
      <c r="B94" s="139"/>
      <c r="C94" s="133"/>
      <c r="D94" s="133"/>
      <c r="E94" s="133"/>
      <c r="F94" s="65" t="s">
        <v>737</v>
      </c>
      <c r="G94" s="65" t="s">
        <v>819</v>
      </c>
      <c r="H94" s="65" t="s">
        <v>818</v>
      </c>
      <c r="I94" s="66"/>
      <c r="J94" s="69"/>
      <c r="K94" s="69"/>
      <c r="L94" s="69"/>
      <c r="M94" s="4"/>
      <c r="N94" s="4"/>
      <c r="O94" s="4"/>
      <c r="P94" s="4"/>
      <c r="Q94" s="4"/>
      <c r="R94" s="4"/>
      <c r="S94" s="4"/>
      <c r="T94" s="137"/>
      <c r="U94" s="42"/>
      <c r="V94" s="42"/>
      <c r="W94" s="43"/>
      <c r="X94" s="44"/>
      <c r="Y94" s="4"/>
      <c r="Z94" s="45"/>
      <c r="AA94" s="45"/>
      <c r="AB94" s="4"/>
    </row>
    <row r="95" spans="1:28" ht="51" x14ac:dyDescent="0.25">
      <c r="A95" s="131"/>
      <c r="B95" s="139"/>
      <c r="C95" s="133"/>
      <c r="D95" s="133"/>
      <c r="E95" s="133"/>
      <c r="F95" s="65" t="s">
        <v>820</v>
      </c>
      <c r="G95" s="65" t="s">
        <v>821</v>
      </c>
      <c r="H95" s="65" t="s">
        <v>818</v>
      </c>
      <c r="I95" s="66"/>
      <c r="J95" s="69"/>
      <c r="K95" s="69"/>
      <c r="L95" s="69"/>
      <c r="M95" s="4"/>
      <c r="N95" s="4"/>
      <c r="O95" s="4"/>
      <c r="P95" s="4"/>
      <c r="Q95" s="4"/>
      <c r="R95" s="4"/>
      <c r="S95" s="4"/>
      <c r="T95" s="137"/>
      <c r="U95" s="42"/>
      <c r="V95" s="42"/>
      <c r="W95" s="43"/>
      <c r="X95" s="44"/>
      <c r="Y95" s="4"/>
      <c r="Z95" s="45"/>
      <c r="AA95" s="45"/>
      <c r="AB95" s="4"/>
    </row>
    <row r="96" spans="1:28" ht="51" x14ac:dyDescent="0.25">
      <c r="A96" s="131"/>
      <c r="B96" s="136"/>
      <c r="C96" s="134"/>
      <c r="D96" s="134"/>
      <c r="E96" s="134"/>
      <c r="F96" s="65" t="s">
        <v>822</v>
      </c>
      <c r="G96" s="65" t="s">
        <v>823</v>
      </c>
      <c r="H96" s="65" t="s">
        <v>818</v>
      </c>
      <c r="I96" s="66"/>
      <c r="J96" s="69"/>
      <c r="K96" s="69"/>
      <c r="L96" s="69"/>
      <c r="M96" s="4"/>
      <c r="N96" s="4"/>
      <c r="O96" s="4"/>
      <c r="P96" s="4"/>
      <c r="Q96" s="4"/>
      <c r="R96" s="4"/>
      <c r="S96" s="4"/>
      <c r="T96" s="137"/>
      <c r="U96" s="42"/>
      <c r="V96" s="42"/>
      <c r="W96" s="43"/>
      <c r="X96" s="44"/>
      <c r="Y96" s="4"/>
      <c r="Z96" s="45"/>
      <c r="AA96" s="45"/>
      <c r="AB96" s="4"/>
    </row>
    <row r="97" spans="1:28" ht="255" x14ac:dyDescent="0.25">
      <c r="A97" s="131" t="s">
        <v>824</v>
      </c>
      <c r="B97" s="135" t="s">
        <v>825</v>
      </c>
      <c r="C97" s="132" t="s">
        <v>826</v>
      </c>
      <c r="D97" s="132" t="s">
        <v>827</v>
      </c>
      <c r="E97" s="132"/>
      <c r="F97" s="65" t="s">
        <v>828</v>
      </c>
      <c r="G97" s="65" t="s">
        <v>829</v>
      </c>
      <c r="H97" s="65" t="s">
        <v>830</v>
      </c>
      <c r="I97" s="66"/>
      <c r="J97" s="69"/>
      <c r="K97" s="69"/>
      <c r="L97" s="69"/>
      <c r="M97" s="4"/>
      <c r="N97" s="4"/>
      <c r="O97" s="4"/>
      <c r="P97" s="4"/>
      <c r="Q97" s="4"/>
      <c r="R97" s="4"/>
      <c r="S97" s="4"/>
      <c r="T97" s="137" t="s">
        <v>293</v>
      </c>
      <c r="U97" s="42"/>
      <c r="V97" s="42" t="s">
        <v>831</v>
      </c>
      <c r="W97" s="43"/>
      <c r="X97" s="44"/>
      <c r="Y97" s="4"/>
      <c r="Z97" s="45"/>
      <c r="AA97" s="45"/>
      <c r="AB97" s="4"/>
    </row>
    <row r="98" spans="1:28" ht="409.6" thickBot="1" x14ac:dyDescent="0.3">
      <c r="A98" s="131"/>
      <c r="B98" s="136"/>
      <c r="C98" s="134"/>
      <c r="D98" s="134"/>
      <c r="E98" s="134"/>
      <c r="F98" s="65" t="s">
        <v>832</v>
      </c>
      <c r="G98" s="65" t="s">
        <v>833</v>
      </c>
      <c r="H98" s="65" t="s">
        <v>834</v>
      </c>
      <c r="I98" s="66"/>
      <c r="J98" s="69"/>
      <c r="K98" s="69"/>
      <c r="L98" s="69"/>
      <c r="M98" s="4"/>
      <c r="N98" s="4"/>
      <c r="O98" s="4"/>
      <c r="P98" s="4"/>
      <c r="Q98" s="4"/>
      <c r="R98" s="4"/>
      <c r="S98" s="4"/>
      <c r="T98" s="137"/>
      <c r="U98" s="42"/>
      <c r="V98" s="42"/>
      <c r="W98" s="43"/>
      <c r="X98" s="44"/>
      <c r="Y98" s="4"/>
      <c r="Z98" s="45"/>
      <c r="AA98" s="45"/>
      <c r="AB98" s="4"/>
    </row>
    <row r="99" spans="1:28" ht="102" x14ac:dyDescent="0.25">
      <c r="A99" s="123" t="s">
        <v>835</v>
      </c>
      <c r="B99" s="124" t="s">
        <v>836</v>
      </c>
      <c r="C99" s="127" t="s">
        <v>837</v>
      </c>
      <c r="D99" s="127" t="s">
        <v>838</v>
      </c>
      <c r="E99" s="67"/>
      <c r="F99" s="65" t="s">
        <v>408</v>
      </c>
      <c r="G99" s="65" t="s">
        <v>839</v>
      </c>
      <c r="H99" s="65" t="s">
        <v>840</v>
      </c>
      <c r="I99" s="66"/>
      <c r="J99" s="69"/>
      <c r="K99" s="69"/>
      <c r="L99" s="69"/>
      <c r="M99" s="4"/>
      <c r="N99" s="4"/>
      <c r="O99" s="4"/>
      <c r="P99" s="4"/>
      <c r="Q99" s="4"/>
      <c r="R99" s="4"/>
      <c r="S99" s="4"/>
      <c r="T99" s="130">
        <v>0</v>
      </c>
      <c r="U99" s="70"/>
      <c r="V99" s="70"/>
      <c r="W99" s="70"/>
      <c r="X99" s="89"/>
      <c r="Y99" s="4"/>
      <c r="Z99" s="45"/>
      <c r="AA99" s="45"/>
      <c r="AB99" s="4"/>
    </row>
    <row r="100" spans="1:28" ht="114.75" x14ac:dyDescent="0.25">
      <c r="A100" s="123"/>
      <c r="B100" s="125"/>
      <c r="C100" s="128"/>
      <c r="D100" s="128"/>
      <c r="E100" s="71"/>
      <c r="F100" s="65" t="s">
        <v>410</v>
      </c>
      <c r="G100" s="65" t="s">
        <v>841</v>
      </c>
      <c r="H100" s="65" t="s">
        <v>840</v>
      </c>
      <c r="I100" s="66"/>
      <c r="J100" s="69"/>
      <c r="K100" s="69"/>
      <c r="L100" s="69"/>
      <c r="M100" s="4"/>
      <c r="N100" s="4"/>
      <c r="O100" s="4"/>
      <c r="P100" s="4"/>
      <c r="Q100" s="4"/>
      <c r="R100" s="4"/>
      <c r="S100" s="4"/>
      <c r="T100" s="121"/>
      <c r="U100" s="4"/>
      <c r="V100" s="4"/>
      <c r="W100" s="4"/>
      <c r="X100" s="90"/>
      <c r="Y100" s="4"/>
      <c r="Z100" s="45"/>
      <c r="AA100" s="45"/>
      <c r="AB100" s="4"/>
    </row>
    <row r="101" spans="1:28" ht="102" x14ac:dyDescent="0.25">
      <c r="A101" s="123"/>
      <c r="B101" s="125"/>
      <c r="C101" s="128"/>
      <c r="D101" s="128"/>
      <c r="E101" s="71"/>
      <c r="F101" s="65" t="s">
        <v>794</v>
      </c>
      <c r="G101" s="65" t="s">
        <v>842</v>
      </c>
      <c r="H101" s="65" t="s">
        <v>840</v>
      </c>
      <c r="I101" s="66"/>
      <c r="J101" s="69"/>
      <c r="K101" s="69"/>
      <c r="L101" s="69"/>
      <c r="M101" s="4"/>
      <c r="N101" s="4"/>
      <c r="O101" s="4"/>
      <c r="P101" s="4"/>
      <c r="Q101" s="4"/>
      <c r="R101" s="4"/>
      <c r="S101" s="4"/>
      <c r="T101" s="121"/>
      <c r="U101" s="4"/>
      <c r="V101" s="4"/>
      <c r="W101" s="4"/>
      <c r="X101" s="90"/>
      <c r="Y101" s="4"/>
      <c r="Z101" s="45"/>
      <c r="AA101" s="45"/>
      <c r="AB101" s="4"/>
    </row>
    <row r="102" spans="1:28" ht="102" x14ac:dyDescent="0.25">
      <c r="A102" s="123"/>
      <c r="B102" s="126"/>
      <c r="C102" s="129"/>
      <c r="D102" s="129"/>
      <c r="E102" s="68"/>
      <c r="F102" s="65" t="s">
        <v>843</v>
      </c>
      <c r="G102" s="65" t="s">
        <v>844</v>
      </c>
      <c r="H102" s="65" t="s">
        <v>840</v>
      </c>
      <c r="I102" s="66"/>
      <c r="J102" s="69"/>
      <c r="K102" s="69"/>
      <c r="L102" s="69"/>
      <c r="M102" s="4"/>
      <c r="N102" s="4"/>
      <c r="O102" s="4"/>
      <c r="P102" s="4"/>
      <c r="Q102" s="4"/>
      <c r="R102" s="4"/>
      <c r="S102" s="4"/>
      <c r="T102" s="121"/>
      <c r="U102" s="4"/>
      <c r="V102" s="4"/>
      <c r="W102" s="4"/>
      <c r="X102" s="90"/>
      <c r="Y102" s="4"/>
      <c r="Z102" s="45"/>
      <c r="AA102" s="45"/>
      <c r="AB102" s="4"/>
    </row>
    <row r="103" spans="1:28" ht="382.5" x14ac:dyDescent="0.25">
      <c r="A103" s="131" t="s">
        <v>845</v>
      </c>
      <c r="B103" s="124" t="s">
        <v>846</v>
      </c>
      <c r="C103" s="132" t="s">
        <v>847</v>
      </c>
      <c r="D103" s="132" t="s">
        <v>848</v>
      </c>
      <c r="E103" s="132"/>
      <c r="F103" s="65" t="s">
        <v>553</v>
      </c>
      <c r="G103" s="65" t="s">
        <v>849</v>
      </c>
      <c r="H103" s="65" t="s">
        <v>850</v>
      </c>
      <c r="I103" s="66"/>
      <c r="J103" s="69"/>
      <c r="K103" s="69"/>
      <c r="L103" s="69"/>
      <c r="M103" s="4"/>
      <c r="N103" s="4"/>
      <c r="O103" s="4"/>
      <c r="P103" s="4"/>
      <c r="Q103" s="4"/>
      <c r="R103" s="4"/>
      <c r="S103" s="4"/>
      <c r="T103" s="121"/>
      <c r="U103" s="4"/>
      <c r="V103" s="4"/>
      <c r="W103" s="4"/>
      <c r="X103" s="90"/>
      <c r="Y103" s="4"/>
      <c r="Z103" s="45"/>
      <c r="AA103" s="45"/>
      <c r="AB103" s="4"/>
    </row>
    <row r="104" spans="1:28" ht="409.5" x14ac:dyDescent="0.25">
      <c r="A104" s="131"/>
      <c r="B104" s="125"/>
      <c r="C104" s="133"/>
      <c r="D104" s="133"/>
      <c r="E104" s="133"/>
      <c r="F104" s="65" t="s">
        <v>801</v>
      </c>
      <c r="G104" s="65" t="s">
        <v>851</v>
      </c>
      <c r="H104" s="65" t="s">
        <v>850</v>
      </c>
      <c r="I104" s="66"/>
      <c r="J104" s="69"/>
      <c r="K104" s="69"/>
      <c r="L104" s="69"/>
      <c r="M104" s="4"/>
      <c r="N104" s="4"/>
      <c r="O104" s="4"/>
      <c r="P104" s="4"/>
      <c r="Q104" s="4"/>
      <c r="R104" s="4"/>
      <c r="S104" s="4"/>
      <c r="T104" s="121"/>
      <c r="U104" s="4"/>
      <c r="V104" s="4"/>
      <c r="W104" s="4"/>
      <c r="X104" s="90"/>
      <c r="Y104" s="4"/>
      <c r="Z104" s="45"/>
      <c r="AA104" s="45"/>
      <c r="AB104" s="4"/>
    </row>
    <row r="105" spans="1:28" ht="409.5" x14ac:dyDescent="0.25">
      <c r="A105" s="131"/>
      <c r="B105" s="125"/>
      <c r="C105" s="133"/>
      <c r="D105" s="133"/>
      <c r="E105" s="133"/>
      <c r="F105" s="65" t="s">
        <v>852</v>
      </c>
      <c r="G105" s="65" t="s">
        <v>853</v>
      </c>
      <c r="H105" s="65" t="s">
        <v>850</v>
      </c>
      <c r="I105" s="66"/>
      <c r="J105" s="69"/>
      <c r="K105" s="69"/>
      <c r="L105" s="69"/>
      <c r="M105" s="4"/>
      <c r="N105" s="4"/>
      <c r="O105" s="4"/>
      <c r="P105" s="4"/>
      <c r="Q105" s="4"/>
      <c r="R105" s="4"/>
      <c r="S105" s="4"/>
      <c r="T105" s="121"/>
      <c r="U105" s="4"/>
      <c r="V105" s="4"/>
      <c r="W105" s="4"/>
      <c r="X105" s="90"/>
      <c r="Y105" s="4"/>
      <c r="Z105" s="45"/>
      <c r="AA105" s="45"/>
      <c r="AB105" s="4"/>
    </row>
    <row r="106" spans="1:28" ht="409.6" thickBot="1" x14ac:dyDescent="0.3">
      <c r="A106" s="131"/>
      <c r="B106" s="126"/>
      <c r="C106" s="134"/>
      <c r="D106" s="134"/>
      <c r="E106" s="134"/>
      <c r="F106" s="65" t="s">
        <v>854</v>
      </c>
      <c r="G106" s="65" t="s">
        <v>855</v>
      </c>
      <c r="H106" s="65" t="s">
        <v>850</v>
      </c>
      <c r="I106" s="66"/>
      <c r="J106" s="69"/>
      <c r="K106" s="69"/>
      <c r="L106" s="69"/>
      <c r="M106" s="4"/>
      <c r="N106" s="4"/>
      <c r="O106" s="4"/>
      <c r="P106" s="4"/>
      <c r="Q106" s="4"/>
      <c r="R106" s="4"/>
      <c r="S106" s="4"/>
      <c r="T106" s="122"/>
      <c r="U106" s="72"/>
      <c r="V106" s="72"/>
      <c r="W106" s="72"/>
      <c r="X106" s="91"/>
      <c r="Y106" s="4"/>
      <c r="Z106" s="45"/>
      <c r="AA106" s="45"/>
      <c r="AB106" s="4"/>
    </row>
    <row r="107" spans="1:28" ht="127.5" x14ac:dyDescent="0.25">
      <c r="A107" s="120" t="s">
        <v>856</v>
      </c>
      <c r="B107" s="98" t="s">
        <v>857</v>
      </c>
      <c r="C107" s="98" t="s">
        <v>858</v>
      </c>
      <c r="D107" s="98" t="s">
        <v>859</v>
      </c>
      <c r="E107" s="98"/>
      <c r="F107" s="74" t="s">
        <v>860</v>
      </c>
      <c r="G107" s="74" t="s">
        <v>861</v>
      </c>
      <c r="H107" s="74" t="s">
        <v>862</v>
      </c>
      <c r="I107" s="74"/>
      <c r="J107" s="79"/>
      <c r="K107" s="4"/>
      <c r="L107" s="4"/>
      <c r="M107" s="80"/>
      <c r="N107" s="4"/>
      <c r="O107" s="4"/>
      <c r="P107" s="4"/>
      <c r="Q107" s="4"/>
      <c r="R107" s="4"/>
      <c r="S107" s="4"/>
      <c r="T107" s="4"/>
      <c r="U107" s="4"/>
      <c r="V107" s="4"/>
      <c r="W107" s="4"/>
      <c r="X107" s="4"/>
      <c r="Y107" s="4"/>
      <c r="Z107" s="45"/>
      <c r="AA107" s="45"/>
      <c r="AB107" s="4"/>
    </row>
    <row r="108" spans="1:28" ht="127.5" x14ac:dyDescent="0.25">
      <c r="A108" s="120"/>
      <c r="B108" s="99"/>
      <c r="C108" s="99"/>
      <c r="D108" s="99"/>
      <c r="E108" s="99"/>
      <c r="F108" s="74" t="s">
        <v>863</v>
      </c>
      <c r="G108" s="74" t="s">
        <v>864</v>
      </c>
      <c r="H108" s="74" t="s">
        <v>862</v>
      </c>
      <c r="I108" s="74"/>
      <c r="J108" s="79"/>
      <c r="K108" s="4"/>
      <c r="L108" s="4"/>
      <c r="M108" s="80"/>
      <c r="N108" s="4"/>
      <c r="O108" s="4"/>
      <c r="P108" s="4"/>
      <c r="Q108" s="4"/>
      <c r="R108" s="4"/>
      <c r="S108" s="4"/>
      <c r="T108" s="4"/>
      <c r="U108" s="4"/>
      <c r="V108" s="4"/>
      <c r="W108" s="4"/>
      <c r="X108" s="4"/>
      <c r="Y108" s="4"/>
      <c r="Z108" s="45"/>
      <c r="AA108" s="45"/>
      <c r="AB108" s="4"/>
    </row>
    <row r="109" spans="1:28" ht="127.5" x14ac:dyDescent="0.25">
      <c r="A109" s="120"/>
      <c r="B109" s="99"/>
      <c r="C109" s="99"/>
      <c r="D109" s="99"/>
      <c r="E109" s="99"/>
      <c r="F109" s="74" t="s">
        <v>865</v>
      </c>
      <c r="G109" s="74" t="s">
        <v>866</v>
      </c>
      <c r="H109" s="74" t="s">
        <v>862</v>
      </c>
      <c r="I109" s="74"/>
      <c r="J109" s="79"/>
      <c r="K109" s="4"/>
      <c r="L109" s="4"/>
      <c r="M109" s="80"/>
      <c r="N109" s="4"/>
      <c r="O109" s="4"/>
      <c r="P109" s="4"/>
      <c r="Q109" s="4"/>
      <c r="R109" s="4"/>
      <c r="S109" s="4"/>
      <c r="T109" s="4"/>
      <c r="U109" s="4"/>
      <c r="V109" s="4"/>
      <c r="W109" s="4"/>
      <c r="X109" s="4"/>
      <c r="Y109" s="4"/>
      <c r="Z109" s="45"/>
      <c r="AA109" s="45"/>
      <c r="AB109" s="4"/>
    </row>
    <row r="110" spans="1:28" ht="127.5" x14ac:dyDescent="0.25">
      <c r="A110" s="120"/>
      <c r="B110" s="100"/>
      <c r="C110" s="100"/>
      <c r="D110" s="100"/>
      <c r="E110" s="100"/>
      <c r="F110" s="74" t="s">
        <v>867</v>
      </c>
      <c r="G110" s="74" t="s">
        <v>868</v>
      </c>
      <c r="H110" s="74" t="s">
        <v>862</v>
      </c>
      <c r="I110" s="74"/>
      <c r="J110" s="79"/>
      <c r="K110" s="4"/>
      <c r="L110" s="4"/>
      <c r="M110" s="80"/>
      <c r="N110" s="4"/>
      <c r="O110" s="4"/>
      <c r="P110" s="4"/>
      <c r="Q110" s="4"/>
      <c r="R110" s="4"/>
      <c r="S110" s="4"/>
      <c r="T110" s="4"/>
      <c r="U110" s="4"/>
      <c r="V110" s="4"/>
      <c r="W110" s="4"/>
      <c r="X110" s="4"/>
      <c r="Y110" s="4"/>
      <c r="Z110" s="45"/>
      <c r="AA110" s="45"/>
      <c r="AB110" s="4"/>
    </row>
    <row r="111" spans="1:28" ht="127.5" x14ac:dyDescent="0.25">
      <c r="A111" s="120" t="s">
        <v>869</v>
      </c>
      <c r="B111" s="98" t="s">
        <v>870</v>
      </c>
      <c r="C111" s="98" t="s">
        <v>871</v>
      </c>
      <c r="D111" s="98" t="s">
        <v>872</v>
      </c>
      <c r="E111" s="98"/>
      <c r="F111" s="74" t="s">
        <v>860</v>
      </c>
      <c r="G111" s="74" t="s">
        <v>873</v>
      </c>
      <c r="H111" s="74" t="s">
        <v>874</v>
      </c>
      <c r="I111" s="74"/>
      <c r="J111" s="79"/>
      <c r="K111" s="4"/>
      <c r="L111" s="4"/>
      <c r="M111" s="80"/>
      <c r="N111" s="4"/>
      <c r="O111" s="4"/>
      <c r="P111" s="4"/>
      <c r="Q111" s="4"/>
      <c r="R111" s="4"/>
      <c r="S111" s="4"/>
      <c r="T111" s="4"/>
      <c r="U111" s="4"/>
      <c r="V111" s="4"/>
      <c r="W111" s="4"/>
      <c r="X111" s="4"/>
      <c r="Y111" s="4"/>
      <c r="Z111" s="45"/>
      <c r="AA111" s="45"/>
      <c r="AB111" s="4"/>
    </row>
    <row r="112" spans="1:28" ht="178.5" x14ac:dyDescent="0.25">
      <c r="A112" s="120"/>
      <c r="B112" s="99"/>
      <c r="C112" s="99"/>
      <c r="D112" s="99"/>
      <c r="E112" s="99"/>
      <c r="F112" s="74" t="s">
        <v>863</v>
      </c>
      <c r="G112" s="74" t="s">
        <v>875</v>
      </c>
      <c r="H112" s="74" t="s">
        <v>876</v>
      </c>
      <c r="I112" s="74"/>
      <c r="J112" s="79"/>
      <c r="K112" s="4"/>
      <c r="L112" s="4"/>
      <c r="M112" s="80"/>
      <c r="N112" s="4"/>
      <c r="O112" s="4"/>
      <c r="P112" s="4"/>
      <c r="Q112" s="4"/>
      <c r="R112" s="4"/>
      <c r="S112" s="4"/>
      <c r="T112" s="4"/>
      <c r="U112" s="4"/>
      <c r="V112" s="4"/>
      <c r="W112" s="4"/>
      <c r="X112" s="4"/>
      <c r="Y112" s="4"/>
      <c r="Z112" s="45"/>
      <c r="AA112" s="45"/>
      <c r="AB112" s="4"/>
    </row>
    <row r="113" spans="1:28" ht="140.25" x14ac:dyDescent="0.25">
      <c r="A113" s="120"/>
      <c r="B113" s="99"/>
      <c r="C113" s="99"/>
      <c r="D113" s="99"/>
      <c r="E113" s="99"/>
      <c r="F113" s="74" t="s">
        <v>865</v>
      </c>
      <c r="G113" s="74" t="s">
        <v>877</v>
      </c>
      <c r="H113" s="74" t="s">
        <v>878</v>
      </c>
      <c r="I113" s="74"/>
      <c r="J113" s="79"/>
      <c r="K113" s="4"/>
      <c r="L113" s="4"/>
      <c r="M113" s="80"/>
      <c r="N113" s="4"/>
      <c r="O113" s="4"/>
      <c r="P113" s="4"/>
      <c r="Q113" s="4"/>
      <c r="R113" s="4"/>
      <c r="S113" s="4"/>
      <c r="T113" s="4"/>
      <c r="U113" s="4"/>
      <c r="V113" s="4"/>
      <c r="W113" s="4"/>
      <c r="X113" s="4"/>
      <c r="Y113" s="4"/>
      <c r="Z113" s="45"/>
      <c r="AA113" s="45"/>
      <c r="AB113" s="4"/>
    </row>
    <row r="114" spans="1:28" ht="127.5" x14ac:dyDescent="0.25">
      <c r="A114" s="120"/>
      <c r="B114" s="100"/>
      <c r="C114" s="100"/>
      <c r="D114" s="100"/>
      <c r="E114" s="100"/>
      <c r="F114" s="74" t="s">
        <v>867</v>
      </c>
      <c r="G114" s="74" t="s">
        <v>879</v>
      </c>
      <c r="H114" s="74" t="s">
        <v>880</v>
      </c>
      <c r="I114" s="74"/>
      <c r="J114" s="79"/>
      <c r="K114" s="4"/>
      <c r="L114" s="4"/>
      <c r="M114" s="80"/>
      <c r="N114" s="4"/>
      <c r="O114" s="4"/>
      <c r="P114" s="4"/>
      <c r="Q114" s="4"/>
      <c r="R114" s="4"/>
      <c r="S114" s="4"/>
      <c r="T114" s="4"/>
      <c r="U114" s="4"/>
      <c r="V114" s="4"/>
      <c r="W114" s="4"/>
      <c r="X114" s="4"/>
      <c r="Y114" s="4"/>
      <c r="Z114" s="45"/>
      <c r="AA114" s="45"/>
      <c r="AB114" s="4"/>
    </row>
    <row r="115" spans="1:28" ht="331.5" x14ac:dyDescent="0.25">
      <c r="A115" s="57" t="s">
        <v>881</v>
      </c>
      <c r="B115" s="74" t="s">
        <v>882</v>
      </c>
      <c r="C115" s="74" t="s">
        <v>883</v>
      </c>
      <c r="D115" s="74" t="s">
        <v>884</v>
      </c>
      <c r="E115" s="74"/>
      <c r="F115" s="74" t="s">
        <v>860</v>
      </c>
      <c r="G115" s="74" t="s">
        <v>885</v>
      </c>
      <c r="H115" s="74" t="s">
        <v>886</v>
      </c>
      <c r="I115" s="74"/>
      <c r="J115" s="79"/>
      <c r="K115" s="4"/>
      <c r="L115" s="4"/>
      <c r="M115" s="80"/>
      <c r="N115" s="4"/>
      <c r="O115" s="4"/>
      <c r="P115" s="4"/>
      <c r="Q115" s="4"/>
      <c r="R115" s="4"/>
      <c r="S115" s="4"/>
      <c r="T115" s="4"/>
      <c r="U115" s="4"/>
      <c r="V115" s="4"/>
      <c r="W115" s="4"/>
      <c r="X115" s="4" t="s">
        <v>887</v>
      </c>
      <c r="Y115" s="4"/>
      <c r="Z115" s="45" t="s">
        <v>888</v>
      </c>
      <c r="AA115" s="45"/>
      <c r="AB115" s="4"/>
    </row>
    <row r="116" spans="1:28" ht="51" x14ac:dyDescent="0.25">
      <c r="A116" s="110" t="s">
        <v>889</v>
      </c>
      <c r="B116" s="98" t="s">
        <v>890</v>
      </c>
      <c r="C116" s="98" t="s">
        <v>891</v>
      </c>
      <c r="D116" s="98" t="s">
        <v>892</v>
      </c>
      <c r="E116" s="98"/>
      <c r="F116" s="74" t="s">
        <v>860</v>
      </c>
      <c r="G116" s="74" t="s">
        <v>893</v>
      </c>
      <c r="H116" s="74" t="s">
        <v>894</v>
      </c>
      <c r="I116" s="74"/>
      <c r="J116" s="79"/>
      <c r="K116" s="4"/>
      <c r="L116" s="4"/>
      <c r="M116" s="80"/>
      <c r="N116" s="4"/>
      <c r="O116" s="4"/>
      <c r="P116" s="4"/>
      <c r="Q116" s="4"/>
      <c r="R116" s="4"/>
      <c r="S116" s="4"/>
      <c r="T116" s="4"/>
      <c r="U116" s="4"/>
      <c r="V116" s="4"/>
      <c r="W116" s="4"/>
      <c r="X116" s="4"/>
      <c r="Y116" s="4"/>
      <c r="Z116" s="45"/>
      <c r="AA116" s="45"/>
      <c r="AB116" s="4"/>
    </row>
    <row r="117" spans="1:28" ht="51" x14ac:dyDescent="0.25">
      <c r="A117" s="110"/>
      <c r="B117" s="99"/>
      <c r="C117" s="99"/>
      <c r="D117" s="99"/>
      <c r="E117" s="99"/>
      <c r="F117" s="74" t="s">
        <v>863</v>
      </c>
      <c r="G117" s="74" t="s">
        <v>893</v>
      </c>
      <c r="H117" s="74" t="s">
        <v>894</v>
      </c>
      <c r="I117" s="74"/>
      <c r="J117" s="79"/>
      <c r="K117" s="4"/>
      <c r="L117" s="4"/>
      <c r="M117" s="80"/>
      <c r="N117" s="4"/>
      <c r="O117" s="4"/>
      <c r="P117" s="4"/>
      <c r="Q117" s="4"/>
      <c r="R117" s="4"/>
      <c r="S117" s="4"/>
      <c r="T117" s="4"/>
      <c r="U117" s="4"/>
      <c r="V117" s="4"/>
      <c r="W117" s="4"/>
      <c r="X117" s="4"/>
      <c r="Y117" s="4"/>
      <c r="Z117" s="45"/>
      <c r="AA117" s="45"/>
      <c r="AB117" s="4"/>
    </row>
    <row r="118" spans="1:28" ht="51" x14ac:dyDescent="0.25">
      <c r="A118" s="110"/>
      <c r="B118" s="99"/>
      <c r="C118" s="99"/>
      <c r="D118" s="99"/>
      <c r="E118" s="99"/>
      <c r="F118" s="74" t="s">
        <v>865</v>
      </c>
      <c r="G118" s="74" t="s">
        <v>893</v>
      </c>
      <c r="H118" s="74" t="s">
        <v>894</v>
      </c>
      <c r="I118" s="74"/>
      <c r="J118" s="79"/>
      <c r="K118" s="4"/>
      <c r="L118" s="4"/>
      <c r="M118" s="80"/>
      <c r="N118" s="4"/>
      <c r="O118" s="4"/>
      <c r="P118" s="4"/>
      <c r="Q118" s="4"/>
      <c r="R118" s="4"/>
      <c r="S118" s="4"/>
      <c r="T118" s="4"/>
      <c r="U118" s="4"/>
      <c r="V118" s="4"/>
      <c r="W118" s="4"/>
      <c r="X118" s="4"/>
      <c r="Y118" s="4"/>
      <c r="Z118" s="45"/>
      <c r="AA118" s="45"/>
      <c r="AB118" s="4"/>
    </row>
    <row r="119" spans="1:28" ht="51" x14ac:dyDescent="0.25">
      <c r="A119" s="110"/>
      <c r="B119" s="99"/>
      <c r="C119" s="99"/>
      <c r="D119" s="99"/>
      <c r="E119" s="99"/>
      <c r="F119" s="74" t="s">
        <v>867</v>
      </c>
      <c r="G119" s="74" t="s">
        <v>893</v>
      </c>
      <c r="H119" s="74" t="s">
        <v>894</v>
      </c>
      <c r="I119" s="74"/>
      <c r="J119" s="79"/>
      <c r="K119" s="4"/>
      <c r="L119" s="4"/>
      <c r="M119" s="80"/>
      <c r="N119" s="4"/>
      <c r="O119" s="4"/>
      <c r="P119" s="4"/>
      <c r="Q119" s="4"/>
      <c r="R119" s="4"/>
      <c r="S119" s="4"/>
      <c r="T119" s="4"/>
      <c r="U119" s="4"/>
      <c r="V119" s="4"/>
      <c r="W119" s="4"/>
      <c r="X119" s="4"/>
      <c r="Y119" s="4"/>
      <c r="Z119" s="45"/>
      <c r="AA119" s="45"/>
      <c r="AB119" s="4"/>
    </row>
    <row r="120" spans="1:28" ht="51" x14ac:dyDescent="0.25">
      <c r="A120" s="110"/>
      <c r="B120" s="100"/>
      <c r="C120" s="100"/>
      <c r="D120" s="100"/>
      <c r="E120" s="100"/>
      <c r="F120" s="74" t="s">
        <v>895</v>
      </c>
      <c r="G120" s="74" t="s">
        <v>893</v>
      </c>
      <c r="H120" s="74" t="s">
        <v>894</v>
      </c>
      <c r="I120" s="74"/>
      <c r="J120" s="79"/>
      <c r="K120" s="4"/>
      <c r="L120" s="4"/>
      <c r="M120" s="80"/>
      <c r="N120" s="4"/>
      <c r="O120" s="4"/>
      <c r="P120" s="4"/>
      <c r="Q120" s="4"/>
      <c r="R120" s="4"/>
      <c r="S120" s="4"/>
      <c r="T120" s="4"/>
      <c r="U120" s="4"/>
      <c r="V120" s="4"/>
      <c r="W120" s="4"/>
      <c r="X120" s="4"/>
      <c r="Y120" s="4"/>
      <c r="Z120" s="45"/>
      <c r="AA120" s="45"/>
      <c r="AB120" s="4"/>
    </row>
    <row r="121" spans="1:28" ht="51" x14ac:dyDescent="0.25">
      <c r="A121" s="110" t="s">
        <v>896</v>
      </c>
      <c r="B121" s="98" t="s">
        <v>897</v>
      </c>
      <c r="C121" s="98" t="s">
        <v>898</v>
      </c>
      <c r="D121" s="98" t="s">
        <v>899</v>
      </c>
      <c r="E121" s="98"/>
      <c r="F121" s="74" t="s">
        <v>860</v>
      </c>
      <c r="G121" s="74" t="s">
        <v>900</v>
      </c>
      <c r="H121" s="74" t="s">
        <v>901</v>
      </c>
      <c r="I121" s="74"/>
      <c r="J121" s="79"/>
      <c r="K121" s="4"/>
      <c r="L121" s="4"/>
      <c r="M121" s="80"/>
      <c r="N121" s="4"/>
      <c r="O121" s="4"/>
      <c r="P121" s="4"/>
      <c r="Q121" s="4"/>
      <c r="R121" s="4"/>
      <c r="S121" s="4"/>
      <c r="T121" s="4"/>
      <c r="U121" s="4"/>
      <c r="V121" s="4"/>
      <c r="W121" s="4"/>
      <c r="X121" s="4"/>
      <c r="Y121" s="4"/>
      <c r="Z121" s="45"/>
      <c r="AA121" s="45"/>
      <c r="AB121" s="4"/>
    </row>
    <row r="122" spans="1:28" ht="89.25" x14ac:dyDescent="0.25">
      <c r="A122" s="110"/>
      <c r="B122" s="99"/>
      <c r="C122" s="99"/>
      <c r="D122" s="99"/>
      <c r="E122" s="99"/>
      <c r="F122" s="74" t="s">
        <v>863</v>
      </c>
      <c r="G122" s="74" t="s">
        <v>902</v>
      </c>
      <c r="H122" s="74" t="s">
        <v>903</v>
      </c>
      <c r="I122" s="74"/>
      <c r="J122" s="79"/>
      <c r="K122" s="4"/>
      <c r="L122" s="4"/>
      <c r="M122" s="80"/>
      <c r="N122" s="4"/>
      <c r="O122" s="4"/>
      <c r="P122" s="4"/>
      <c r="Q122" s="4"/>
      <c r="R122" s="4"/>
      <c r="S122" s="4"/>
      <c r="T122" s="4"/>
      <c r="U122" s="4"/>
      <c r="V122" s="4"/>
      <c r="W122" s="4"/>
      <c r="X122" s="4"/>
      <c r="Y122" s="4"/>
      <c r="Z122" s="45"/>
      <c r="AA122" s="45"/>
      <c r="AB122" s="4"/>
    </row>
    <row r="123" spans="1:28" ht="51" x14ac:dyDescent="0.25">
      <c r="A123" s="110"/>
      <c r="B123" s="99"/>
      <c r="C123" s="99"/>
      <c r="D123" s="99"/>
      <c r="E123" s="99"/>
      <c r="F123" s="74" t="s">
        <v>865</v>
      </c>
      <c r="G123" s="74" t="s">
        <v>904</v>
      </c>
      <c r="H123" s="74" t="s">
        <v>905</v>
      </c>
      <c r="I123" s="74"/>
      <c r="J123" s="79"/>
      <c r="K123" s="4"/>
      <c r="L123" s="4"/>
      <c r="M123" s="80"/>
      <c r="N123" s="4"/>
      <c r="O123" s="4"/>
      <c r="P123" s="4"/>
      <c r="Q123" s="4"/>
      <c r="R123" s="4"/>
      <c r="S123" s="4"/>
      <c r="T123" s="4"/>
      <c r="U123" s="4"/>
      <c r="V123" s="4"/>
      <c r="W123" s="4"/>
      <c r="X123" s="4"/>
      <c r="Y123" s="4"/>
      <c r="Z123" s="45"/>
      <c r="AA123" s="45"/>
      <c r="AB123" s="4"/>
    </row>
    <row r="124" spans="1:28" ht="63.75" x14ac:dyDescent="0.25">
      <c r="A124" s="110"/>
      <c r="B124" s="99"/>
      <c r="C124" s="99"/>
      <c r="D124" s="99"/>
      <c r="E124" s="99"/>
      <c r="F124" s="74" t="s">
        <v>867</v>
      </c>
      <c r="G124" s="74" t="s">
        <v>906</v>
      </c>
      <c r="H124" s="74" t="s">
        <v>907</v>
      </c>
      <c r="I124" s="74"/>
      <c r="J124" s="79"/>
      <c r="K124" s="4"/>
      <c r="L124" s="4"/>
      <c r="M124" s="80"/>
      <c r="N124" s="4"/>
      <c r="O124" s="4"/>
      <c r="P124" s="4"/>
      <c r="Q124" s="4"/>
      <c r="R124" s="4"/>
      <c r="S124" s="4"/>
      <c r="T124" s="4"/>
      <c r="U124" s="4"/>
      <c r="V124" s="4"/>
      <c r="W124" s="4"/>
      <c r="X124" s="4"/>
      <c r="Y124" s="4"/>
      <c r="Z124" s="45"/>
      <c r="AA124" s="45"/>
      <c r="AB124" s="4"/>
    </row>
    <row r="125" spans="1:28" ht="153" x14ac:dyDescent="0.25">
      <c r="A125" s="110"/>
      <c r="B125" s="100"/>
      <c r="C125" s="100"/>
      <c r="D125" s="100"/>
      <c r="E125" s="100"/>
      <c r="F125" s="74" t="s">
        <v>895</v>
      </c>
      <c r="G125" s="74" t="s">
        <v>908</v>
      </c>
      <c r="H125" s="74" t="s">
        <v>909</v>
      </c>
      <c r="I125" s="74"/>
      <c r="J125" s="79"/>
      <c r="K125" s="4"/>
      <c r="L125" s="4"/>
      <c r="M125" s="80"/>
      <c r="N125" s="4"/>
      <c r="O125" s="4"/>
      <c r="P125" s="4"/>
      <c r="Q125" s="4"/>
      <c r="R125" s="4"/>
      <c r="S125" s="4"/>
      <c r="T125" s="4"/>
      <c r="U125" s="4"/>
      <c r="V125" s="4"/>
      <c r="W125" s="4"/>
      <c r="X125" s="4"/>
      <c r="Y125" s="4"/>
      <c r="Z125" s="45"/>
      <c r="AA125" s="45"/>
      <c r="AB125" s="4"/>
    </row>
    <row r="126" spans="1:28" ht="102" x14ac:dyDescent="0.25">
      <c r="A126" s="110" t="s">
        <v>910</v>
      </c>
      <c r="B126" s="98" t="s">
        <v>911</v>
      </c>
      <c r="C126" s="98" t="s">
        <v>912</v>
      </c>
      <c r="D126" s="98" t="s">
        <v>913</v>
      </c>
      <c r="E126" s="98"/>
      <c r="F126" s="74" t="s">
        <v>860</v>
      </c>
      <c r="G126" s="74" t="s">
        <v>914</v>
      </c>
      <c r="H126" s="74" t="s">
        <v>912</v>
      </c>
      <c r="I126" s="74"/>
      <c r="J126" s="79"/>
      <c r="K126" s="4"/>
      <c r="L126" s="4"/>
      <c r="M126" s="80"/>
      <c r="N126" s="4"/>
      <c r="O126" s="4"/>
      <c r="P126" s="4"/>
      <c r="Q126" s="4"/>
      <c r="R126" s="4"/>
      <c r="S126" s="4"/>
      <c r="T126" s="4"/>
      <c r="U126" s="4"/>
      <c r="V126" s="4"/>
      <c r="W126" s="4"/>
      <c r="X126" s="4"/>
      <c r="Y126" s="4"/>
      <c r="Z126" s="45"/>
      <c r="AA126" s="45"/>
      <c r="AB126" s="4"/>
    </row>
    <row r="127" spans="1:28" ht="102" x14ac:dyDescent="0.25">
      <c r="A127" s="110"/>
      <c r="B127" s="99"/>
      <c r="C127" s="99"/>
      <c r="D127" s="99"/>
      <c r="E127" s="99"/>
      <c r="F127" s="74" t="s">
        <v>863</v>
      </c>
      <c r="G127" s="74" t="s">
        <v>914</v>
      </c>
      <c r="H127" s="74" t="s">
        <v>912</v>
      </c>
      <c r="I127" s="74"/>
      <c r="J127" s="79"/>
      <c r="K127" s="4"/>
      <c r="L127" s="4"/>
      <c r="M127" s="80"/>
      <c r="N127" s="4"/>
      <c r="O127" s="4"/>
      <c r="P127" s="4"/>
      <c r="Q127" s="4"/>
      <c r="R127" s="4"/>
      <c r="S127" s="4"/>
      <c r="T127" s="4"/>
      <c r="U127" s="4"/>
      <c r="V127" s="4"/>
      <c r="W127" s="4"/>
      <c r="X127" s="4"/>
      <c r="Y127" s="4"/>
      <c r="Z127" s="45"/>
      <c r="AA127" s="45"/>
      <c r="AB127" s="4"/>
    </row>
    <row r="128" spans="1:28" ht="102" x14ac:dyDescent="0.25">
      <c r="A128" s="110"/>
      <c r="B128" s="99"/>
      <c r="C128" s="99"/>
      <c r="D128" s="99"/>
      <c r="E128" s="99"/>
      <c r="F128" s="74" t="s">
        <v>865</v>
      </c>
      <c r="G128" s="74" t="s">
        <v>914</v>
      </c>
      <c r="H128" s="74" t="s">
        <v>912</v>
      </c>
      <c r="I128" s="74"/>
      <c r="J128" s="79"/>
      <c r="K128" s="4"/>
      <c r="L128" s="4"/>
      <c r="M128" s="80"/>
      <c r="N128" s="4"/>
      <c r="O128" s="4"/>
      <c r="P128" s="4"/>
      <c r="Q128" s="4"/>
      <c r="R128" s="4"/>
      <c r="S128" s="4"/>
      <c r="T128" s="4"/>
      <c r="U128" s="4"/>
      <c r="V128" s="4"/>
      <c r="W128" s="4"/>
      <c r="X128" s="4"/>
      <c r="Y128" s="4"/>
      <c r="Z128" s="45"/>
      <c r="AA128" s="45"/>
      <c r="AB128" s="4"/>
    </row>
    <row r="129" spans="1:28" ht="102" x14ac:dyDescent="0.25">
      <c r="A129" s="110"/>
      <c r="B129" s="99"/>
      <c r="C129" s="99"/>
      <c r="D129" s="99"/>
      <c r="E129" s="99"/>
      <c r="F129" s="74" t="s">
        <v>867</v>
      </c>
      <c r="G129" s="74" t="s">
        <v>914</v>
      </c>
      <c r="H129" s="74" t="s">
        <v>912</v>
      </c>
      <c r="I129" s="74"/>
      <c r="J129" s="79"/>
      <c r="K129" s="4"/>
      <c r="L129" s="4"/>
      <c r="M129" s="80"/>
      <c r="N129" s="4"/>
      <c r="O129" s="4"/>
      <c r="P129" s="4"/>
      <c r="Q129" s="4"/>
      <c r="R129" s="4"/>
      <c r="S129" s="4"/>
      <c r="T129" s="4"/>
      <c r="U129" s="4"/>
      <c r="V129" s="4"/>
      <c r="W129" s="4"/>
      <c r="X129" s="4"/>
      <c r="Y129" s="4"/>
      <c r="Z129" s="45"/>
      <c r="AA129" s="45"/>
      <c r="AB129" s="4"/>
    </row>
    <row r="130" spans="1:28" ht="102" x14ac:dyDescent="0.25">
      <c r="A130" s="110"/>
      <c r="B130" s="100"/>
      <c r="C130" s="100"/>
      <c r="D130" s="100"/>
      <c r="E130" s="100"/>
      <c r="F130" s="74" t="s">
        <v>895</v>
      </c>
      <c r="G130" s="74" t="s">
        <v>914</v>
      </c>
      <c r="H130" s="74" t="s">
        <v>912</v>
      </c>
      <c r="I130" s="74"/>
      <c r="J130" s="79"/>
      <c r="K130" s="4"/>
      <c r="L130" s="4"/>
      <c r="M130" s="80"/>
      <c r="N130" s="4"/>
      <c r="O130" s="4"/>
      <c r="P130" s="4"/>
      <c r="Q130" s="4"/>
      <c r="R130" s="4"/>
      <c r="S130" s="4"/>
      <c r="T130" s="4"/>
      <c r="U130" s="4"/>
      <c r="V130" s="4"/>
      <c r="W130" s="4"/>
      <c r="X130" s="4"/>
      <c r="Y130" s="4"/>
      <c r="Z130" s="45"/>
      <c r="AA130" s="45"/>
      <c r="AB130" s="4"/>
    </row>
    <row r="131" spans="1:28" ht="127.5" x14ac:dyDescent="0.25">
      <c r="A131" s="110" t="s">
        <v>915</v>
      </c>
      <c r="B131" s="98" t="s">
        <v>916</v>
      </c>
      <c r="C131" s="98" t="s">
        <v>917</v>
      </c>
      <c r="D131" s="74" t="s">
        <v>918</v>
      </c>
      <c r="E131" s="74"/>
      <c r="F131" s="74" t="s">
        <v>860</v>
      </c>
      <c r="G131" s="74" t="s">
        <v>253</v>
      </c>
      <c r="H131" s="74" t="s">
        <v>254</v>
      </c>
      <c r="I131" s="74"/>
      <c r="J131" s="79"/>
      <c r="K131" s="4"/>
      <c r="L131" s="4"/>
      <c r="M131" s="80"/>
      <c r="N131" s="4"/>
      <c r="O131" s="4"/>
      <c r="P131" s="4"/>
      <c r="Q131" s="4"/>
      <c r="R131" s="4"/>
      <c r="S131" s="4"/>
      <c r="T131" s="4"/>
      <c r="U131" s="4"/>
      <c r="V131" s="4"/>
      <c r="W131" s="4"/>
      <c r="X131" s="4"/>
      <c r="Y131" s="4"/>
      <c r="Z131" s="45"/>
      <c r="AA131" s="45"/>
      <c r="AB131" s="4"/>
    </row>
    <row r="132" spans="1:28" ht="63.75" x14ac:dyDescent="0.25">
      <c r="A132" s="110"/>
      <c r="B132" s="100"/>
      <c r="C132" s="100"/>
      <c r="D132" s="74"/>
      <c r="E132" s="74"/>
      <c r="F132" s="74" t="s">
        <v>863</v>
      </c>
      <c r="G132" s="74" t="s">
        <v>257</v>
      </c>
      <c r="H132" s="74" t="s">
        <v>258</v>
      </c>
      <c r="I132" s="74"/>
      <c r="J132" s="79"/>
      <c r="K132" s="4"/>
      <c r="L132" s="4"/>
      <c r="M132" s="80"/>
      <c r="N132" s="4"/>
      <c r="O132" s="4"/>
      <c r="P132" s="4"/>
      <c r="Q132" s="4"/>
      <c r="R132" s="4"/>
      <c r="S132" s="4"/>
      <c r="T132" s="4"/>
      <c r="U132" s="4"/>
      <c r="V132" s="4"/>
      <c r="W132" s="4"/>
      <c r="X132" s="4"/>
      <c r="Y132" s="4"/>
      <c r="Z132" s="45"/>
      <c r="AA132" s="45"/>
      <c r="AB132" s="4"/>
    </row>
    <row r="133" spans="1:28" ht="409.5" x14ac:dyDescent="0.25">
      <c r="A133" s="110" t="s">
        <v>919</v>
      </c>
      <c r="B133" s="101" t="s">
        <v>920</v>
      </c>
      <c r="C133" s="101" t="s">
        <v>921</v>
      </c>
      <c r="D133" s="101" t="s">
        <v>922</v>
      </c>
      <c r="E133" s="75"/>
      <c r="F133" s="74" t="s">
        <v>860</v>
      </c>
      <c r="G133" s="74" t="s">
        <v>923</v>
      </c>
      <c r="H133" s="74" t="s">
        <v>921</v>
      </c>
      <c r="I133" s="74"/>
      <c r="J133" s="79"/>
      <c r="K133" s="4"/>
      <c r="L133" s="4"/>
      <c r="M133" s="80"/>
      <c r="N133" s="4"/>
      <c r="O133" s="4"/>
      <c r="P133" s="4"/>
      <c r="Q133" s="4"/>
      <c r="R133" s="4"/>
      <c r="S133" s="4"/>
      <c r="T133" s="4"/>
      <c r="U133" s="4"/>
      <c r="V133" s="4"/>
      <c r="W133" s="4"/>
      <c r="X133" s="4"/>
      <c r="Y133" s="4"/>
      <c r="Z133" s="45"/>
      <c r="AA133" s="45"/>
      <c r="AB133" s="4"/>
    </row>
    <row r="134" spans="1:28" ht="409.5" x14ac:dyDescent="0.25">
      <c r="A134" s="110"/>
      <c r="B134" s="102"/>
      <c r="C134" s="102"/>
      <c r="D134" s="102"/>
      <c r="E134" s="76"/>
      <c r="F134" s="74" t="s">
        <v>863</v>
      </c>
      <c r="G134" s="74" t="s">
        <v>924</v>
      </c>
      <c r="H134" s="74" t="s">
        <v>921</v>
      </c>
      <c r="I134" s="74"/>
      <c r="J134" s="79"/>
      <c r="K134" s="4"/>
      <c r="L134" s="4"/>
      <c r="M134" s="80"/>
      <c r="N134" s="4"/>
      <c r="O134" s="4"/>
      <c r="P134" s="4"/>
      <c r="Q134" s="4"/>
      <c r="R134" s="4"/>
      <c r="S134" s="4"/>
      <c r="T134" s="4"/>
      <c r="U134" s="4"/>
      <c r="V134" s="4"/>
      <c r="W134" s="4"/>
      <c r="X134" s="4"/>
      <c r="Y134" s="4"/>
      <c r="Z134" s="45"/>
      <c r="AA134" s="45"/>
      <c r="AB134" s="4"/>
    </row>
    <row r="135" spans="1:28" ht="409.5" x14ac:dyDescent="0.25">
      <c r="A135" s="110"/>
      <c r="B135" s="102"/>
      <c r="C135" s="102"/>
      <c r="D135" s="102"/>
      <c r="E135" s="76"/>
      <c r="F135" s="74" t="s">
        <v>865</v>
      </c>
      <c r="G135" s="74" t="s">
        <v>925</v>
      </c>
      <c r="H135" s="74" t="s">
        <v>921</v>
      </c>
      <c r="I135" s="74"/>
      <c r="J135" s="79"/>
      <c r="K135" s="4"/>
      <c r="L135" s="4"/>
      <c r="M135" s="80"/>
      <c r="N135" s="4"/>
      <c r="O135" s="4"/>
      <c r="P135" s="4"/>
      <c r="Q135" s="4"/>
      <c r="R135" s="4"/>
      <c r="S135" s="4"/>
      <c r="T135" s="4"/>
      <c r="U135" s="4"/>
      <c r="V135" s="4"/>
      <c r="W135" s="4"/>
      <c r="X135" s="4"/>
      <c r="Y135" s="4"/>
      <c r="Z135" s="45"/>
      <c r="AA135" s="45"/>
      <c r="AB135" s="4"/>
    </row>
    <row r="136" spans="1:28" ht="409.5" x14ac:dyDescent="0.25">
      <c r="A136" s="110"/>
      <c r="B136" s="102"/>
      <c r="C136" s="102"/>
      <c r="D136" s="102"/>
      <c r="E136" s="76"/>
      <c r="F136" s="74" t="s">
        <v>867</v>
      </c>
      <c r="G136" s="74" t="s">
        <v>926</v>
      </c>
      <c r="H136" s="74" t="s">
        <v>921</v>
      </c>
      <c r="I136" s="74"/>
      <c r="J136" s="79"/>
      <c r="K136" s="4"/>
      <c r="L136" s="4"/>
      <c r="M136" s="80"/>
      <c r="N136" s="4"/>
      <c r="O136" s="4"/>
      <c r="P136" s="4"/>
      <c r="Q136" s="4"/>
      <c r="R136" s="4"/>
      <c r="S136" s="4"/>
      <c r="T136" s="4"/>
      <c r="U136" s="4"/>
      <c r="V136" s="4"/>
      <c r="W136" s="4"/>
      <c r="X136" s="4"/>
      <c r="Y136" s="4"/>
      <c r="Z136" s="45"/>
      <c r="AA136" s="45"/>
      <c r="AB136" s="4"/>
    </row>
    <row r="137" spans="1:28" ht="409.5" x14ac:dyDescent="0.25">
      <c r="A137" s="110"/>
      <c r="B137" s="102"/>
      <c r="C137" s="102"/>
      <c r="D137" s="102"/>
      <c r="E137" s="76"/>
      <c r="F137" s="74" t="s">
        <v>895</v>
      </c>
      <c r="G137" s="74" t="s">
        <v>927</v>
      </c>
      <c r="H137" s="74" t="s">
        <v>921</v>
      </c>
      <c r="I137" s="74"/>
      <c r="J137" s="79"/>
      <c r="K137" s="4"/>
      <c r="L137" s="4"/>
      <c r="M137" s="80"/>
      <c r="N137" s="4"/>
      <c r="O137" s="4"/>
      <c r="P137" s="4"/>
      <c r="Q137" s="4"/>
      <c r="R137" s="4"/>
      <c r="S137" s="4"/>
      <c r="T137" s="4"/>
      <c r="U137" s="4"/>
      <c r="V137" s="4"/>
      <c r="W137" s="4"/>
      <c r="X137" s="4"/>
      <c r="Y137" s="4"/>
      <c r="Z137" s="45"/>
      <c r="AA137" s="45"/>
      <c r="AB137" s="4"/>
    </row>
    <row r="138" spans="1:28" ht="409.5" x14ac:dyDescent="0.25">
      <c r="A138" s="110"/>
      <c r="B138" s="102"/>
      <c r="C138" s="102"/>
      <c r="D138" s="102"/>
      <c r="E138" s="76"/>
      <c r="F138" s="74" t="s">
        <v>928</v>
      </c>
      <c r="G138" s="74" t="s">
        <v>929</v>
      </c>
      <c r="H138" s="74" t="s">
        <v>921</v>
      </c>
      <c r="I138" s="74"/>
      <c r="J138" s="79"/>
      <c r="K138" s="4"/>
      <c r="L138" s="4"/>
      <c r="M138" s="80"/>
      <c r="N138" s="4"/>
      <c r="O138" s="4"/>
      <c r="P138" s="4"/>
      <c r="Q138" s="4"/>
      <c r="R138" s="4"/>
      <c r="S138" s="4"/>
      <c r="T138" s="4"/>
      <c r="U138" s="4"/>
      <c r="V138" s="4"/>
      <c r="W138" s="4"/>
      <c r="X138" s="4"/>
      <c r="Y138" s="4"/>
      <c r="Z138" s="45"/>
      <c r="AA138" s="45"/>
      <c r="AB138" s="4"/>
    </row>
    <row r="139" spans="1:28" ht="409.5" x14ac:dyDescent="0.25">
      <c r="A139" s="110"/>
      <c r="B139" s="102"/>
      <c r="C139" s="102"/>
      <c r="D139" s="102"/>
      <c r="E139" s="76"/>
      <c r="F139" s="74" t="s">
        <v>930</v>
      </c>
      <c r="G139" s="74" t="s">
        <v>931</v>
      </c>
      <c r="H139" s="74" t="s">
        <v>921</v>
      </c>
      <c r="I139" s="74"/>
      <c r="J139" s="79"/>
      <c r="K139" s="4"/>
      <c r="L139" s="4"/>
      <c r="M139" s="80"/>
      <c r="N139" s="4"/>
      <c r="O139" s="4"/>
      <c r="P139" s="4"/>
      <c r="Q139" s="4"/>
      <c r="R139" s="4"/>
      <c r="S139" s="4"/>
      <c r="T139" s="4"/>
      <c r="U139" s="4"/>
      <c r="V139" s="4"/>
      <c r="W139" s="4"/>
      <c r="X139" s="4"/>
      <c r="Y139" s="4"/>
      <c r="Z139" s="45"/>
      <c r="AA139" s="45"/>
      <c r="AB139" s="4"/>
    </row>
    <row r="140" spans="1:28" ht="409.5" x14ac:dyDescent="0.25">
      <c r="A140" s="110"/>
      <c r="B140" s="103"/>
      <c r="C140" s="103"/>
      <c r="D140" s="103"/>
      <c r="E140" s="77"/>
      <c r="F140" s="74" t="s">
        <v>932</v>
      </c>
      <c r="G140" s="74" t="s">
        <v>933</v>
      </c>
      <c r="H140" s="74" t="s">
        <v>921</v>
      </c>
      <c r="I140" s="74"/>
      <c r="J140" s="79"/>
      <c r="K140" s="4"/>
      <c r="L140" s="4"/>
      <c r="M140" s="80"/>
      <c r="N140" s="4"/>
      <c r="O140" s="4"/>
      <c r="P140" s="4"/>
      <c r="Q140" s="4"/>
      <c r="R140" s="4"/>
      <c r="S140" s="4"/>
      <c r="T140" s="4"/>
      <c r="U140" s="4"/>
      <c r="V140" s="4"/>
      <c r="W140" s="4"/>
      <c r="X140" s="4"/>
      <c r="Y140" s="4"/>
      <c r="Z140" s="45"/>
      <c r="AA140" s="45"/>
      <c r="AB140" s="4"/>
    </row>
    <row r="141" spans="1:28" ht="38.25" x14ac:dyDescent="0.25">
      <c r="A141" s="115" t="s">
        <v>934</v>
      </c>
      <c r="B141" s="117" t="s">
        <v>935</v>
      </c>
      <c r="C141" s="101" t="s">
        <v>936</v>
      </c>
      <c r="D141" s="101" t="s">
        <v>937</v>
      </c>
      <c r="E141" s="75"/>
      <c r="F141" s="74" t="s">
        <v>860</v>
      </c>
      <c r="G141" s="74" t="s">
        <v>938</v>
      </c>
      <c r="H141" s="74" t="s">
        <v>939</v>
      </c>
      <c r="I141" s="74"/>
      <c r="J141" s="79"/>
      <c r="K141" s="4"/>
      <c r="L141" s="4"/>
      <c r="M141" s="80"/>
      <c r="N141" s="4"/>
      <c r="O141" s="4"/>
      <c r="P141" s="4"/>
      <c r="Q141" s="4"/>
      <c r="R141" s="4"/>
      <c r="S141" s="4"/>
      <c r="T141" s="4"/>
      <c r="U141" s="4"/>
      <c r="V141" s="4"/>
      <c r="W141" s="4"/>
      <c r="X141" s="4"/>
      <c r="Y141" s="4"/>
      <c r="Z141" s="45"/>
      <c r="AA141" s="45"/>
      <c r="AB141" s="4"/>
    </row>
    <row r="142" spans="1:28" ht="38.25" x14ac:dyDescent="0.25">
      <c r="A142" s="116"/>
      <c r="B142" s="102"/>
      <c r="C142" s="102"/>
      <c r="D142" s="102"/>
      <c r="E142" s="76"/>
      <c r="F142" s="74" t="s">
        <v>863</v>
      </c>
      <c r="G142" s="74" t="s">
        <v>940</v>
      </c>
      <c r="H142" s="74" t="s">
        <v>941</v>
      </c>
      <c r="I142" s="74"/>
      <c r="J142" s="79"/>
      <c r="K142" s="4"/>
      <c r="L142" s="4"/>
      <c r="M142" s="80"/>
      <c r="N142" s="4"/>
      <c r="O142" s="4"/>
      <c r="P142" s="4"/>
      <c r="Q142" s="4"/>
      <c r="R142" s="4"/>
      <c r="S142" s="4"/>
      <c r="T142" s="4"/>
      <c r="U142" s="4"/>
      <c r="V142" s="4"/>
      <c r="W142" s="4"/>
      <c r="X142" s="4"/>
      <c r="Y142" s="4"/>
      <c r="Z142" s="45"/>
      <c r="AA142" s="45"/>
      <c r="AB142" s="4"/>
    </row>
    <row r="143" spans="1:28" ht="38.25" x14ac:dyDescent="0.25">
      <c r="A143" s="116"/>
      <c r="B143" s="102"/>
      <c r="C143" s="102"/>
      <c r="D143" s="102"/>
      <c r="E143" s="76"/>
      <c r="F143" s="74" t="s">
        <v>865</v>
      </c>
      <c r="G143" s="74" t="s">
        <v>942</v>
      </c>
      <c r="H143" s="74" t="s">
        <v>943</v>
      </c>
      <c r="I143" s="74"/>
      <c r="J143" s="79"/>
      <c r="K143" s="4"/>
      <c r="L143" s="4"/>
      <c r="M143" s="80"/>
      <c r="N143" s="4"/>
      <c r="O143" s="4"/>
      <c r="P143" s="4"/>
      <c r="Q143" s="4"/>
      <c r="R143" s="4"/>
      <c r="S143" s="4"/>
      <c r="T143" s="4"/>
      <c r="U143" s="4"/>
      <c r="V143" s="4"/>
      <c r="W143" s="4"/>
      <c r="X143" s="4"/>
      <c r="Y143" s="4"/>
      <c r="Z143" s="45"/>
      <c r="AA143" s="45"/>
      <c r="AB143" s="4"/>
    </row>
    <row r="144" spans="1:28" ht="38.25" x14ac:dyDescent="0.25">
      <c r="A144" s="116"/>
      <c r="B144" s="102"/>
      <c r="C144" s="102"/>
      <c r="D144" s="102"/>
      <c r="E144" s="76"/>
      <c r="F144" s="74" t="s">
        <v>867</v>
      </c>
      <c r="G144" s="74" t="s">
        <v>940</v>
      </c>
      <c r="H144" s="74" t="s">
        <v>941</v>
      </c>
      <c r="I144" s="74"/>
      <c r="J144" s="79"/>
      <c r="K144" s="4"/>
      <c r="L144" s="4"/>
      <c r="M144" s="80"/>
      <c r="N144" s="4"/>
      <c r="O144" s="4"/>
      <c r="P144" s="4"/>
      <c r="Q144" s="4"/>
      <c r="R144" s="4"/>
      <c r="S144" s="4"/>
      <c r="T144" s="4"/>
      <c r="U144" s="4"/>
      <c r="V144" s="4"/>
      <c r="W144" s="4"/>
      <c r="X144" s="4"/>
      <c r="Y144" s="4"/>
      <c r="Z144" s="45"/>
      <c r="AA144" s="45"/>
      <c r="AB144" s="4"/>
    </row>
    <row r="145" spans="1:28" ht="38.25" x14ac:dyDescent="0.25">
      <c r="A145" s="116"/>
      <c r="B145" s="102"/>
      <c r="C145" s="102"/>
      <c r="D145" s="102"/>
      <c r="E145" s="76"/>
      <c r="F145" s="74" t="s">
        <v>895</v>
      </c>
      <c r="G145" s="74" t="s">
        <v>944</v>
      </c>
      <c r="H145" s="74" t="s">
        <v>945</v>
      </c>
      <c r="I145" s="74"/>
      <c r="J145" s="79"/>
      <c r="K145" s="4"/>
      <c r="L145" s="4"/>
      <c r="M145" s="80"/>
      <c r="N145" s="4"/>
      <c r="O145" s="4"/>
      <c r="P145" s="4"/>
      <c r="Q145" s="4"/>
      <c r="R145" s="4"/>
      <c r="S145" s="4"/>
      <c r="T145" s="4"/>
      <c r="U145" s="4"/>
      <c r="V145" s="4"/>
      <c r="W145" s="4"/>
      <c r="X145" s="4"/>
      <c r="Y145" s="4"/>
      <c r="Z145" s="45"/>
      <c r="AA145" s="45"/>
      <c r="AB145" s="4"/>
    </row>
    <row r="146" spans="1:28" ht="38.25" x14ac:dyDescent="0.25">
      <c r="A146" s="116"/>
      <c r="B146" s="102"/>
      <c r="C146" s="102"/>
      <c r="D146" s="102"/>
      <c r="E146" s="76"/>
      <c r="F146" s="74" t="s">
        <v>928</v>
      </c>
      <c r="G146" s="74" t="s">
        <v>946</v>
      </c>
      <c r="H146" s="74" t="s">
        <v>939</v>
      </c>
      <c r="I146" s="74"/>
      <c r="J146" s="79"/>
      <c r="K146" s="4"/>
      <c r="L146" s="4"/>
      <c r="M146" s="80"/>
      <c r="N146" s="4"/>
      <c r="O146" s="4"/>
      <c r="P146" s="4"/>
      <c r="Q146" s="4"/>
      <c r="R146" s="4"/>
      <c r="S146" s="4"/>
      <c r="T146" s="4"/>
      <c r="U146" s="4"/>
      <c r="V146" s="4"/>
      <c r="W146" s="4"/>
      <c r="X146" s="4"/>
      <c r="Y146" s="4"/>
      <c r="Z146" s="45"/>
      <c r="AA146" s="45"/>
      <c r="AB146" s="4"/>
    </row>
    <row r="147" spans="1:28" ht="38.25" x14ac:dyDescent="0.25">
      <c r="A147" s="116"/>
      <c r="B147" s="102"/>
      <c r="C147" s="102"/>
      <c r="D147" s="102"/>
      <c r="E147" s="76"/>
      <c r="F147" s="74" t="s">
        <v>930</v>
      </c>
      <c r="G147" s="74" t="s">
        <v>942</v>
      </c>
      <c r="H147" s="74" t="s">
        <v>943</v>
      </c>
      <c r="I147" s="74"/>
      <c r="J147" s="79"/>
      <c r="K147" s="4"/>
      <c r="L147" s="4"/>
      <c r="M147" s="80"/>
      <c r="N147" s="4"/>
      <c r="O147" s="4"/>
      <c r="P147" s="4"/>
      <c r="Q147" s="4"/>
      <c r="R147" s="4"/>
      <c r="S147" s="4"/>
      <c r="T147" s="4"/>
      <c r="U147" s="4"/>
      <c r="V147" s="4"/>
      <c r="W147" s="4"/>
      <c r="X147" s="4"/>
      <c r="Y147" s="4"/>
      <c r="Z147" s="45"/>
      <c r="AA147" s="45"/>
      <c r="AB147" s="4"/>
    </row>
    <row r="148" spans="1:28" ht="38.25" x14ac:dyDescent="0.25">
      <c r="A148" s="116"/>
      <c r="B148" s="102"/>
      <c r="C148" s="102"/>
      <c r="D148" s="102"/>
      <c r="E148" s="76"/>
      <c r="F148" s="74" t="s">
        <v>932</v>
      </c>
      <c r="G148" s="74" t="s">
        <v>944</v>
      </c>
      <c r="H148" s="74" t="s">
        <v>945</v>
      </c>
      <c r="I148" s="74"/>
      <c r="J148" s="79"/>
      <c r="K148" s="4"/>
      <c r="L148" s="4"/>
      <c r="M148" s="80"/>
      <c r="N148" s="4"/>
      <c r="O148" s="4"/>
      <c r="P148" s="4"/>
      <c r="Q148" s="4"/>
      <c r="R148" s="4"/>
      <c r="S148" s="4"/>
      <c r="T148" s="4"/>
      <c r="U148" s="4"/>
      <c r="V148" s="4"/>
      <c r="W148" s="4"/>
      <c r="X148" s="4"/>
      <c r="Y148" s="4"/>
      <c r="Z148" s="45"/>
      <c r="AA148" s="45"/>
      <c r="AB148" s="4"/>
    </row>
    <row r="149" spans="1:28" ht="38.25" x14ac:dyDescent="0.25">
      <c r="A149" s="116"/>
      <c r="B149" s="103"/>
      <c r="C149" s="103"/>
      <c r="D149" s="103"/>
      <c r="E149" s="77"/>
      <c r="F149" s="74" t="s">
        <v>947</v>
      </c>
      <c r="G149" s="74" t="s">
        <v>948</v>
      </c>
      <c r="H149" s="74" t="s">
        <v>939</v>
      </c>
      <c r="I149" s="74"/>
      <c r="J149" s="79"/>
      <c r="K149" s="4"/>
      <c r="L149" s="4"/>
      <c r="M149" s="80"/>
      <c r="N149" s="4"/>
      <c r="O149" s="4"/>
      <c r="P149" s="4"/>
      <c r="Q149" s="4"/>
      <c r="R149" s="4"/>
      <c r="S149" s="4"/>
      <c r="T149" s="4"/>
      <c r="U149" s="4"/>
      <c r="V149" s="4"/>
      <c r="W149" s="4"/>
      <c r="X149" s="4"/>
      <c r="Y149" s="4"/>
      <c r="Z149" s="45"/>
      <c r="AA149" s="45"/>
      <c r="AB149" s="4"/>
    </row>
    <row r="150" spans="1:28" ht="357" x14ac:dyDescent="0.25">
      <c r="A150" s="78" t="s">
        <v>949</v>
      </c>
      <c r="B150" s="74" t="s">
        <v>46</v>
      </c>
      <c r="C150" s="74" t="s">
        <v>950</v>
      </c>
      <c r="D150" s="74" t="s">
        <v>951</v>
      </c>
      <c r="E150" s="74"/>
      <c r="F150" s="74" t="s">
        <v>860</v>
      </c>
      <c r="G150" s="74" t="s">
        <v>952</v>
      </c>
      <c r="H150" s="74" t="s">
        <v>621</v>
      </c>
      <c r="I150" s="74"/>
      <c r="J150" s="79"/>
      <c r="K150" s="4"/>
      <c r="L150" s="4"/>
      <c r="M150" s="80"/>
      <c r="N150" s="4"/>
      <c r="O150" s="4"/>
      <c r="P150" s="4"/>
      <c r="Q150" s="4"/>
      <c r="R150" s="4"/>
      <c r="S150" s="4"/>
      <c r="T150" s="93"/>
      <c r="U150" s="4"/>
      <c r="V150" s="4"/>
      <c r="W150" s="4"/>
      <c r="X150" s="4"/>
      <c r="Y150" s="4"/>
      <c r="Z150" s="45" t="s">
        <v>246</v>
      </c>
      <c r="AA150" s="92"/>
      <c r="AB150" s="4"/>
    </row>
    <row r="151" spans="1:28" ht="89.25" x14ac:dyDescent="0.25">
      <c r="A151" s="78" t="s">
        <v>953</v>
      </c>
      <c r="B151" s="75" t="s">
        <v>47</v>
      </c>
      <c r="C151" s="75" t="s">
        <v>954</v>
      </c>
      <c r="D151" s="75" t="s">
        <v>955</v>
      </c>
      <c r="E151" s="75"/>
      <c r="F151" s="74" t="s">
        <v>860</v>
      </c>
      <c r="G151" s="74" t="s">
        <v>956</v>
      </c>
      <c r="H151" s="74" t="s">
        <v>957</v>
      </c>
      <c r="I151" s="74"/>
      <c r="J151" s="79"/>
      <c r="K151" s="4"/>
      <c r="L151" s="4"/>
      <c r="M151" s="80"/>
      <c r="N151" s="4"/>
      <c r="O151" s="4"/>
      <c r="P151" s="4"/>
      <c r="Q151" s="4"/>
      <c r="R151" s="4"/>
      <c r="S151" s="4"/>
      <c r="T151" s="93"/>
      <c r="U151" s="4"/>
      <c r="V151" s="4"/>
      <c r="W151" s="4"/>
      <c r="X151" s="4"/>
      <c r="Y151" s="4"/>
      <c r="Z151" s="45" t="s">
        <v>246</v>
      </c>
      <c r="AA151" s="92"/>
      <c r="AB151" s="4"/>
    </row>
    <row r="152" spans="1:28" ht="267.75" x14ac:dyDescent="0.25">
      <c r="A152" s="78" t="s">
        <v>958</v>
      </c>
      <c r="B152" s="99" t="s">
        <v>959</v>
      </c>
      <c r="C152" s="118" t="s">
        <v>699</v>
      </c>
      <c r="D152" s="113"/>
      <c r="E152" s="113"/>
      <c r="F152" s="74" t="s">
        <v>860</v>
      </c>
      <c r="G152" s="74" t="s">
        <v>709</v>
      </c>
      <c r="H152" s="74" t="s">
        <v>710</v>
      </c>
      <c r="I152" s="74"/>
      <c r="J152" s="79"/>
      <c r="K152" s="4"/>
      <c r="L152" s="4"/>
      <c r="M152" s="80"/>
      <c r="N152" s="4"/>
      <c r="O152" s="4"/>
      <c r="P152" s="4"/>
      <c r="Q152" s="4"/>
      <c r="R152" s="4"/>
      <c r="S152" s="4"/>
      <c r="T152" s="112">
        <v>1</v>
      </c>
      <c r="U152" s="4"/>
      <c r="V152" s="4"/>
      <c r="W152" s="4"/>
      <c r="X152" s="4"/>
      <c r="Y152" s="4"/>
      <c r="Z152" s="45"/>
      <c r="AA152" s="45"/>
      <c r="AB152" s="4"/>
    </row>
    <row r="153" spans="1:28" ht="267.75" x14ac:dyDescent="0.25">
      <c r="A153" s="78" t="s">
        <v>958</v>
      </c>
      <c r="B153" s="100"/>
      <c r="C153" s="119"/>
      <c r="D153" s="114"/>
      <c r="E153" s="114"/>
      <c r="F153" s="74" t="s">
        <v>863</v>
      </c>
      <c r="G153" s="74" t="s">
        <v>703</v>
      </c>
      <c r="H153" s="74" t="s">
        <v>704</v>
      </c>
      <c r="I153" s="74"/>
      <c r="J153" s="79"/>
      <c r="K153" s="4"/>
      <c r="L153" s="4"/>
      <c r="M153" s="80"/>
      <c r="N153" s="4"/>
      <c r="O153" s="4"/>
      <c r="P153" s="4"/>
      <c r="Q153" s="4"/>
      <c r="R153" s="4"/>
      <c r="S153" s="4"/>
      <c r="T153" s="112"/>
      <c r="U153" s="4"/>
      <c r="V153" s="4"/>
      <c r="W153" s="4"/>
      <c r="X153" s="4"/>
      <c r="Y153" s="4"/>
      <c r="Z153" s="45"/>
      <c r="AA153" s="45"/>
      <c r="AB153" s="4"/>
    </row>
    <row r="154" spans="1:28" ht="293.25" x14ac:dyDescent="0.25">
      <c r="A154" s="78" t="s">
        <v>960</v>
      </c>
      <c r="B154" s="74" t="s">
        <v>49</v>
      </c>
      <c r="C154" s="74" t="s">
        <v>961</v>
      </c>
      <c r="D154" s="74" t="s">
        <v>962</v>
      </c>
      <c r="E154" s="74"/>
      <c r="F154" s="74" t="s">
        <v>860</v>
      </c>
      <c r="G154" s="74" t="s">
        <v>963</v>
      </c>
      <c r="H154" s="74" t="s">
        <v>716</v>
      </c>
      <c r="I154" s="74"/>
      <c r="J154" s="79"/>
      <c r="K154" s="4"/>
      <c r="L154" s="4"/>
      <c r="M154" s="80"/>
      <c r="N154" s="4"/>
      <c r="O154" s="4"/>
      <c r="P154" s="4"/>
      <c r="Q154" s="4"/>
      <c r="R154" s="4"/>
      <c r="S154" s="4"/>
      <c r="T154" s="93"/>
      <c r="U154" s="4"/>
      <c r="V154" s="4"/>
      <c r="W154" s="4"/>
      <c r="X154" s="4"/>
      <c r="Y154" s="4"/>
      <c r="Z154" s="45" t="s">
        <v>246</v>
      </c>
      <c r="AA154" s="92"/>
      <c r="AB154" s="4"/>
    </row>
    <row r="155" spans="1:28" ht="409.5" x14ac:dyDescent="0.25">
      <c r="A155" s="78" t="s">
        <v>964</v>
      </c>
      <c r="B155" s="74" t="s">
        <v>51</v>
      </c>
      <c r="C155" s="74" t="s">
        <v>965</v>
      </c>
      <c r="D155" s="74" t="s">
        <v>966</v>
      </c>
      <c r="E155" s="74"/>
      <c r="F155" s="74" t="s">
        <v>860</v>
      </c>
      <c r="G155" s="74" t="s">
        <v>966</v>
      </c>
      <c r="H155" s="74" t="s">
        <v>965</v>
      </c>
      <c r="I155" s="74"/>
      <c r="J155" s="79"/>
      <c r="K155" s="4"/>
      <c r="L155" s="4"/>
      <c r="M155" s="80"/>
      <c r="N155" s="4"/>
      <c r="O155" s="4"/>
      <c r="P155" s="4"/>
      <c r="Q155" s="4"/>
      <c r="R155" s="4"/>
      <c r="S155" s="4"/>
      <c r="T155" s="4">
        <v>1</v>
      </c>
      <c r="U155" s="4"/>
      <c r="V155" s="4"/>
      <c r="W155" s="4"/>
      <c r="X155" s="4"/>
      <c r="Y155" s="4"/>
      <c r="Z155" s="45" t="s">
        <v>394</v>
      </c>
      <c r="AA155" s="4" t="s">
        <v>394</v>
      </c>
      <c r="AB155" s="4"/>
    </row>
    <row r="156" spans="1:28" ht="409.5" x14ac:dyDescent="0.25">
      <c r="A156" s="78" t="s">
        <v>967</v>
      </c>
      <c r="B156" s="74" t="s">
        <v>52</v>
      </c>
      <c r="C156" s="74" t="s">
        <v>968</v>
      </c>
      <c r="D156" s="74" t="s">
        <v>969</v>
      </c>
      <c r="E156" s="74"/>
      <c r="F156" s="74" t="s">
        <v>860</v>
      </c>
      <c r="G156" s="74" t="s">
        <v>970</v>
      </c>
      <c r="H156" s="74" t="s">
        <v>971</v>
      </c>
      <c r="I156" s="74"/>
      <c r="J156" s="79"/>
      <c r="K156" s="4"/>
      <c r="L156" s="4"/>
      <c r="M156" s="80"/>
      <c r="N156" s="4"/>
      <c r="O156" s="4"/>
      <c r="P156" s="4"/>
      <c r="Q156" s="4"/>
      <c r="R156" s="4"/>
      <c r="S156" s="4"/>
      <c r="T156" s="93"/>
      <c r="U156" s="4"/>
      <c r="V156" s="4"/>
      <c r="W156" s="4"/>
      <c r="X156" s="4"/>
      <c r="Y156" s="4"/>
      <c r="Z156" s="45" t="s">
        <v>972</v>
      </c>
      <c r="AA156" s="92"/>
      <c r="AB156" s="4"/>
    </row>
    <row r="157" spans="1:28" ht="409.5" x14ac:dyDescent="0.25">
      <c r="A157" s="78" t="s">
        <v>973</v>
      </c>
      <c r="B157" s="74" t="s">
        <v>53</v>
      </c>
      <c r="C157" s="74" t="s">
        <v>974</v>
      </c>
      <c r="D157" s="74" t="s">
        <v>975</v>
      </c>
      <c r="E157" s="74"/>
      <c r="F157" s="74" t="s">
        <v>860</v>
      </c>
      <c r="G157" s="74" t="s">
        <v>976</v>
      </c>
      <c r="H157" s="74" t="s">
        <v>977</v>
      </c>
      <c r="I157" s="74"/>
      <c r="J157" s="79"/>
      <c r="K157" s="4"/>
      <c r="L157" s="4"/>
      <c r="M157" s="80"/>
      <c r="N157" s="4"/>
      <c r="O157" s="4"/>
      <c r="P157" s="4"/>
      <c r="Q157" s="4"/>
      <c r="R157" s="4"/>
      <c r="S157" s="4"/>
      <c r="T157" s="93"/>
      <c r="U157" s="4"/>
      <c r="V157" s="4"/>
      <c r="W157" s="4"/>
      <c r="X157" s="4"/>
      <c r="Y157" s="4"/>
      <c r="Z157" s="45" t="s">
        <v>246</v>
      </c>
      <c r="AA157" s="92"/>
      <c r="AB157" s="4"/>
    </row>
    <row r="158" spans="1:28" ht="408" x14ac:dyDescent="0.25">
      <c r="A158" s="78" t="s">
        <v>978</v>
      </c>
      <c r="B158" s="74" t="s">
        <v>54</v>
      </c>
      <c r="C158" s="74" t="s">
        <v>979</v>
      </c>
      <c r="D158" s="74" t="s">
        <v>980</v>
      </c>
      <c r="E158" s="74"/>
      <c r="F158" s="74" t="s">
        <v>860</v>
      </c>
      <c r="G158" s="74" t="s">
        <v>981</v>
      </c>
      <c r="H158" s="74" t="s">
        <v>979</v>
      </c>
      <c r="I158" s="74"/>
      <c r="J158" s="79"/>
      <c r="K158" s="4"/>
      <c r="L158" s="4"/>
      <c r="M158" s="80"/>
      <c r="N158" s="4"/>
      <c r="O158" s="4"/>
      <c r="P158" s="4"/>
      <c r="Q158" s="4"/>
      <c r="R158" s="4"/>
      <c r="S158" s="4"/>
      <c r="T158" s="93"/>
      <c r="U158" s="4"/>
      <c r="V158" s="4"/>
      <c r="W158" s="4"/>
      <c r="X158" s="4"/>
      <c r="Y158" s="4"/>
      <c r="Z158" s="45" t="s">
        <v>982</v>
      </c>
      <c r="AA158" s="92"/>
      <c r="AB158" s="4"/>
    </row>
    <row r="159" spans="1:28" ht="165.75" x14ac:dyDescent="0.25">
      <c r="A159" s="78" t="s">
        <v>983</v>
      </c>
      <c r="B159" s="74" t="s">
        <v>55</v>
      </c>
      <c r="C159" s="74" t="s">
        <v>764</v>
      </c>
      <c r="D159" s="74" t="s">
        <v>763</v>
      </c>
      <c r="E159" s="74"/>
      <c r="F159" s="74" t="s">
        <v>860</v>
      </c>
      <c r="G159" s="74" t="s">
        <v>984</v>
      </c>
      <c r="H159" s="74" t="s">
        <v>764</v>
      </c>
      <c r="I159" s="74"/>
      <c r="J159" s="79"/>
      <c r="K159" s="4"/>
      <c r="L159" s="4"/>
      <c r="M159" s="80"/>
      <c r="N159" s="4"/>
      <c r="O159" s="4"/>
      <c r="P159" s="4"/>
      <c r="Q159" s="4"/>
      <c r="R159" s="4"/>
      <c r="S159" s="4"/>
      <c r="T159" s="93"/>
      <c r="U159" s="4"/>
      <c r="V159" s="4"/>
      <c r="W159" s="4"/>
      <c r="X159" s="4"/>
      <c r="Y159" s="4"/>
      <c r="Z159" s="45" t="s">
        <v>985</v>
      </c>
      <c r="AA159" s="92"/>
      <c r="AB159" s="4"/>
    </row>
    <row r="160" spans="1:28" ht="153" x14ac:dyDescent="0.25">
      <c r="A160" s="78" t="s">
        <v>986</v>
      </c>
      <c r="B160" s="74" t="s">
        <v>56</v>
      </c>
      <c r="C160" s="74" t="s">
        <v>767</v>
      </c>
      <c r="D160" s="74" t="s">
        <v>766</v>
      </c>
      <c r="E160" s="74"/>
      <c r="F160" s="74" t="s">
        <v>860</v>
      </c>
      <c r="G160" s="74" t="s">
        <v>987</v>
      </c>
      <c r="H160" s="74" t="s">
        <v>767</v>
      </c>
      <c r="I160" s="74"/>
      <c r="J160" s="79"/>
      <c r="K160" s="4"/>
      <c r="L160" s="4"/>
      <c r="M160" s="80"/>
      <c r="N160" s="4"/>
      <c r="O160" s="4"/>
      <c r="P160" s="4"/>
      <c r="Q160" s="4"/>
      <c r="R160" s="4"/>
      <c r="S160" s="4"/>
      <c r="T160" s="4">
        <v>0</v>
      </c>
      <c r="U160" s="4" t="s">
        <v>988</v>
      </c>
      <c r="V160" s="4"/>
      <c r="W160" s="4"/>
      <c r="X160" s="4"/>
      <c r="Y160" s="4"/>
      <c r="Z160" s="45" t="s">
        <v>989</v>
      </c>
      <c r="AA160" s="92"/>
      <c r="AB160" s="4"/>
    </row>
    <row r="161" spans="1:28" ht="63.75" x14ac:dyDescent="0.25">
      <c r="A161" s="78" t="s">
        <v>990</v>
      </c>
      <c r="B161" s="101" t="s">
        <v>991</v>
      </c>
      <c r="C161" s="101" t="s">
        <v>992</v>
      </c>
      <c r="D161" s="101" t="s">
        <v>993</v>
      </c>
      <c r="E161" s="75"/>
      <c r="F161" s="74" t="s">
        <v>860</v>
      </c>
      <c r="G161" s="74" t="s">
        <v>994</v>
      </c>
      <c r="H161" s="74" t="s">
        <v>995</v>
      </c>
      <c r="I161" s="74"/>
      <c r="J161" s="79"/>
      <c r="K161" s="4"/>
      <c r="L161" s="4"/>
      <c r="M161" s="80"/>
      <c r="N161" s="4"/>
      <c r="O161" s="4"/>
      <c r="P161" s="4"/>
      <c r="Q161" s="4"/>
      <c r="R161" s="4"/>
      <c r="S161" s="4"/>
      <c r="T161" s="4"/>
      <c r="U161" s="4"/>
      <c r="V161" s="4"/>
      <c r="W161" s="4"/>
      <c r="X161" s="4"/>
      <c r="Y161" s="4"/>
      <c r="Z161" s="45"/>
      <c r="AA161" s="45"/>
      <c r="AB161" s="4"/>
    </row>
    <row r="162" spans="1:28" ht="38.25" x14ac:dyDescent="0.25">
      <c r="A162" s="78" t="s">
        <v>990</v>
      </c>
      <c r="B162" s="103"/>
      <c r="C162" s="103"/>
      <c r="D162" s="103"/>
      <c r="E162" s="77"/>
      <c r="F162" s="74" t="s">
        <v>863</v>
      </c>
      <c r="G162" s="74" t="s">
        <v>996</v>
      </c>
      <c r="H162" s="74" t="s">
        <v>997</v>
      </c>
      <c r="I162" s="74"/>
      <c r="J162" s="79"/>
      <c r="K162" s="4"/>
      <c r="L162" s="4"/>
      <c r="M162" s="80"/>
      <c r="N162" s="4"/>
      <c r="O162" s="4"/>
      <c r="P162" s="4"/>
      <c r="Q162" s="4"/>
      <c r="R162" s="4"/>
      <c r="S162" s="4"/>
      <c r="T162" s="4"/>
      <c r="U162" s="4"/>
      <c r="V162" s="4"/>
      <c r="W162" s="4"/>
      <c r="X162" s="4"/>
      <c r="Y162" s="4"/>
      <c r="Z162" s="45"/>
      <c r="AA162" s="45"/>
      <c r="AB162" s="4"/>
    </row>
    <row r="163" spans="1:28" ht="76.5" x14ac:dyDescent="0.25">
      <c r="A163" s="78" t="s">
        <v>998</v>
      </c>
      <c r="B163" s="74" t="s">
        <v>57</v>
      </c>
      <c r="C163" s="74" t="s">
        <v>999</v>
      </c>
      <c r="D163" s="74" t="s">
        <v>1000</v>
      </c>
      <c r="E163" s="74"/>
      <c r="F163" s="74" t="s">
        <v>860</v>
      </c>
      <c r="G163" s="74" t="s">
        <v>404</v>
      </c>
      <c r="H163" s="74" t="s">
        <v>405</v>
      </c>
      <c r="I163" s="74"/>
      <c r="J163" s="79"/>
      <c r="K163" s="4"/>
      <c r="L163" s="4"/>
      <c r="M163" s="80"/>
      <c r="N163" s="4"/>
      <c r="O163" s="4"/>
      <c r="P163" s="4"/>
      <c r="Q163" s="4"/>
      <c r="R163" s="4"/>
      <c r="S163" s="4"/>
      <c r="T163" s="93"/>
      <c r="U163" s="4"/>
      <c r="V163" s="4"/>
      <c r="W163" s="4"/>
      <c r="X163" s="4"/>
      <c r="Y163" s="4"/>
      <c r="Z163" s="45" t="s">
        <v>246</v>
      </c>
      <c r="AA163" s="92"/>
      <c r="AB163" s="4"/>
    </row>
    <row r="164" spans="1:28" ht="114.75" x14ac:dyDescent="0.25">
      <c r="A164" s="78" t="s">
        <v>1001</v>
      </c>
      <c r="B164" s="98" t="s">
        <v>1002</v>
      </c>
      <c r="C164" s="98" t="s">
        <v>1003</v>
      </c>
      <c r="D164" s="74" t="s">
        <v>1004</v>
      </c>
      <c r="E164" s="74"/>
      <c r="F164" s="74" t="s">
        <v>860</v>
      </c>
      <c r="G164" s="74" t="s">
        <v>640</v>
      </c>
      <c r="H164" s="74" t="s">
        <v>641</v>
      </c>
      <c r="I164" s="74"/>
      <c r="J164" s="79"/>
      <c r="K164" s="4"/>
      <c r="L164" s="4"/>
      <c r="M164" s="80"/>
      <c r="N164" s="4"/>
      <c r="O164" s="4"/>
      <c r="P164" s="4"/>
      <c r="Q164" s="4"/>
      <c r="R164" s="4"/>
      <c r="S164" s="4"/>
      <c r="T164" s="4"/>
      <c r="U164" s="4"/>
      <c r="V164" s="4"/>
      <c r="W164" s="4"/>
      <c r="X164" s="4"/>
      <c r="Y164" s="4"/>
      <c r="Z164" s="45"/>
      <c r="AA164" s="45"/>
      <c r="AB164" s="4"/>
    </row>
    <row r="165" spans="1:28" ht="409.5" x14ac:dyDescent="0.25">
      <c r="A165" s="78" t="s">
        <v>1001</v>
      </c>
      <c r="B165" s="100"/>
      <c r="C165" s="100"/>
      <c r="D165" s="74"/>
      <c r="E165" s="74"/>
      <c r="F165" s="74" t="s">
        <v>863</v>
      </c>
      <c r="G165" s="74" t="s">
        <v>646</v>
      </c>
      <c r="H165" s="74" t="s">
        <v>647</v>
      </c>
      <c r="I165" s="74"/>
      <c r="J165" s="79"/>
      <c r="K165" s="4"/>
      <c r="L165" s="4"/>
      <c r="M165" s="80"/>
      <c r="N165" s="4"/>
      <c r="O165" s="4"/>
      <c r="P165" s="4"/>
      <c r="Q165" s="4"/>
      <c r="R165" s="4"/>
      <c r="S165" s="4"/>
      <c r="T165" s="4"/>
      <c r="U165" s="4"/>
      <c r="V165" s="4"/>
      <c r="W165" s="4"/>
      <c r="X165" s="4"/>
      <c r="Y165" s="4"/>
      <c r="Z165" s="45"/>
      <c r="AA165" s="45"/>
      <c r="AB165" s="4"/>
    </row>
    <row r="166" spans="1:28" ht="114.75" x14ac:dyDescent="0.25">
      <c r="A166" s="78" t="s">
        <v>1005</v>
      </c>
      <c r="B166" s="74" t="s">
        <v>58</v>
      </c>
      <c r="C166" s="74" t="s">
        <v>1006</v>
      </c>
      <c r="D166" s="74" t="s">
        <v>1007</v>
      </c>
      <c r="E166" s="74"/>
      <c r="F166" s="74" t="s">
        <v>860</v>
      </c>
      <c r="G166" s="74" t="s">
        <v>1008</v>
      </c>
      <c r="H166" s="74" t="s">
        <v>1009</v>
      </c>
      <c r="I166" s="74"/>
      <c r="J166" s="79"/>
      <c r="K166" s="4"/>
      <c r="L166" s="4"/>
      <c r="M166" s="80"/>
      <c r="N166" s="4"/>
      <c r="O166" s="4"/>
      <c r="P166" s="4"/>
      <c r="Q166" s="4"/>
      <c r="R166" s="4"/>
      <c r="S166" s="4"/>
      <c r="T166" s="93"/>
      <c r="U166" s="4"/>
      <c r="V166" s="4"/>
      <c r="W166" s="4"/>
      <c r="X166" s="4"/>
      <c r="Y166" s="4"/>
      <c r="Z166" s="45" t="s">
        <v>1010</v>
      </c>
      <c r="AA166" s="92"/>
      <c r="AB166" s="4"/>
    </row>
    <row r="167" spans="1:28" ht="38.25" x14ac:dyDescent="0.25">
      <c r="A167" s="78" t="s">
        <v>1011</v>
      </c>
      <c r="B167" s="101" t="s">
        <v>1012</v>
      </c>
      <c r="C167" s="101" t="s">
        <v>1013</v>
      </c>
      <c r="D167" s="101" t="s">
        <v>1014</v>
      </c>
      <c r="E167" s="75"/>
      <c r="F167" s="74" t="s">
        <v>860</v>
      </c>
      <c r="G167" s="74" t="s">
        <v>1015</v>
      </c>
      <c r="H167" s="74" t="s">
        <v>1016</v>
      </c>
      <c r="I167" s="74"/>
      <c r="J167" s="79"/>
      <c r="K167" s="4"/>
      <c r="L167" s="4"/>
      <c r="M167" s="80"/>
      <c r="N167" s="4"/>
      <c r="O167" s="4"/>
      <c r="P167" s="4"/>
      <c r="Q167" s="4"/>
      <c r="R167" s="4"/>
      <c r="S167" s="4"/>
      <c r="T167" s="4"/>
      <c r="U167" s="4"/>
      <c r="V167" s="4"/>
      <c r="W167" s="4"/>
      <c r="X167" s="4"/>
      <c r="Y167" s="4"/>
      <c r="Z167" s="45"/>
      <c r="AA167" s="45"/>
      <c r="AB167" s="4"/>
    </row>
    <row r="168" spans="1:28" ht="38.25" x14ac:dyDescent="0.25">
      <c r="A168" s="78" t="s">
        <v>1011</v>
      </c>
      <c r="B168" s="103"/>
      <c r="C168" s="103"/>
      <c r="D168" s="103"/>
      <c r="E168" s="77"/>
      <c r="F168" s="74" t="s">
        <v>863</v>
      </c>
      <c r="G168" s="74" t="s">
        <v>1017</v>
      </c>
      <c r="H168" s="74" t="s">
        <v>1018</v>
      </c>
      <c r="I168" s="74"/>
      <c r="J168" s="79"/>
      <c r="K168" s="4"/>
      <c r="L168" s="4"/>
      <c r="M168" s="80"/>
      <c r="N168" s="4"/>
      <c r="O168" s="4"/>
      <c r="P168" s="4"/>
      <c r="Q168" s="4"/>
      <c r="R168" s="4"/>
      <c r="S168" s="4"/>
      <c r="T168" s="4"/>
      <c r="U168" s="4"/>
      <c r="V168" s="4"/>
      <c r="W168" s="4"/>
      <c r="X168" s="4"/>
      <c r="Y168" s="4"/>
      <c r="Z168" s="45"/>
      <c r="AA168" s="45"/>
      <c r="AB168" s="4"/>
    </row>
    <row r="169" spans="1:28" ht="63.75" x14ac:dyDescent="0.25">
      <c r="A169" s="78" t="s">
        <v>1019</v>
      </c>
      <c r="B169" s="101" t="s">
        <v>1020</v>
      </c>
      <c r="C169" s="101" t="s">
        <v>1021</v>
      </c>
      <c r="D169" s="101" t="s">
        <v>1022</v>
      </c>
      <c r="E169" s="75"/>
      <c r="F169" s="74" t="s">
        <v>860</v>
      </c>
      <c r="G169" s="74" t="s">
        <v>257</v>
      </c>
      <c r="H169" s="74" t="s">
        <v>258</v>
      </c>
      <c r="I169" s="74"/>
      <c r="J169" s="79"/>
      <c r="K169" s="4"/>
      <c r="L169" s="4"/>
      <c r="M169" s="80"/>
      <c r="N169" s="4"/>
      <c r="O169" s="4"/>
      <c r="P169" s="4"/>
      <c r="Q169" s="4"/>
      <c r="R169" s="4"/>
      <c r="S169" s="4"/>
      <c r="T169" s="4"/>
      <c r="U169" s="4"/>
      <c r="V169" s="4"/>
      <c r="W169" s="4"/>
      <c r="X169" s="4"/>
      <c r="Y169" s="4"/>
      <c r="Z169" s="45"/>
      <c r="AA169" s="45"/>
      <c r="AB169" s="4"/>
    </row>
    <row r="170" spans="1:28" ht="127.5" x14ac:dyDescent="0.25">
      <c r="A170" s="78" t="s">
        <v>1019</v>
      </c>
      <c r="B170" s="103"/>
      <c r="C170" s="103"/>
      <c r="D170" s="103"/>
      <c r="E170" s="77"/>
      <c r="F170" s="74" t="s">
        <v>863</v>
      </c>
      <c r="G170" s="74" t="s">
        <v>253</v>
      </c>
      <c r="H170" s="74" t="s">
        <v>254</v>
      </c>
      <c r="I170" s="74"/>
      <c r="J170" s="79"/>
      <c r="K170" s="4"/>
      <c r="L170" s="4"/>
      <c r="M170" s="80"/>
      <c r="N170" s="4"/>
      <c r="O170" s="4"/>
      <c r="P170" s="4"/>
      <c r="Q170" s="4"/>
      <c r="R170" s="4"/>
      <c r="S170" s="4"/>
      <c r="T170" s="4"/>
      <c r="U170" s="4"/>
      <c r="V170" s="4"/>
      <c r="W170" s="4"/>
      <c r="X170" s="4"/>
      <c r="Y170" s="4"/>
      <c r="Z170" s="45"/>
      <c r="AA170" s="45"/>
      <c r="AB170" s="4"/>
    </row>
    <row r="171" spans="1:28" ht="127.5" x14ac:dyDescent="0.25">
      <c r="A171" s="78" t="s">
        <v>1023</v>
      </c>
      <c r="B171" s="74" t="s">
        <v>1024</v>
      </c>
      <c r="C171" s="74" t="s">
        <v>604</v>
      </c>
      <c r="D171" s="74" t="s">
        <v>603</v>
      </c>
      <c r="E171" s="74"/>
      <c r="F171" s="74" t="s">
        <v>860</v>
      </c>
      <c r="G171" s="74" t="s">
        <v>603</v>
      </c>
      <c r="H171" s="74" t="s">
        <v>604</v>
      </c>
      <c r="I171" s="74"/>
      <c r="J171" s="79"/>
      <c r="K171" s="4"/>
      <c r="L171" s="4"/>
      <c r="M171" s="80"/>
      <c r="N171" s="4"/>
      <c r="O171" s="4"/>
      <c r="P171" s="4"/>
      <c r="Q171" s="4"/>
      <c r="R171" s="4"/>
      <c r="S171" s="4"/>
      <c r="T171" s="4">
        <v>1</v>
      </c>
      <c r="U171" s="4"/>
      <c r="V171" s="4"/>
      <c r="W171" s="4"/>
      <c r="X171" s="4"/>
      <c r="Y171" s="4"/>
      <c r="Z171" s="45"/>
      <c r="AA171" s="45"/>
      <c r="AB171" s="4"/>
    </row>
    <row r="172" spans="1:28" ht="76.5" x14ac:dyDescent="0.25">
      <c r="A172" s="78" t="s">
        <v>1025</v>
      </c>
      <c r="B172" s="98" t="s">
        <v>1026</v>
      </c>
      <c r="C172" s="98" t="s">
        <v>776</v>
      </c>
      <c r="D172" s="74" t="s">
        <v>1027</v>
      </c>
      <c r="E172" s="74"/>
      <c r="F172" s="74" t="s">
        <v>860</v>
      </c>
      <c r="G172" s="74" t="s">
        <v>772</v>
      </c>
      <c r="H172" s="74" t="s">
        <v>668</v>
      </c>
      <c r="I172" s="74"/>
      <c r="J172" s="79"/>
      <c r="K172" s="4"/>
      <c r="L172" s="4"/>
      <c r="M172" s="80"/>
      <c r="N172" s="4"/>
      <c r="O172" s="4"/>
      <c r="P172" s="4"/>
      <c r="Q172" s="4"/>
      <c r="R172" s="4"/>
      <c r="S172" s="4"/>
      <c r="T172" s="4"/>
      <c r="U172" s="4"/>
      <c r="V172" s="4"/>
      <c r="W172" s="4"/>
      <c r="X172" s="4"/>
      <c r="Y172" s="4"/>
      <c r="Z172" s="45"/>
      <c r="AA172" s="45"/>
      <c r="AB172" s="4"/>
    </row>
    <row r="173" spans="1:28" ht="38.25" x14ac:dyDescent="0.25">
      <c r="A173" s="78" t="s">
        <v>1025</v>
      </c>
      <c r="B173" s="100"/>
      <c r="C173" s="100"/>
      <c r="D173" s="74"/>
      <c r="E173" s="74"/>
      <c r="F173" s="74" t="s">
        <v>863</v>
      </c>
      <c r="G173" s="74" t="s">
        <v>630</v>
      </c>
      <c r="H173" s="74" t="s">
        <v>631</v>
      </c>
      <c r="I173" s="74"/>
      <c r="J173" s="79"/>
      <c r="K173" s="4"/>
      <c r="L173" s="4"/>
      <c r="M173" s="80"/>
      <c r="N173" s="4"/>
      <c r="O173" s="4"/>
      <c r="P173" s="4"/>
      <c r="Q173" s="4"/>
      <c r="R173" s="4"/>
      <c r="S173" s="4"/>
      <c r="T173" s="4"/>
      <c r="U173" s="4"/>
      <c r="V173" s="4"/>
      <c r="W173" s="4"/>
      <c r="X173" s="4"/>
      <c r="Y173" s="4"/>
      <c r="Z173" s="45"/>
      <c r="AA173" s="45"/>
      <c r="AB173" s="4"/>
    </row>
    <row r="174" spans="1:28" ht="38.25" x14ac:dyDescent="0.25">
      <c r="A174" s="78" t="s">
        <v>1028</v>
      </c>
      <c r="B174" s="101" t="s">
        <v>1029</v>
      </c>
      <c r="C174" s="101" t="s">
        <v>1030</v>
      </c>
      <c r="D174" s="101" t="s">
        <v>1031</v>
      </c>
      <c r="E174" s="75"/>
      <c r="F174" s="74" t="s">
        <v>860</v>
      </c>
      <c r="G174" s="74" t="s">
        <v>663</v>
      </c>
      <c r="H174" s="74" t="s">
        <v>631</v>
      </c>
      <c r="I174" s="74"/>
      <c r="J174" s="79"/>
      <c r="K174" s="4"/>
      <c r="L174" s="4"/>
      <c r="M174" s="80"/>
      <c r="N174" s="4"/>
      <c r="O174" s="4"/>
      <c r="P174" s="4"/>
      <c r="Q174" s="4"/>
      <c r="R174" s="4"/>
      <c r="S174" s="4"/>
      <c r="T174" s="4"/>
      <c r="U174" s="4"/>
      <c r="V174" s="4"/>
      <c r="W174" s="4"/>
      <c r="X174" s="4"/>
      <c r="Y174" s="4"/>
      <c r="Z174" s="45"/>
      <c r="AA174" s="45"/>
      <c r="AB174" s="4"/>
    </row>
    <row r="175" spans="1:28" ht="76.5" x14ac:dyDescent="0.25">
      <c r="A175" s="78" t="s">
        <v>1028</v>
      </c>
      <c r="B175" s="103"/>
      <c r="C175" s="103"/>
      <c r="D175" s="103"/>
      <c r="E175" s="77"/>
      <c r="F175" s="74" t="s">
        <v>863</v>
      </c>
      <c r="G175" s="74" t="s">
        <v>667</v>
      </c>
      <c r="H175" s="74" t="s">
        <v>668</v>
      </c>
      <c r="I175" s="74"/>
      <c r="J175" s="79"/>
      <c r="K175" s="4"/>
      <c r="L175" s="4"/>
      <c r="M175" s="80"/>
      <c r="N175" s="4"/>
      <c r="O175" s="4"/>
      <c r="P175" s="4"/>
      <c r="Q175" s="4"/>
      <c r="R175" s="4"/>
      <c r="S175" s="4"/>
      <c r="T175" s="4"/>
      <c r="U175" s="4"/>
      <c r="V175" s="4"/>
      <c r="W175" s="4"/>
      <c r="X175" s="4"/>
      <c r="Y175" s="4"/>
      <c r="Z175" s="45"/>
      <c r="AA175" s="45"/>
      <c r="AB175" s="4"/>
    </row>
    <row r="176" spans="1:28" ht="63.75" x14ac:dyDescent="0.25">
      <c r="A176" s="78" t="s">
        <v>1032</v>
      </c>
      <c r="B176" s="101" t="s">
        <v>1033</v>
      </c>
      <c r="C176" s="101" t="s">
        <v>1021</v>
      </c>
      <c r="D176" s="101" t="s">
        <v>918</v>
      </c>
      <c r="E176" s="75"/>
      <c r="F176" s="74" t="s">
        <v>860</v>
      </c>
      <c r="G176" s="74" t="s">
        <v>257</v>
      </c>
      <c r="H176" s="74" t="s">
        <v>258</v>
      </c>
      <c r="I176" s="74"/>
      <c r="J176" s="79"/>
      <c r="K176" s="4"/>
      <c r="L176" s="4"/>
      <c r="M176" s="80"/>
      <c r="N176" s="4"/>
      <c r="O176" s="4"/>
      <c r="P176" s="4"/>
      <c r="Q176" s="4"/>
      <c r="R176" s="4"/>
      <c r="S176" s="4"/>
      <c r="T176" s="4"/>
      <c r="U176" s="4"/>
      <c r="V176" s="4"/>
      <c r="W176" s="4"/>
      <c r="X176" s="4"/>
      <c r="Y176" s="4"/>
      <c r="Z176" s="45"/>
      <c r="AA176" s="45"/>
      <c r="AB176" s="4"/>
    </row>
    <row r="177" spans="1:28" ht="127.5" x14ac:dyDescent="0.25">
      <c r="A177" s="78" t="s">
        <v>1032</v>
      </c>
      <c r="B177" s="103"/>
      <c r="C177" s="103"/>
      <c r="D177" s="103"/>
      <c r="E177" s="77"/>
      <c r="F177" s="74" t="s">
        <v>863</v>
      </c>
      <c r="G177" s="74" t="s">
        <v>253</v>
      </c>
      <c r="H177" s="74" t="s">
        <v>254</v>
      </c>
      <c r="I177" s="74"/>
      <c r="J177" s="79"/>
      <c r="K177" s="4"/>
      <c r="L177" s="4"/>
      <c r="M177" s="80"/>
      <c r="N177" s="4"/>
      <c r="O177" s="4"/>
      <c r="P177" s="4"/>
      <c r="Q177" s="4"/>
      <c r="R177" s="4"/>
      <c r="S177" s="4"/>
      <c r="T177" s="4"/>
      <c r="U177" s="4"/>
      <c r="V177" s="4"/>
      <c r="W177" s="4"/>
      <c r="X177" s="4"/>
      <c r="Y177" s="4"/>
      <c r="Z177" s="45"/>
      <c r="AA177" s="45"/>
      <c r="AB177" s="4"/>
    </row>
    <row r="178" spans="1:28" ht="38.25" x14ac:dyDescent="0.25">
      <c r="A178" s="78" t="s">
        <v>1034</v>
      </c>
      <c r="B178" s="101" t="s">
        <v>1035</v>
      </c>
      <c r="C178" s="101" t="s">
        <v>626</v>
      </c>
      <c r="D178" s="101" t="s">
        <v>1036</v>
      </c>
      <c r="E178" s="75"/>
      <c r="F178" s="74" t="s">
        <v>860</v>
      </c>
      <c r="G178" s="74" t="s">
        <v>663</v>
      </c>
      <c r="H178" s="74" t="s">
        <v>631</v>
      </c>
      <c r="I178" s="74"/>
      <c r="J178" s="79"/>
      <c r="K178" s="4"/>
      <c r="L178" s="4"/>
      <c r="M178" s="80"/>
      <c r="N178" s="4"/>
      <c r="O178" s="4"/>
      <c r="P178" s="4"/>
      <c r="Q178" s="4"/>
      <c r="R178" s="4"/>
      <c r="S178" s="4"/>
      <c r="T178" s="4"/>
      <c r="U178" s="4"/>
      <c r="V178" s="4"/>
      <c r="W178" s="4"/>
      <c r="X178" s="4"/>
      <c r="Y178" s="4"/>
      <c r="Z178" s="45"/>
      <c r="AA178" s="45"/>
      <c r="AB178" s="4"/>
    </row>
    <row r="179" spans="1:28" ht="76.5" x14ac:dyDescent="0.25">
      <c r="A179" s="78" t="s">
        <v>1034</v>
      </c>
      <c r="B179" s="103"/>
      <c r="C179" s="103"/>
      <c r="D179" s="103"/>
      <c r="E179" s="77"/>
      <c r="F179" s="74" t="s">
        <v>863</v>
      </c>
      <c r="G179" s="74" t="s">
        <v>667</v>
      </c>
      <c r="H179" s="74" t="s">
        <v>668</v>
      </c>
      <c r="I179" s="74"/>
      <c r="J179" s="79"/>
      <c r="K179" s="4"/>
      <c r="L179" s="4"/>
      <c r="M179" s="80"/>
      <c r="N179" s="4"/>
      <c r="O179" s="4"/>
      <c r="P179" s="4"/>
      <c r="Q179" s="4"/>
      <c r="R179" s="4"/>
      <c r="S179" s="4"/>
      <c r="T179" s="4"/>
      <c r="U179" s="4"/>
      <c r="V179" s="4"/>
      <c r="W179" s="4"/>
      <c r="X179" s="4"/>
      <c r="Y179" s="4"/>
      <c r="Z179" s="45"/>
      <c r="AA179" s="45"/>
      <c r="AB179" s="4"/>
    </row>
    <row r="180" spans="1:28" ht="267.75" x14ac:dyDescent="0.25">
      <c r="A180" s="78" t="s">
        <v>1037</v>
      </c>
      <c r="B180" s="101" t="s">
        <v>1038</v>
      </c>
      <c r="C180" s="101" t="s">
        <v>1039</v>
      </c>
      <c r="D180" s="101" t="s">
        <v>1040</v>
      </c>
      <c r="E180" s="75"/>
      <c r="F180" s="74" t="s">
        <v>860</v>
      </c>
      <c r="G180" s="74" t="s">
        <v>1041</v>
      </c>
      <c r="H180" s="74" t="s">
        <v>1039</v>
      </c>
      <c r="I180" s="74"/>
      <c r="J180" s="79"/>
      <c r="K180" s="4"/>
      <c r="L180" s="4"/>
      <c r="M180" s="80"/>
      <c r="N180" s="4"/>
      <c r="O180" s="4"/>
      <c r="P180" s="4"/>
      <c r="Q180" s="4"/>
      <c r="R180" s="4"/>
      <c r="S180" s="4"/>
      <c r="T180" s="4"/>
      <c r="U180" s="4"/>
      <c r="V180" s="4"/>
      <c r="W180" s="4"/>
      <c r="X180" s="4"/>
      <c r="Y180" s="4"/>
      <c r="Z180" s="45"/>
      <c r="AA180" s="45"/>
      <c r="AB180" s="4"/>
    </row>
    <row r="181" spans="1:28" ht="331.5" x14ac:dyDescent="0.25">
      <c r="A181" s="78" t="s">
        <v>1037</v>
      </c>
      <c r="B181" s="102"/>
      <c r="C181" s="102"/>
      <c r="D181" s="102"/>
      <c r="E181" s="76"/>
      <c r="F181" s="74" t="s">
        <v>863</v>
      </c>
      <c r="G181" s="74" t="s">
        <v>1042</v>
      </c>
      <c r="H181" s="74" t="s">
        <v>1039</v>
      </c>
      <c r="I181" s="74"/>
      <c r="J181" s="79"/>
      <c r="K181" s="4"/>
      <c r="L181" s="4"/>
      <c r="M181" s="80"/>
      <c r="N181" s="4"/>
      <c r="O181" s="4"/>
      <c r="P181" s="4"/>
      <c r="Q181" s="4"/>
      <c r="R181" s="4"/>
      <c r="S181" s="4"/>
      <c r="T181" s="4"/>
      <c r="U181" s="4"/>
      <c r="V181" s="4"/>
      <c r="W181" s="4"/>
      <c r="X181" s="4"/>
      <c r="Y181" s="4"/>
      <c r="Z181" s="45"/>
      <c r="AA181" s="45"/>
      <c r="AB181" s="4"/>
    </row>
    <row r="182" spans="1:28" ht="293.25" x14ac:dyDescent="0.25">
      <c r="A182" s="78" t="s">
        <v>1037</v>
      </c>
      <c r="B182" s="103"/>
      <c r="C182" s="103"/>
      <c r="D182" s="103"/>
      <c r="E182" s="77"/>
      <c r="F182" s="74" t="s">
        <v>865</v>
      </c>
      <c r="G182" s="74" t="s">
        <v>1043</v>
      </c>
      <c r="H182" s="74" t="s">
        <v>1039</v>
      </c>
      <c r="I182" s="74"/>
      <c r="J182" s="79"/>
      <c r="K182" s="4"/>
      <c r="L182" s="4"/>
      <c r="M182" s="80"/>
      <c r="N182" s="4"/>
      <c r="O182" s="4"/>
      <c r="P182" s="4"/>
      <c r="Q182" s="4"/>
      <c r="R182" s="4"/>
      <c r="S182" s="4"/>
      <c r="T182" s="4"/>
      <c r="U182" s="4"/>
      <c r="V182" s="4"/>
      <c r="W182" s="4"/>
      <c r="X182" s="4"/>
      <c r="Y182" s="4"/>
      <c r="Z182" s="45"/>
      <c r="AA182" s="45"/>
      <c r="AB182" s="4"/>
    </row>
    <row r="183" spans="1:28" ht="51" x14ac:dyDescent="0.25">
      <c r="A183" s="110" t="s">
        <v>1044</v>
      </c>
      <c r="B183" s="101" t="s">
        <v>1045</v>
      </c>
      <c r="C183" s="101" t="s">
        <v>1046</v>
      </c>
      <c r="D183" s="101" t="s">
        <v>1047</v>
      </c>
      <c r="E183" s="75"/>
      <c r="F183" s="74" t="s">
        <v>860</v>
      </c>
      <c r="G183" s="74" t="s">
        <v>603</v>
      </c>
      <c r="H183" s="74" t="s">
        <v>604</v>
      </c>
      <c r="I183" s="74"/>
      <c r="J183" s="79"/>
      <c r="K183" s="4"/>
      <c r="L183" s="4"/>
      <c r="M183" s="80"/>
      <c r="N183" s="4"/>
      <c r="O183" s="4"/>
      <c r="P183" s="4"/>
      <c r="Q183" s="4"/>
      <c r="R183" s="4"/>
      <c r="S183" s="4"/>
      <c r="T183" s="112">
        <v>0.75</v>
      </c>
      <c r="U183" s="4" t="s">
        <v>1048</v>
      </c>
      <c r="V183" s="4"/>
      <c r="W183" s="4"/>
      <c r="X183" s="4"/>
      <c r="Y183" s="4"/>
      <c r="Z183" s="45"/>
      <c r="AA183" s="45"/>
      <c r="AB183" s="4"/>
    </row>
    <row r="184" spans="1:28" ht="76.5" x14ac:dyDescent="0.25">
      <c r="A184" s="110"/>
      <c r="B184" s="103"/>
      <c r="C184" s="103"/>
      <c r="D184" s="103"/>
      <c r="E184" s="77"/>
      <c r="F184" s="74" t="s">
        <v>863</v>
      </c>
      <c r="G184" s="74" t="s">
        <v>441</v>
      </c>
      <c r="H184" s="74" t="s">
        <v>442</v>
      </c>
      <c r="I184" s="74"/>
      <c r="J184" s="79"/>
      <c r="K184" s="4"/>
      <c r="L184" s="4"/>
      <c r="M184" s="80"/>
      <c r="N184" s="4"/>
      <c r="O184" s="4"/>
      <c r="P184" s="4"/>
      <c r="Q184" s="4"/>
      <c r="R184" s="4"/>
      <c r="S184" s="4"/>
      <c r="T184" s="112"/>
      <c r="U184" s="4"/>
      <c r="V184" s="4"/>
      <c r="W184" s="4"/>
      <c r="X184" s="4"/>
      <c r="Y184" s="4"/>
      <c r="Z184" s="45"/>
      <c r="AA184" s="45"/>
      <c r="AB184" s="4"/>
    </row>
    <row r="185" spans="1:28" ht="38.25" x14ac:dyDescent="0.25">
      <c r="A185" s="110" t="s">
        <v>1049</v>
      </c>
      <c r="B185" s="98" t="s">
        <v>1050</v>
      </c>
      <c r="C185" s="98" t="s">
        <v>1030</v>
      </c>
      <c r="D185" s="101" t="s">
        <v>1031</v>
      </c>
      <c r="E185" s="75"/>
      <c r="F185" s="74" t="s">
        <v>860</v>
      </c>
      <c r="G185" s="74" t="s">
        <v>663</v>
      </c>
      <c r="H185" s="74" t="s">
        <v>631</v>
      </c>
      <c r="I185" s="74"/>
      <c r="J185" s="79"/>
      <c r="K185" s="4"/>
      <c r="L185" s="4"/>
      <c r="M185" s="80"/>
      <c r="N185" s="4"/>
      <c r="O185" s="4"/>
      <c r="P185" s="4"/>
      <c r="Q185" s="4"/>
      <c r="R185" s="4"/>
      <c r="S185" s="4"/>
      <c r="T185" s="4"/>
      <c r="U185" s="4"/>
      <c r="V185" s="4"/>
      <c r="W185" s="4"/>
      <c r="X185" s="4"/>
      <c r="Y185" s="4"/>
      <c r="Z185" s="45"/>
      <c r="AA185" s="45"/>
      <c r="AB185" s="4"/>
    </row>
    <row r="186" spans="1:28" ht="76.5" x14ac:dyDescent="0.25">
      <c r="A186" s="110"/>
      <c r="B186" s="100"/>
      <c r="C186" s="100"/>
      <c r="D186" s="103"/>
      <c r="E186" s="77"/>
      <c r="F186" s="74" t="s">
        <v>863</v>
      </c>
      <c r="G186" s="74" t="s">
        <v>667</v>
      </c>
      <c r="H186" s="74" t="s">
        <v>668</v>
      </c>
      <c r="I186" s="74"/>
      <c r="J186" s="79"/>
      <c r="K186" s="4"/>
      <c r="L186" s="4"/>
      <c r="M186" s="80"/>
      <c r="N186" s="4"/>
      <c r="O186" s="4"/>
      <c r="P186" s="4"/>
      <c r="Q186" s="4"/>
      <c r="R186" s="4"/>
      <c r="S186" s="4"/>
      <c r="T186" s="4"/>
      <c r="U186" s="4"/>
      <c r="V186" s="4"/>
      <c r="W186" s="4"/>
      <c r="X186" s="4"/>
      <c r="Y186" s="4"/>
      <c r="Z186" s="45"/>
      <c r="AA186" s="45"/>
      <c r="AB186" s="4"/>
    </row>
    <row r="187" spans="1:28" ht="51" x14ac:dyDescent="0.25">
      <c r="A187" s="110" t="s">
        <v>1051</v>
      </c>
      <c r="B187" s="98" t="s">
        <v>1052</v>
      </c>
      <c r="C187" s="101" t="s">
        <v>1053</v>
      </c>
      <c r="D187" s="101" t="s">
        <v>1054</v>
      </c>
      <c r="E187" s="75"/>
      <c r="F187" s="74" t="s">
        <v>860</v>
      </c>
      <c r="G187" s="74" t="s">
        <v>1055</v>
      </c>
      <c r="H187" s="74" t="s">
        <v>1056</v>
      </c>
      <c r="I187" s="74"/>
      <c r="J187" s="79"/>
      <c r="K187" s="4"/>
      <c r="L187" s="4"/>
      <c r="M187" s="80"/>
      <c r="N187" s="4"/>
      <c r="O187" s="4"/>
      <c r="P187" s="4"/>
      <c r="Q187" s="4"/>
      <c r="R187" s="4"/>
      <c r="S187" s="4"/>
      <c r="T187" s="4"/>
      <c r="U187" s="4"/>
      <c r="V187" s="4"/>
      <c r="W187" s="4"/>
      <c r="X187" s="4"/>
      <c r="Y187" s="4"/>
      <c r="Z187" s="45"/>
      <c r="AA187" s="45"/>
      <c r="AB187" s="4"/>
    </row>
    <row r="188" spans="1:28" ht="63.75" x14ac:dyDescent="0.25">
      <c r="A188" s="110"/>
      <c r="B188" s="100"/>
      <c r="C188" s="103"/>
      <c r="D188" s="103"/>
      <c r="E188" s="77"/>
      <c r="F188" s="74" t="s">
        <v>863</v>
      </c>
      <c r="G188" s="74" t="s">
        <v>1057</v>
      </c>
      <c r="H188" s="74" t="s">
        <v>1058</v>
      </c>
      <c r="I188" s="74"/>
      <c r="J188" s="79"/>
      <c r="K188" s="4"/>
      <c r="L188" s="4"/>
      <c r="M188" s="80"/>
      <c r="N188" s="4"/>
      <c r="O188" s="4"/>
      <c r="P188" s="4"/>
      <c r="Q188" s="4"/>
      <c r="R188" s="4"/>
      <c r="S188" s="4"/>
      <c r="T188" s="4"/>
      <c r="U188" s="4"/>
      <c r="V188" s="4"/>
      <c r="W188" s="4"/>
      <c r="X188" s="4"/>
      <c r="Y188" s="4"/>
      <c r="Z188" s="45"/>
      <c r="AA188" s="45"/>
      <c r="AB188" s="4"/>
    </row>
    <row r="189" spans="1:28" ht="76.5" x14ac:dyDescent="0.25">
      <c r="A189" s="110" t="s">
        <v>1059</v>
      </c>
      <c r="B189" s="101" t="s">
        <v>1060</v>
      </c>
      <c r="C189" s="101" t="s">
        <v>770</v>
      </c>
      <c r="D189" s="101" t="s">
        <v>771</v>
      </c>
      <c r="E189" s="75"/>
      <c r="F189" s="74" t="s">
        <v>860</v>
      </c>
      <c r="G189" s="74" t="s">
        <v>772</v>
      </c>
      <c r="H189" s="74" t="s">
        <v>668</v>
      </c>
      <c r="I189" s="74"/>
      <c r="J189" s="79"/>
      <c r="K189" s="4"/>
      <c r="L189" s="4"/>
      <c r="M189" s="80"/>
      <c r="N189" s="4"/>
      <c r="O189" s="4"/>
      <c r="P189" s="4"/>
      <c r="Q189" s="4"/>
      <c r="R189" s="4"/>
      <c r="S189" s="4"/>
      <c r="T189" s="4"/>
      <c r="U189" s="4"/>
      <c r="V189" s="4"/>
      <c r="W189" s="4"/>
      <c r="X189" s="4"/>
      <c r="Y189" s="4"/>
      <c r="Z189" s="45"/>
      <c r="AA189" s="45"/>
      <c r="AB189" s="4"/>
    </row>
    <row r="190" spans="1:28" ht="38.25" x14ac:dyDescent="0.25">
      <c r="A190" s="110"/>
      <c r="B190" s="103"/>
      <c r="C190" s="103"/>
      <c r="D190" s="103"/>
      <c r="E190" s="77"/>
      <c r="F190" s="74" t="s">
        <v>863</v>
      </c>
      <c r="G190" s="74" t="s">
        <v>630</v>
      </c>
      <c r="H190" s="74" t="s">
        <v>631</v>
      </c>
      <c r="I190" s="74"/>
      <c r="J190" s="79"/>
      <c r="K190" s="4"/>
      <c r="L190" s="4"/>
      <c r="M190" s="80"/>
      <c r="N190" s="4"/>
      <c r="O190" s="4"/>
      <c r="P190" s="4"/>
      <c r="Q190" s="4"/>
      <c r="R190" s="4"/>
      <c r="S190" s="4"/>
      <c r="T190" s="4"/>
      <c r="U190" s="4"/>
      <c r="V190" s="4"/>
      <c r="W190" s="4"/>
      <c r="X190" s="4"/>
      <c r="Y190" s="4"/>
      <c r="Z190" s="45"/>
      <c r="AA190" s="45"/>
      <c r="AB190" s="4"/>
    </row>
    <row r="191" spans="1:28" ht="76.5" x14ac:dyDescent="0.25">
      <c r="A191" s="78" t="s">
        <v>1061</v>
      </c>
      <c r="B191" s="74" t="s">
        <v>1062</v>
      </c>
      <c r="C191" s="74" t="s">
        <v>1063</v>
      </c>
      <c r="D191" s="74" t="s">
        <v>1064</v>
      </c>
      <c r="E191" s="74"/>
      <c r="F191" s="74" t="s">
        <v>860</v>
      </c>
      <c r="G191" s="74" t="s">
        <v>1065</v>
      </c>
      <c r="H191" s="74" t="s">
        <v>1066</v>
      </c>
      <c r="I191" s="74"/>
      <c r="J191" s="79"/>
      <c r="K191" s="4"/>
      <c r="L191" s="4"/>
      <c r="M191" s="80"/>
      <c r="N191" s="4"/>
      <c r="O191" s="4"/>
      <c r="P191" s="4"/>
      <c r="Q191" s="4"/>
      <c r="R191" s="4"/>
      <c r="S191" s="4"/>
      <c r="T191" s="4"/>
      <c r="U191" s="4"/>
      <c r="V191" s="4"/>
      <c r="W191" s="4"/>
      <c r="X191" s="4"/>
      <c r="Y191" s="4"/>
      <c r="Z191" s="45"/>
      <c r="AA191" s="45"/>
      <c r="AB191" s="4"/>
    </row>
    <row r="192" spans="1:28" ht="344.25" x14ac:dyDescent="0.25">
      <c r="A192" s="110" t="s">
        <v>1067</v>
      </c>
      <c r="B192" s="98" t="s">
        <v>1068</v>
      </c>
      <c r="C192" s="101" t="s">
        <v>1069</v>
      </c>
      <c r="D192" s="101" t="s">
        <v>1070</v>
      </c>
      <c r="E192" s="75"/>
      <c r="F192" s="74" t="s">
        <v>860</v>
      </c>
      <c r="G192" s="74" t="s">
        <v>363</v>
      </c>
      <c r="H192" s="74" t="s">
        <v>364</v>
      </c>
      <c r="I192" s="74"/>
      <c r="J192" s="79"/>
      <c r="K192" s="4"/>
      <c r="L192" s="4"/>
      <c r="M192" s="80"/>
      <c r="N192" s="4"/>
      <c r="O192" s="4"/>
      <c r="P192" s="4"/>
      <c r="Q192" s="4"/>
      <c r="R192" s="4"/>
      <c r="S192" s="4"/>
      <c r="T192" s="4"/>
      <c r="U192" s="4"/>
      <c r="V192" s="4"/>
      <c r="W192" s="4"/>
      <c r="X192" s="4"/>
      <c r="Y192" s="4"/>
      <c r="Z192" s="45"/>
      <c r="AA192" s="45"/>
      <c r="AB192" s="4"/>
    </row>
    <row r="193" spans="1:28" ht="409.5" x14ac:dyDescent="0.25">
      <c r="A193" s="110"/>
      <c r="B193" s="100"/>
      <c r="C193" s="103"/>
      <c r="D193" s="103"/>
      <c r="E193" s="77"/>
      <c r="F193" s="74" t="s">
        <v>863</v>
      </c>
      <c r="G193" s="74" t="s">
        <v>356</v>
      </c>
      <c r="H193" s="74" t="s">
        <v>357</v>
      </c>
      <c r="I193" s="74"/>
      <c r="J193" s="79"/>
      <c r="K193" s="4"/>
      <c r="L193" s="4"/>
      <c r="M193" s="80"/>
      <c r="N193" s="4"/>
      <c r="O193" s="4"/>
      <c r="P193" s="4"/>
      <c r="Q193" s="4"/>
      <c r="R193" s="4"/>
      <c r="S193" s="4"/>
      <c r="T193" s="4"/>
      <c r="U193" s="4"/>
      <c r="V193" s="4"/>
      <c r="W193" s="4"/>
      <c r="X193" s="4"/>
      <c r="Y193" s="4"/>
      <c r="Z193" s="45"/>
      <c r="AA193" s="45"/>
      <c r="AB193" s="4"/>
    </row>
    <row r="194" spans="1:28" ht="89.25" x14ac:dyDescent="0.25">
      <c r="A194" s="110" t="s">
        <v>1071</v>
      </c>
      <c r="B194" s="101" t="s">
        <v>1072</v>
      </c>
      <c r="C194" s="101" t="s">
        <v>1073</v>
      </c>
      <c r="D194" s="101" t="s">
        <v>1074</v>
      </c>
      <c r="E194" s="75"/>
      <c r="F194" s="74" t="s">
        <v>860</v>
      </c>
      <c r="G194" s="74" t="s">
        <v>811</v>
      </c>
      <c r="H194" s="74" t="s">
        <v>812</v>
      </c>
      <c r="I194" s="74"/>
      <c r="J194" s="79"/>
      <c r="K194" s="4"/>
      <c r="L194" s="4"/>
      <c r="M194" s="80"/>
      <c r="N194" s="4"/>
      <c r="O194" s="4"/>
      <c r="P194" s="4"/>
      <c r="Q194" s="4"/>
      <c r="R194" s="4"/>
      <c r="S194" s="4"/>
      <c r="T194" s="4"/>
      <c r="U194" s="4"/>
      <c r="V194" s="4"/>
      <c r="W194" s="4"/>
      <c r="X194" s="4"/>
      <c r="Y194" s="4"/>
      <c r="Z194" s="45"/>
      <c r="AA194" s="45"/>
      <c r="AB194" s="4"/>
    </row>
    <row r="195" spans="1:28" ht="25.5" x14ac:dyDescent="0.25">
      <c r="A195" s="110"/>
      <c r="B195" s="103"/>
      <c r="C195" s="103"/>
      <c r="D195" s="103"/>
      <c r="E195" s="77"/>
      <c r="F195" s="74" t="s">
        <v>863</v>
      </c>
      <c r="G195" s="74" t="s">
        <v>807</v>
      </c>
      <c r="H195" s="74" t="s">
        <v>808</v>
      </c>
      <c r="I195" s="74"/>
      <c r="J195" s="79"/>
      <c r="K195" s="4"/>
      <c r="L195" s="4"/>
      <c r="M195" s="80"/>
      <c r="N195" s="4"/>
      <c r="O195" s="4"/>
      <c r="P195" s="4"/>
      <c r="Q195" s="4"/>
      <c r="R195" s="4"/>
      <c r="S195" s="4"/>
      <c r="T195" s="4"/>
      <c r="U195" s="4"/>
      <c r="V195" s="4"/>
      <c r="W195" s="4"/>
      <c r="X195" s="4"/>
      <c r="Y195" s="4"/>
      <c r="Z195" s="45"/>
      <c r="AA195" s="45"/>
      <c r="AB195" s="4"/>
    </row>
    <row r="196" spans="1:28" ht="38.25" x14ac:dyDescent="0.25">
      <c r="A196" s="110" t="s">
        <v>1075</v>
      </c>
      <c r="B196" s="98" t="s">
        <v>1076</v>
      </c>
      <c r="C196" s="98" t="s">
        <v>1077</v>
      </c>
      <c r="D196" s="98" t="s">
        <v>1078</v>
      </c>
      <c r="E196" s="74"/>
      <c r="F196" s="74" t="s">
        <v>860</v>
      </c>
      <c r="G196" s="74" t="s">
        <v>1079</v>
      </c>
      <c r="H196" s="74" t="s">
        <v>1080</v>
      </c>
      <c r="I196" s="74"/>
      <c r="J196" s="79"/>
      <c r="K196" s="4"/>
      <c r="L196" s="4"/>
      <c r="M196" s="80"/>
      <c r="N196" s="4"/>
      <c r="O196" s="4"/>
      <c r="P196" s="4"/>
      <c r="Q196" s="4"/>
      <c r="R196" s="4"/>
      <c r="S196" s="4"/>
      <c r="T196" s="112">
        <v>1</v>
      </c>
      <c r="U196" s="4"/>
      <c r="V196" s="4"/>
      <c r="W196" s="4"/>
      <c r="X196" s="4"/>
      <c r="Y196" s="4"/>
      <c r="Z196" s="45"/>
      <c r="AA196" s="45"/>
      <c r="AB196" s="4"/>
    </row>
    <row r="197" spans="1:28" ht="38.25" x14ac:dyDescent="0.25">
      <c r="A197" s="110"/>
      <c r="B197" s="100"/>
      <c r="C197" s="100"/>
      <c r="D197" s="100"/>
      <c r="E197" s="74"/>
      <c r="F197" s="74" t="s">
        <v>863</v>
      </c>
      <c r="G197" s="74" t="s">
        <v>1081</v>
      </c>
      <c r="H197" s="74" t="s">
        <v>1080</v>
      </c>
      <c r="I197" s="74"/>
      <c r="J197" s="79"/>
      <c r="K197" s="4"/>
      <c r="L197" s="4"/>
      <c r="M197" s="80"/>
      <c r="N197" s="4"/>
      <c r="O197" s="4"/>
      <c r="P197" s="4"/>
      <c r="Q197" s="4"/>
      <c r="R197" s="4"/>
      <c r="S197" s="4"/>
      <c r="T197" s="112"/>
      <c r="U197" s="4"/>
      <c r="V197" s="4"/>
      <c r="W197" s="4"/>
      <c r="X197" s="4"/>
      <c r="Y197" s="4"/>
      <c r="Z197" s="45"/>
      <c r="AA197" s="45"/>
      <c r="AB197" s="4"/>
    </row>
    <row r="198" spans="1:28" ht="76.5" x14ac:dyDescent="0.25">
      <c r="A198" s="78" t="s">
        <v>1082</v>
      </c>
      <c r="B198" s="98" t="s">
        <v>1083</v>
      </c>
      <c r="C198" s="98" t="s">
        <v>1084</v>
      </c>
      <c r="D198" s="98" t="s">
        <v>1085</v>
      </c>
      <c r="E198" s="74"/>
      <c r="F198" s="74" t="s">
        <v>860</v>
      </c>
      <c r="G198" s="74" t="s">
        <v>667</v>
      </c>
      <c r="H198" s="74" t="s">
        <v>668</v>
      </c>
      <c r="I198" s="74"/>
      <c r="J198" s="79"/>
      <c r="K198" s="4"/>
      <c r="L198" s="4"/>
      <c r="M198" s="80"/>
      <c r="N198" s="4"/>
      <c r="O198" s="4"/>
      <c r="P198" s="4"/>
      <c r="Q198" s="4"/>
      <c r="R198" s="4"/>
      <c r="S198" s="4"/>
      <c r="T198" s="4"/>
      <c r="U198" s="4"/>
      <c r="V198" s="4"/>
      <c r="W198" s="4"/>
      <c r="X198" s="4"/>
      <c r="Y198" s="4"/>
      <c r="Z198" s="45"/>
      <c r="AA198" s="45"/>
      <c r="AB198" s="4"/>
    </row>
    <row r="199" spans="1:28" ht="38.25" x14ac:dyDescent="0.25">
      <c r="A199" s="78" t="s">
        <v>1082</v>
      </c>
      <c r="B199" s="100"/>
      <c r="C199" s="100"/>
      <c r="D199" s="100"/>
      <c r="E199" s="74"/>
      <c r="F199" s="74" t="s">
        <v>863</v>
      </c>
      <c r="G199" s="74" t="s">
        <v>663</v>
      </c>
      <c r="H199" s="74" t="s">
        <v>631</v>
      </c>
      <c r="I199" s="74"/>
      <c r="J199" s="79"/>
      <c r="K199" s="4"/>
      <c r="L199" s="4"/>
      <c r="M199" s="80"/>
      <c r="N199" s="4"/>
      <c r="O199" s="4"/>
      <c r="P199" s="4"/>
      <c r="Q199" s="4"/>
      <c r="R199" s="4"/>
      <c r="S199" s="4"/>
      <c r="T199" s="4"/>
      <c r="U199" s="4"/>
      <c r="V199" s="4"/>
      <c r="W199" s="4"/>
      <c r="X199" s="4"/>
      <c r="Y199" s="4"/>
      <c r="Z199" s="45"/>
      <c r="AA199" s="45"/>
      <c r="AB199" s="4"/>
    </row>
    <row r="200" spans="1:28" ht="76.5" x14ac:dyDescent="0.25">
      <c r="A200" s="78" t="s">
        <v>1086</v>
      </c>
      <c r="B200" s="98" t="s">
        <v>1087</v>
      </c>
      <c r="C200" s="98" t="s">
        <v>1088</v>
      </c>
      <c r="D200" s="98" t="s">
        <v>1089</v>
      </c>
      <c r="E200" s="74"/>
      <c r="F200" s="74" t="s">
        <v>860</v>
      </c>
      <c r="G200" s="74" t="s">
        <v>772</v>
      </c>
      <c r="H200" s="74" t="s">
        <v>668</v>
      </c>
      <c r="I200" s="74"/>
      <c r="J200" s="79"/>
      <c r="K200" s="4"/>
      <c r="L200" s="4"/>
      <c r="M200" s="80"/>
      <c r="N200" s="4"/>
      <c r="O200" s="4"/>
      <c r="P200" s="4"/>
      <c r="Q200" s="4"/>
      <c r="R200" s="4"/>
      <c r="S200" s="4"/>
      <c r="T200" s="4"/>
      <c r="U200" s="4"/>
      <c r="V200" s="4"/>
      <c r="W200" s="4"/>
      <c r="X200" s="4"/>
      <c r="Y200" s="4"/>
      <c r="Z200" s="45"/>
      <c r="AA200" s="45"/>
      <c r="AB200" s="4"/>
    </row>
    <row r="201" spans="1:28" ht="38.25" x14ac:dyDescent="0.25">
      <c r="A201" s="78" t="s">
        <v>1086</v>
      </c>
      <c r="B201" s="100"/>
      <c r="C201" s="100"/>
      <c r="D201" s="100"/>
      <c r="E201" s="74"/>
      <c r="F201" s="74" t="s">
        <v>863</v>
      </c>
      <c r="G201" s="74" t="s">
        <v>630</v>
      </c>
      <c r="H201" s="74" t="s">
        <v>631</v>
      </c>
      <c r="I201" s="74"/>
      <c r="J201" s="79"/>
      <c r="K201" s="4"/>
      <c r="L201" s="4"/>
      <c r="M201" s="80"/>
      <c r="N201" s="4"/>
      <c r="O201" s="4"/>
      <c r="P201" s="4"/>
      <c r="Q201" s="4"/>
      <c r="R201" s="4"/>
      <c r="S201" s="4"/>
      <c r="T201" s="4"/>
      <c r="U201" s="4"/>
      <c r="V201" s="4"/>
      <c r="W201" s="4"/>
      <c r="X201" s="4"/>
      <c r="Y201" s="4"/>
      <c r="Z201" s="45"/>
      <c r="AA201" s="45"/>
      <c r="AB201" s="4"/>
    </row>
    <row r="202" spans="1:28" ht="38.25" x14ac:dyDescent="0.25">
      <c r="A202" s="78" t="s">
        <v>1090</v>
      </c>
      <c r="B202" s="98" t="s">
        <v>1091</v>
      </c>
      <c r="C202" s="98" t="s">
        <v>1092</v>
      </c>
      <c r="D202" s="98" t="s">
        <v>1093</v>
      </c>
      <c r="E202" s="74"/>
      <c r="F202" s="74" t="s">
        <v>860</v>
      </c>
      <c r="G202" s="74" t="s">
        <v>1094</v>
      </c>
      <c r="H202" s="74" t="s">
        <v>1095</v>
      </c>
      <c r="I202" s="74"/>
      <c r="J202" s="79"/>
      <c r="K202" s="4"/>
      <c r="L202" s="4"/>
      <c r="M202" s="80"/>
      <c r="N202" s="4"/>
      <c r="O202" s="4"/>
      <c r="P202" s="4"/>
      <c r="Q202" s="4"/>
      <c r="R202" s="4"/>
      <c r="S202" s="4"/>
      <c r="T202" s="112">
        <v>1</v>
      </c>
      <c r="U202" s="4"/>
      <c r="V202" s="4"/>
      <c r="W202" s="4"/>
      <c r="X202" s="4"/>
      <c r="Y202" s="4"/>
      <c r="Z202" s="45"/>
      <c r="AA202" s="45"/>
      <c r="AB202" s="4"/>
    </row>
    <row r="203" spans="1:28" ht="38.25" x14ac:dyDescent="0.25">
      <c r="A203" s="78" t="s">
        <v>1090</v>
      </c>
      <c r="B203" s="100"/>
      <c r="C203" s="100"/>
      <c r="D203" s="100"/>
      <c r="E203" s="74"/>
      <c r="F203" s="74" t="s">
        <v>863</v>
      </c>
      <c r="G203" s="74" t="s">
        <v>1096</v>
      </c>
      <c r="H203" s="74" t="s">
        <v>1097</v>
      </c>
      <c r="I203" s="74"/>
      <c r="J203" s="79"/>
      <c r="K203" s="4"/>
      <c r="L203" s="4"/>
      <c r="M203" s="80"/>
      <c r="N203" s="4"/>
      <c r="O203" s="4"/>
      <c r="P203" s="4"/>
      <c r="Q203" s="4"/>
      <c r="R203" s="4"/>
      <c r="S203" s="4"/>
      <c r="T203" s="112"/>
      <c r="U203" s="4"/>
      <c r="V203" s="4"/>
      <c r="W203" s="4"/>
      <c r="X203" s="4"/>
      <c r="Y203" s="4"/>
      <c r="Z203" s="45"/>
      <c r="AA203" s="45"/>
      <c r="AB203" s="4"/>
    </row>
    <row r="204" spans="1:28" ht="38.25" x14ac:dyDescent="0.25">
      <c r="A204" s="78" t="s">
        <v>1098</v>
      </c>
      <c r="B204" s="98" t="s">
        <v>1099</v>
      </c>
      <c r="C204" s="98" t="s">
        <v>1030</v>
      </c>
      <c r="D204" s="98" t="s">
        <v>1031</v>
      </c>
      <c r="E204" s="74"/>
      <c r="F204" s="74" t="s">
        <v>860</v>
      </c>
      <c r="G204" s="74" t="s">
        <v>663</v>
      </c>
      <c r="H204" s="74" t="s">
        <v>631</v>
      </c>
      <c r="I204" s="74"/>
      <c r="J204" s="79"/>
      <c r="K204" s="4"/>
      <c r="L204" s="4"/>
      <c r="M204" s="80"/>
      <c r="N204" s="4"/>
      <c r="O204" s="4"/>
      <c r="P204" s="4"/>
      <c r="Q204" s="4"/>
      <c r="R204" s="4"/>
      <c r="S204" s="4"/>
      <c r="T204" s="4"/>
      <c r="U204" s="4"/>
      <c r="V204" s="4"/>
      <c r="W204" s="4"/>
      <c r="X204" s="4"/>
      <c r="Y204" s="4"/>
      <c r="Z204" s="45"/>
      <c r="AA204" s="45"/>
      <c r="AB204" s="4"/>
    </row>
    <row r="205" spans="1:28" ht="76.5" x14ac:dyDescent="0.25">
      <c r="A205" s="78" t="s">
        <v>1098</v>
      </c>
      <c r="B205" s="100"/>
      <c r="C205" s="100"/>
      <c r="D205" s="100"/>
      <c r="E205" s="74"/>
      <c r="F205" s="74" t="s">
        <v>863</v>
      </c>
      <c r="G205" s="74" t="s">
        <v>667</v>
      </c>
      <c r="H205" s="74" t="s">
        <v>668</v>
      </c>
      <c r="I205" s="74"/>
      <c r="J205" s="79"/>
      <c r="K205" s="4"/>
      <c r="L205" s="4"/>
      <c r="M205" s="80"/>
      <c r="N205" s="4"/>
      <c r="O205" s="4"/>
      <c r="P205" s="4"/>
      <c r="Q205" s="4"/>
      <c r="R205" s="4"/>
      <c r="S205" s="4"/>
      <c r="T205" s="4"/>
      <c r="U205" s="4"/>
      <c r="V205" s="4"/>
      <c r="W205" s="4"/>
      <c r="X205" s="4"/>
      <c r="Y205" s="4"/>
      <c r="Z205" s="45"/>
      <c r="AA205" s="45"/>
      <c r="AB205" s="4"/>
    </row>
    <row r="206" spans="1:28" ht="127.5" x14ac:dyDescent="0.25">
      <c r="A206" s="78" t="s">
        <v>1100</v>
      </c>
      <c r="B206" s="98" t="s">
        <v>1101</v>
      </c>
      <c r="C206" s="98" t="s">
        <v>1102</v>
      </c>
      <c r="D206" s="98" t="s">
        <v>1103</v>
      </c>
      <c r="E206" s="74"/>
      <c r="F206" s="74" t="s">
        <v>860</v>
      </c>
      <c r="G206" s="74" t="s">
        <v>253</v>
      </c>
      <c r="H206" s="74" t="s">
        <v>254</v>
      </c>
      <c r="I206" s="74"/>
      <c r="J206" s="79"/>
      <c r="K206" s="4"/>
      <c r="L206" s="4"/>
      <c r="M206" s="80"/>
      <c r="N206" s="4"/>
      <c r="O206" s="4"/>
      <c r="P206" s="4"/>
      <c r="Q206" s="4"/>
      <c r="R206" s="4"/>
      <c r="S206" s="4"/>
      <c r="T206" s="4"/>
      <c r="U206" s="4"/>
      <c r="V206" s="4"/>
      <c r="W206" s="4"/>
      <c r="X206" s="4"/>
      <c r="Y206" s="4"/>
      <c r="Z206" s="45"/>
      <c r="AA206" s="45"/>
      <c r="AB206" s="4"/>
    </row>
    <row r="207" spans="1:28" ht="63.75" x14ac:dyDescent="0.25">
      <c r="A207" s="78" t="s">
        <v>1100</v>
      </c>
      <c r="B207" s="100"/>
      <c r="C207" s="100"/>
      <c r="D207" s="100"/>
      <c r="E207" s="74"/>
      <c r="F207" s="74" t="s">
        <v>863</v>
      </c>
      <c r="G207" s="74" t="s">
        <v>257</v>
      </c>
      <c r="H207" s="74" t="s">
        <v>258</v>
      </c>
      <c r="I207" s="74"/>
      <c r="J207" s="79"/>
      <c r="K207" s="4"/>
      <c r="L207" s="4"/>
      <c r="M207" s="80"/>
      <c r="N207" s="4"/>
      <c r="O207" s="4"/>
      <c r="P207" s="4"/>
      <c r="Q207" s="4"/>
      <c r="R207" s="4"/>
      <c r="S207" s="4"/>
      <c r="T207" s="4"/>
      <c r="U207" s="4"/>
      <c r="V207" s="4"/>
      <c r="W207" s="4"/>
      <c r="X207" s="4"/>
      <c r="Y207" s="4"/>
      <c r="Z207" s="45"/>
      <c r="AA207" s="45"/>
      <c r="AB207" s="4"/>
    </row>
    <row r="208" spans="1:28" ht="216.75" x14ac:dyDescent="0.25">
      <c r="A208" s="78" t="s">
        <v>1104</v>
      </c>
      <c r="B208" s="98" t="s">
        <v>1105</v>
      </c>
      <c r="C208" s="98" t="s">
        <v>1106</v>
      </c>
      <c r="D208" s="98" t="s">
        <v>1107</v>
      </c>
      <c r="E208" s="74"/>
      <c r="F208" s="74" t="s">
        <v>860</v>
      </c>
      <c r="G208" s="74" t="s">
        <v>1108</v>
      </c>
      <c r="H208" s="74" t="s">
        <v>1109</v>
      </c>
      <c r="I208" s="74"/>
      <c r="J208" s="79"/>
      <c r="K208" s="4"/>
      <c r="L208" s="4"/>
      <c r="M208" s="80"/>
      <c r="N208" s="4"/>
      <c r="O208" s="4"/>
      <c r="P208" s="4"/>
      <c r="Q208" s="4"/>
      <c r="R208" s="4"/>
      <c r="S208" s="4"/>
      <c r="T208" s="4"/>
      <c r="U208" s="4"/>
      <c r="V208" s="4"/>
      <c r="W208" s="4"/>
      <c r="X208" s="4"/>
      <c r="Y208" s="4"/>
      <c r="Z208" s="45"/>
      <c r="AA208" s="45"/>
      <c r="AB208" s="4"/>
    </row>
    <row r="209" spans="1:28" ht="76.5" x14ac:dyDescent="0.25">
      <c r="A209" s="78" t="s">
        <v>1104</v>
      </c>
      <c r="B209" s="100"/>
      <c r="C209" s="100"/>
      <c r="D209" s="100"/>
      <c r="E209" s="74"/>
      <c r="F209" s="74" t="s">
        <v>863</v>
      </c>
      <c r="G209" s="74" t="s">
        <v>1110</v>
      </c>
      <c r="H209" s="74" t="s">
        <v>1111</v>
      </c>
      <c r="I209" s="74"/>
      <c r="J209" s="79"/>
      <c r="K209" s="4"/>
      <c r="L209" s="4"/>
      <c r="M209" s="80"/>
      <c r="N209" s="4"/>
      <c r="O209" s="4"/>
      <c r="P209" s="4"/>
      <c r="Q209" s="4"/>
      <c r="R209" s="4"/>
      <c r="S209" s="4"/>
      <c r="T209" s="4"/>
      <c r="U209" s="4"/>
      <c r="V209" s="4"/>
      <c r="W209" s="4"/>
      <c r="X209" s="4"/>
      <c r="Y209" s="4"/>
      <c r="Z209" s="45"/>
      <c r="AA209" s="45"/>
      <c r="AB209" s="4"/>
    </row>
    <row r="210" spans="1:28" ht="38.25" x14ac:dyDescent="0.25">
      <c r="A210" s="78" t="s">
        <v>1112</v>
      </c>
      <c r="B210" s="98" t="s">
        <v>1113</v>
      </c>
      <c r="C210" s="98" t="s">
        <v>1114</v>
      </c>
      <c r="D210" s="98" t="s">
        <v>1115</v>
      </c>
      <c r="E210" s="74"/>
      <c r="F210" s="74" t="s">
        <v>860</v>
      </c>
      <c r="G210" s="74" t="s">
        <v>1096</v>
      </c>
      <c r="H210" s="74" t="s">
        <v>1116</v>
      </c>
      <c r="I210" s="74"/>
      <c r="J210" s="79"/>
      <c r="K210" s="4"/>
      <c r="L210" s="4"/>
      <c r="M210" s="80"/>
      <c r="N210" s="4"/>
      <c r="O210" s="4"/>
      <c r="P210" s="4"/>
      <c r="Q210" s="4"/>
      <c r="R210" s="4"/>
      <c r="S210" s="4"/>
      <c r="T210" s="4"/>
      <c r="U210" s="4"/>
      <c r="V210" s="4"/>
      <c r="W210" s="4"/>
      <c r="X210" s="4"/>
      <c r="Y210" s="4"/>
      <c r="Z210" s="45"/>
      <c r="AA210" s="45"/>
      <c r="AB210" s="4"/>
    </row>
    <row r="211" spans="1:28" ht="38.25" x14ac:dyDescent="0.25">
      <c r="A211" s="78" t="s">
        <v>1112</v>
      </c>
      <c r="B211" s="100"/>
      <c r="C211" s="100"/>
      <c r="D211" s="100"/>
      <c r="E211" s="74"/>
      <c r="F211" s="74" t="s">
        <v>863</v>
      </c>
      <c r="G211" s="74" t="s">
        <v>1117</v>
      </c>
      <c r="H211" s="74" t="s">
        <v>1095</v>
      </c>
      <c r="I211" s="74"/>
      <c r="J211" s="79"/>
      <c r="K211" s="4"/>
      <c r="L211" s="4"/>
      <c r="M211" s="80"/>
      <c r="N211" s="4"/>
      <c r="O211" s="4"/>
      <c r="P211" s="4"/>
      <c r="Q211" s="4"/>
      <c r="R211" s="4"/>
      <c r="S211" s="4"/>
      <c r="T211" s="4"/>
      <c r="U211" s="4"/>
      <c r="V211" s="4"/>
      <c r="W211" s="4"/>
      <c r="X211" s="4"/>
      <c r="Y211" s="4"/>
      <c r="Z211" s="45"/>
      <c r="AA211" s="45"/>
      <c r="AB211" s="4"/>
    </row>
    <row r="212" spans="1:28" ht="229.5" x14ac:dyDescent="0.25">
      <c r="A212" s="78" t="s">
        <v>1118</v>
      </c>
      <c r="B212" s="98" t="s">
        <v>1119</v>
      </c>
      <c r="C212" s="98" t="s">
        <v>1039</v>
      </c>
      <c r="D212" s="98" t="s">
        <v>1120</v>
      </c>
      <c r="E212" s="74"/>
      <c r="F212" s="74" t="s">
        <v>860</v>
      </c>
      <c r="G212" s="74" t="s">
        <v>1121</v>
      </c>
      <c r="H212" s="74" t="s">
        <v>1039</v>
      </c>
      <c r="I212" s="74"/>
      <c r="J212" s="79"/>
      <c r="K212" s="4"/>
      <c r="L212" s="4"/>
      <c r="M212" s="80"/>
      <c r="N212" s="4"/>
      <c r="O212" s="4"/>
      <c r="P212" s="4"/>
      <c r="Q212" s="4"/>
      <c r="R212" s="4"/>
      <c r="S212" s="4"/>
      <c r="T212" s="4"/>
      <c r="U212" s="4"/>
      <c r="V212" s="4"/>
      <c r="W212" s="4"/>
      <c r="X212" s="4"/>
      <c r="Y212" s="4"/>
      <c r="Z212" s="45"/>
      <c r="AA212" s="45"/>
      <c r="AB212" s="4"/>
    </row>
    <row r="213" spans="1:28" ht="357" x14ac:dyDescent="0.25">
      <c r="A213" s="78" t="s">
        <v>1118</v>
      </c>
      <c r="B213" s="99"/>
      <c r="C213" s="99"/>
      <c r="D213" s="99"/>
      <c r="E213" s="74"/>
      <c r="F213" s="74" t="s">
        <v>863</v>
      </c>
      <c r="G213" s="74" t="s">
        <v>1122</v>
      </c>
      <c r="H213" s="74" t="s">
        <v>1039</v>
      </c>
      <c r="I213" s="74"/>
      <c r="J213" s="79"/>
      <c r="K213" s="4"/>
      <c r="L213" s="4"/>
      <c r="M213" s="80"/>
      <c r="N213" s="4"/>
      <c r="O213" s="4"/>
      <c r="P213" s="4"/>
      <c r="Q213" s="4"/>
      <c r="R213" s="4"/>
      <c r="S213" s="4"/>
      <c r="T213" s="4"/>
      <c r="U213" s="4"/>
      <c r="V213" s="4"/>
      <c r="W213" s="4"/>
      <c r="X213" s="4"/>
      <c r="Y213" s="4"/>
      <c r="Z213" s="45"/>
      <c r="AA213" s="45"/>
      <c r="AB213" s="4"/>
    </row>
    <row r="214" spans="1:28" ht="255" x14ac:dyDescent="0.25">
      <c r="A214" s="78" t="s">
        <v>1118</v>
      </c>
      <c r="B214" s="100"/>
      <c r="C214" s="100"/>
      <c r="D214" s="100"/>
      <c r="E214" s="74"/>
      <c r="F214" s="74" t="s">
        <v>865</v>
      </c>
      <c r="G214" s="74" t="s">
        <v>1123</v>
      </c>
      <c r="H214" s="74" t="s">
        <v>1039</v>
      </c>
      <c r="I214" s="74"/>
      <c r="J214" s="79"/>
      <c r="K214" s="4"/>
      <c r="L214" s="4"/>
      <c r="M214" s="80"/>
      <c r="N214" s="4"/>
      <c r="O214" s="4"/>
      <c r="P214" s="4"/>
      <c r="Q214" s="4"/>
      <c r="R214" s="4"/>
      <c r="S214" s="4"/>
      <c r="T214" s="4"/>
      <c r="U214" s="4"/>
      <c r="V214" s="4"/>
      <c r="W214" s="4"/>
      <c r="X214" s="4"/>
      <c r="Y214" s="4"/>
      <c r="Z214" s="45"/>
      <c r="AA214" s="45"/>
      <c r="AB214" s="4"/>
    </row>
    <row r="215" spans="1:28" ht="140.25" x14ac:dyDescent="0.25">
      <c r="A215" s="78" t="s">
        <v>1124</v>
      </c>
      <c r="B215" s="98" t="s">
        <v>1125</v>
      </c>
      <c r="C215" s="98" t="s">
        <v>1126</v>
      </c>
      <c r="D215" s="74" t="s">
        <v>1127</v>
      </c>
      <c r="E215" s="74"/>
      <c r="F215" s="74" t="s">
        <v>860</v>
      </c>
      <c r="G215" s="74" t="s">
        <v>663</v>
      </c>
      <c r="H215" s="74" t="s">
        <v>631</v>
      </c>
      <c r="I215" s="74"/>
      <c r="J215" s="79"/>
      <c r="K215" s="4"/>
      <c r="L215" s="4"/>
      <c r="M215" s="80"/>
      <c r="N215" s="4"/>
      <c r="O215" s="4"/>
      <c r="P215" s="4"/>
      <c r="Q215" s="4"/>
      <c r="R215" s="4"/>
      <c r="S215" s="4"/>
      <c r="T215" s="4"/>
      <c r="U215" s="4"/>
      <c r="V215" s="4"/>
      <c r="W215" s="4"/>
      <c r="X215" s="4"/>
      <c r="Y215" s="4"/>
      <c r="Z215" s="45"/>
      <c r="AA215" s="45"/>
      <c r="AB215" s="4"/>
    </row>
    <row r="216" spans="1:28" ht="76.5" x14ac:dyDescent="0.25">
      <c r="A216" s="78" t="s">
        <v>1124</v>
      </c>
      <c r="B216" s="100"/>
      <c r="C216" s="100"/>
      <c r="D216" s="74"/>
      <c r="E216" s="74"/>
      <c r="F216" s="74" t="s">
        <v>863</v>
      </c>
      <c r="G216" s="74" t="s">
        <v>667</v>
      </c>
      <c r="H216" s="74" t="s">
        <v>668</v>
      </c>
      <c r="I216" s="74"/>
      <c r="J216" s="79"/>
      <c r="K216" s="4"/>
      <c r="L216" s="4"/>
      <c r="M216" s="80"/>
      <c r="N216" s="4"/>
      <c r="O216" s="4"/>
      <c r="P216" s="4"/>
      <c r="Q216" s="4"/>
      <c r="R216" s="4"/>
      <c r="S216" s="4"/>
      <c r="T216" s="4"/>
      <c r="U216" s="4"/>
      <c r="V216" s="4"/>
      <c r="W216" s="4"/>
      <c r="X216" s="4"/>
      <c r="Y216" s="4"/>
      <c r="Z216" s="45"/>
      <c r="AA216" s="45"/>
      <c r="AB216" s="4"/>
    </row>
    <row r="217" spans="1:28" ht="51" x14ac:dyDescent="0.25">
      <c r="A217" s="78" t="s">
        <v>1128</v>
      </c>
      <c r="B217" s="98" t="s">
        <v>1129</v>
      </c>
      <c r="C217" s="98" t="s">
        <v>1130</v>
      </c>
      <c r="D217" s="98" t="s">
        <v>1131</v>
      </c>
      <c r="E217" s="74"/>
      <c r="F217" s="74" t="s">
        <v>860</v>
      </c>
      <c r="G217" s="74" t="s">
        <v>1132</v>
      </c>
      <c r="H217" s="74" t="s">
        <v>1133</v>
      </c>
      <c r="I217" s="74"/>
      <c r="J217" s="79"/>
      <c r="K217" s="4"/>
      <c r="L217" s="4"/>
      <c r="M217" s="80"/>
      <c r="N217" s="4"/>
      <c r="O217" s="4"/>
      <c r="P217" s="4"/>
      <c r="Q217" s="4"/>
      <c r="R217" s="4"/>
      <c r="S217" s="4"/>
      <c r="T217" s="4"/>
      <c r="U217" s="4"/>
      <c r="V217" s="4"/>
      <c r="W217" s="4"/>
      <c r="X217" s="4"/>
      <c r="Y217" s="4"/>
      <c r="Z217" s="45"/>
      <c r="AA217" s="45"/>
      <c r="AB217" s="4"/>
    </row>
    <row r="218" spans="1:28" ht="76.5" x14ac:dyDescent="0.25">
      <c r="A218" s="78" t="s">
        <v>1128</v>
      </c>
      <c r="B218" s="100"/>
      <c r="C218" s="100"/>
      <c r="D218" s="100"/>
      <c r="E218" s="74"/>
      <c r="F218" s="74" t="s">
        <v>863</v>
      </c>
      <c r="G218" s="74" t="s">
        <v>772</v>
      </c>
      <c r="H218" s="74" t="s">
        <v>668</v>
      </c>
      <c r="I218" s="74"/>
      <c r="J218" s="79"/>
      <c r="K218" s="4"/>
      <c r="L218" s="4"/>
      <c r="M218" s="80"/>
      <c r="N218" s="4"/>
      <c r="O218" s="4"/>
      <c r="P218" s="4"/>
      <c r="Q218" s="4"/>
      <c r="R218" s="4"/>
      <c r="S218" s="4"/>
      <c r="T218" s="4"/>
      <c r="U218" s="4"/>
      <c r="V218" s="4"/>
      <c r="W218" s="4"/>
      <c r="X218" s="4"/>
      <c r="Y218" s="4"/>
      <c r="Z218" s="45"/>
      <c r="AA218" s="45"/>
      <c r="AB218" s="4"/>
    </row>
    <row r="219" spans="1:28" ht="76.5" x14ac:dyDescent="0.25">
      <c r="A219" s="78" t="s">
        <v>1134</v>
      </c>
      <c r="B219" s="98" t="s">
        <v>1135</v>
      </c>
      <c r="C219" s="98" t="s">
        <v>1084</v>
      </c>
      <c r="D219" s="98" t="s">
        <v>1085</v>
      </c>
      <c r="E219" s="74"/>
      <c r="F219" s="74" t="s">
        <v>860</v>
      </c>
      <c r="G219" s="74" t="s">
        <v>667</v>
      </c>
      <c r="H219" s="74" t="s">
        <v>668</v>
      </c>
      <c r="I219" s="74"/>
      <c r="J219" s="79"/>
      <c r="K219" s="4"/>
      <c r="L219" s="4"/>
      <c r="M219" s="80"/>
      <c r="N219" s="4"/>
      <c r="O219" s="4"/>
      <c r="P219" s="4"/>
      <c r="Q219" s="4"/>
      <c r="R219" s="4"/>
      <c r="S219" s="4"/>
      <c r="T219" s="4"/>
      <c r="U219" s="4"/>
      <c r="V219" s="4"/>
      <c r="W219" s="4"/>
      <c r="X219" s="4"/>
      <c r="Y219" s="4"/>
      <c r="Z219" s="45"/>
      <c r="AA219" s="45"/>
      <c r="AB219" s="4"/>
    </row>
    <row r="220" spans="1:28" ht="38.25" x14ac:dyDescent="0.25">
      <c r="A220" s="78" t="s">
        <v>1134</v>
      </c>
      <c r="B220" s="100"/>
      <c r="C220" s="100"/>
      <c r="D220" s="100"/>
      <c r="E220" s="74"/>
      <c r="F220" s="74" t="s">
        <v>863</v>
      </c>
      <c r="G220" s="74" t="s">
        <v>663</v>
      </c>
      <c r="H220" s="74" t="s">
        <v>631</v>
      </c>
      <c r="I220" s="74"/>
      <c r="J220" s="79"/>
      <c r="K220" s="4"/>
      <c r="L220" s="4"/>
      <c r="M220" s="80"/>
      <c r="N220" s="4"/>
      <c r="O220" s="4"/>
      <c r="P220" s="4"/>
      <c r="Q220" s="4"/>
      <c r="R220" s="4"/>
      <c r="S220" s="4"/>
      <c r="T220" s="4"/>
      <c r="U220" s="4"/>
      <c r="V220" s="4"/>
      <c r="W220" s="4"/>
      <c r="X220" s="4"/>
      <c r="Y220" s="4"/>
      <c r="Z220" s="45"/>
      <c r="AA220" s="45"/>
      <c r="AB220" s="4"/>
    </row>
    <row r="221" spans="1:28" ht="51" x14ac:dyDescent="0.25">
      <c r="A221" s="78" t="s">
        <v>1136</v>
      </c>
      <c r="B221" s="98" t="s">
        <v>1137</v>
      </c>
      <c r="C221" s="98" t="s">
        <v>1138</v>
      </c>
      <c r="D221" s="98" t="s">
        <v>1139</v>
      </c>
      <c r="E221" s="74"/>
      <c r="F221" s="74" t="s">
        <v>860</v>
      </c>
      <c r="G221" s="74" t="s">
        <v>766</v>
      </c>
      <c r="H221" s="74" t="s">
        <v>767</v>
      </c>
      <c r="I221" s="74"/>
      <c r="J221" s="79"/>
      <c r="K221" s="4"/>
      <c r="L221" s="4"/>
      <c r="M221" s="80"/>
      <c r="N221" s="4"/>
      <c r="O221" s="4"/>
      <c r="P221" s="4"/>
      <c r="Q221" s="4"/>
      <c r="R221" s="4"/>
      <c r="S221" s="4"/>
      <c r="T221" s="4"/>
      <c r="U221" s="4"/>
      <c r="V221" s="4"/>
      <c r="W221" s="4"/>
      <c r="X221" s="4"/>
      <c r="Y221" s="4"/>
      <c r="Z221" s="45"/>
      <c r="AA221" s="45"/>
      <c r="AB221" s="4"/>
    </row>
    <row r="222" spans="1:28" ht="63.75" x14ac:dyDescent="0.25">
      <c r="A222" s="78" t="s">
        <v>1136</v>
      </c>
      <c r="B222" s="100"/>
      <c r="C222" s="100"/>
      <c r="D222" s="100"/>
      <c r="E222" s="74"/>
      <c r="F222" s="74" t="s">
        <v>863</v>
      </c>
      <c r="G222" s="74" t="s">
        <v>763</v>
      </c>
      <c r="H222" s="74" t="s">
        <v>764</v>
      </c>
      <c r="I222" s="74"/>
      <c r="J222" s="79"/>
      <c r="K222" s="4"/>
      <c r="L222" s="4"/>
      <c r="M222" s="80"/>
      <c r="N222" s="4"/>
      <c r="O222" s="4"/>
      <c r="P222" s="4"/>
      <c r="Q222" s="4"/>
      <c r="R222" s="4"/>
      <c r="S222" s="4"/>
      <c r="T222" s="4"/>
      <c r="U222" s="4"/>
      <c r="V222" s="4"/>
      <c r="W222" s="4"/>
      <c r="X222" s="4"/>
      <c r="Y222" s="4"/>
      <c r="Z222" s="45"/>
      <c r="AA222" s="45"/>
      <c r="AB222" s="4"/>
    </row>
    <row r="223" spans="1:28" ht="38.25" x14ac:dyDescent="0.25">
      <c r="A223" s="78" t="s">
        <v>1140</v>
      </c>
      <c r="B223" s="98" t="s">
        <v>1141</v>
      </c>
      <c r="C223" s="98" t="s">
        <v>1084</v>
      </c>
      <c r="D223" s="98" t="s">
        <v>1085</v>
      </c>
      <c r="E223" s="74"/>
      <c r="F223" s="74" t="s">
        <v>860</v>
      </c>
      <c r="G223" s="74" t="s">
        <v>663</v>
      </c>
      <c r="H223" s="74" t="s">
        <v>631</v>
      </c>
      <c r="I223" s="74"/>
      <c r="J223" s="79"/>
      <c r="K223" s="4"/>
      <c r="L223" s="4"/>
      <c r="M223" s="80"/>
      <c r="N223" s="4"/>
      <c r="O223" s="4"/>
      <c r="P223" s="4"/>
      <c r="Q223" s="4"/>
      <c r="R223" s="4"/>
      <c r="S223" s="4"/>
      <c r="T223" s="4"/>
      <c r="U223" s="4"/>
      <c r="V223" s="4"/>
      <c r="W223" s="4"/>
      <c r="X223" s="4"/>
      <c r="Y223" s="4"/>
      <c r="Z223" s="45"/>
      <c r="AA223" s="45"/>
      <c r="AB223" s="4"/>
    </row>
    <row r="224" spans="1:28" ht="76.5" x14ac:dyDescent="0.25">
      <c r="A224" s="78" t="s">
        <v>1140</v>
      </c>
      <c r="B224" s="100"/>
      <c r="C224" s="100"/>
      <c r="D224" s="100"/>
      <c r="E224" s="74"/>
      <c r="F224" s="74" t="s">
        <v>863</v>
      </c>
      <c r="G224" s="74" t="s">
        <v>667</v>
      </c>
      <c r="H224" s="74" t="s">
        <v>668</v>
      </c>
      <c r="I224" s="74"/>
      <c r="J224" s="79"/>
      <c r="K224" s="4"/>
      <c r="L224" s="4"/>
      <c r="M224" s="80"/>
      <c r="N224" s="4"/>
      <c r="O224" s="4"/>
      <c r="P224" s="4"/>
      <c r="Q224" s="4"/>
      <c r="R224" s="4"/>
      <c r="S224" s="4"/>
      <c r="T224" s="4"/>
      <c r="U224" s="4"/>
      <c r="V224" s="4"/>
      <c r="W224" s="4"/>
      <c r="X224" s="4"/>
      <c r="Y224" s="4"/>
      <c r="Z224" s="45"/>
      <c r="AA224" s="45"/>
      <c r="AB224" s="4"/>
    </row>
    <row r="225" spans="1:28" ht="255" x14ac:dyDescent="0.25">
      <c r="A225" s="78" t="s">
        <v>1142</v>
      </c>
      <c r="B225" s="98" t="s">
        <v>1143</v>
      </c>
      <c r="C225" s="98" t="s">
        <v>1144</v>
      </c>
      <c r="D225" s="98" t="s">
        <v>1145</v>
      </c>
      <c r="E225" s="74"/>
      <c r="F225" s="74" t="s">
        <v>860</v>
      </c>
      <c r="G225" s="74" t="s">
        <v>1146</v>
      </c>
      <c r="H225" s="74" t="s">
        <v>1147</v>
      </c>
      <c r="I225" s="74"/>
      <c r="J225" s="79"/>
      <c r="K225" s="4"/>
      <c r="L225" s="4"/>
      <c r="M225" s="80"/>
      <c r="N225" s="4"/>
      <c r="O225" s="4"/>
      <c r="P225" s="4"/>
      <c r="Q225" s="4"/>
      <c r="R225" s="4"/>
      <c r="S225" s="4"/>
      <c r="T225" s="4"/>
      <c r="U225" s="4"/>
      <c r="V225" s="4"/>
      <c r="W225" s="4"/>
      <c r="X225" s="4"/>
      <c r="Y225" s="4"/>
      <c r="Z225" s="45"/>
      <c r="AA225" s="45"/>
      <c r="AB225" s="4"/>
    </row>
    <row r="226" spans="1:28" ht="216.75" x14ac:dyDescent="0.25">
      <c r="A226" s="78" t="s">
        <v>1142</v>
      </c>
      <c r="B226" s="100"/>
      <c r="C226" s="100"/>
      <c r="D226" s="100"/>
      <c r="E226" s="74"/>
      <c r="F226" s="74" t="s">
        <v>863</v>
      </c>
      <c r="G226" s="74" t="s">
        <v>1148</v>
      </c>
      <c r="H226" s="74" t="s">
        <v>1149</v>
      </c>
      <c r="I226" s="74"/>
      <c r="J226" s="79"/>
      <c r="K226" s="4"/>
      <c r="L226" s="4"/>
      <c r="M226" s="80"/>
      <c r="N226" s="4"/>
      <c r="O226" s="4"/>
      <c r="P226" s="4"/>
      <c r="Q226" s="4"/>
      <c r="R226" s="4"/>
      <c r="S226" s="4"/>
      <c r="T226" s="4"/>
      <c r="U226" s="4"/>
      <c r="V226" s="4"/>
      <c r="W226" s="4"/>
      <c r="X226" s="4"/>
      <c r="Y226" s="4"/>
      <c r="Z226" s="45"/>
      <c r="AA226" s="45"/>
      <c r="AB226" s="4"/>
    </row>
    <row r="227" spans="1:28" ht="409.5" x14ac:dyDescent="0.25">
      <c r="A227" s="78" t="s">
        <v>1150</v>
      </c>
      <c r="B227" s="98" t="s">
        <v>1151</v>
      </c>
      <c r="C227" s="98" t="s">
        <v>1152</v>
      </c>
      <c r="D227" s="98" t="s">
        <v>1153</v>
      </c>
      <c r="E227" s="74"/>
      <c r="F227" s="74" t="s">
        <v>860</v>
      </c>
      <c r="G227" s="74" t="s">
        <v>1154</v>
      </c>
      <c r="H227" s="74" t="s">
        <v>1155</v>
      </c>
      <c r="I227" s="74"/>
      <c r="J227" s="79"/>
      <c r="K227" s="4"/>
      <c r="L227" s="4"/>
      <c r="M227" s="80"/>
      <c r="N227" s="4"/>
      <c r="O227" s="4"/>
      <c r="P227" s="4"/>
      <c r="Q227" s="4"/>
      <c r="R227" s="4"/>
      <c r="S227" s="4"/>
      <c r="T227" s="4"/>
      <c r="U227" s="4"/>
      <c r="V227" s="4"/>
      <c r="W227" s="4"/>
      <c r="X227" s="4"/>
      <c r="Y227" s="4"/>
      <c r="Z227" s="45"/>
      <c r="AA227" s="45"/>
      <c r="AB227" s="4"/>
    </row>
    <row r="228" spans="1:28" ht="25.5" x14ac:dyDescent="0.25">
      <c r="A228" s="78" t="s">
        <v>1150</v>
      </c>
      <c r="B228" s="99"/>
      <c r="C228" s="99"/>
      <c r="D228" s="99"/>
      <c r="E228" s="74"/>
      <c r="F228" s="74" t="s">
        <v>863</v>
      </c>
      <c r="G228" s="74" t="s">
        <v>1156</v>
      </c>
      <c r="H228" s="74" t="s">
        <v>1157</v>
      </c>
      <c r="I228" s="74"/>
      <c r="J228" s="79"/>
      <c r="K228" s="4"/>
      <c r="L228" s="4"/>
      <c r="M228" s="80"/>
      <c r="N228" s="4"/>
      <c r="O228" s="4"/>
      <c r="P228" s="4"/>
      <c r="Q228" s="4"/>
      <c r="R228" s="4"/>
      <c r="S228" s="4"/>
      <c r="T228" s="4"/>
      <c r="U228" s="4"/>
      <c r="V228" s="4"/>
      <c r="W228" s="4"/>
      <c r="X228" s="4"/>
      <c r="Y228" s="4"/>
      <c r="Z228" s="45"/>
      <c r="AA228" s="45"/>
      <c r="AB228" s="4"/>
    </row>
    <row r="229" spans="1:28" ht="51" x14ac:dyDescent="0.25">
      <c r="A229" s="78" t="s">
        <v>1150</v>
      </c>
      <c r="B229" s="100"/>
      <c r="C229" s="100"/>
      <c r="D229" s="100"/>
      <c r="E229" s="74"/>
      <c r="F229" s="74" t="s">
        <v>865</v>
      </c>
      <c r="G229" s="74" t="s">
        <v>1158</v>
      </c>
      <c r="H229" s="74" t="s">
        <v>1159</v>
      </c>
      <c r="I229" s="74"/>
      <c r="J229" s="79"/>
      <c r="K229" s="4"/>
      <c r="L229" s="4"/>
      <c r="M229" s="80"/>
      <c r="N229" s="4"/>
      <c r="O229" s="4"/>
      <c r="P229" s="4"/>
      <c r="Q229" s="4"/>
      <c r="R229" s="4"/>
      <c r="S229" s="4"/>
      <c r="T229" s="4"/>
      <c r="U229" s="4"/>
      <c r="V229" s="4"/>
      <c r="W229" s="4"/>
      <c r="X229" s="4"/>
      <c r="Y229" s="4"/>
      <c r="Z229" s="45"/>
      <c r="AA229" s="45"/>
      <c r="AB229" s="4"/>
    </row>
    <row r="230" spans="1:28" ht="255" x14ac:dyDescent="0.25">
      <c r="A230" s="110" t="s">
        <v>1160</v>
      </c>
      <c r="B230" s="98" t="s">
        <v>1161</v>
      </c>
      <c r="C230" s="98" t="s">
        <v>1162</v>
      </c>
      <c r="D230" s="98" t="s">
        <v>1163</v>
      </c>
      <c r="E230" s="74"/>
      <c r="F230" s="74" t="s">
        <v>860</v>
      </c>
      <c r="G230" s="74" t="s">
        <v>1146</v>
      </c>
      <c r="H230" s="74" t="s">
        <v>1147</v>
      </c>
      <c r="I230" s="74"/>
      <c r="J230" s="79"/>
      <c r="K230" s="4"/>
      <c r="L230" s="4"/>
      <c r="M230" s="80"/>
      <c r="N230" s="4"/>
      <c r="O230" s="4"/>
      <c r="P230" s="4"/>
      <c r="Q230" s="4"/>
      <c r="R230" s="4"/>
      <c r="S230" s="4"/>
      <c r="T230" s="4"/>
      <c r="U230" s="4"/>
      <c r="V230" s="4"/>
      <c r="W230" s="4"/>
      <c r="X230" s="4"/>
      <c r="Y230" s="4"/>
      <c r="Z230" s="45"/>
      <c r="AA230" s="45"/>
      <c r="AB230" s="4"/>
    </row>
    <row r="231" spans="1:28" ht="216.75" x14ac:dyDescent="0.25">
      <c r="A231" s="110"/>
      <c r="B231" s="100"/>
      <c r="C231" s="100"/>
      <c r="D231" s="100"/>
      <c r="E231" s="74"/>
      <c r="F231" s="74" t="s">
        <v>863</v>
      </c>
      <c r="G231" s="74" t="s">
        <v>1148</v>
      </c>
      <c r="H231" s="74" t="s">
        <v>1149</v>
      </c>
      <c r="I231" s="74"/>
      <c r="J231" s="79"/>
      <c r="K231" s="4"/>
      <c r="L231" s="4"/>
      <c r="M231" s="80"/>
      <c r="N231" s="4"/>
      <c r="O231" s="4"/>
      <c r="P231" s="4"/>
      <c r="Q231" s="4"/>
      <c r="R231" s="4"/>
      <c r="S231" s="4"/>
      <c r="T231" s="4"/>
      <c r="U231" s="4"/>
      <c r="V231" s="4"/>
      <c r="W231" s="4"/>
      <c r="X231" s="4"/>
      <c r="Y231" s="4"/>
      <c r="Z231" s="45"/>
      <c r="AA231" s="45"/>
      <c r="AB231" s="4"/>
    </row>
    <row r="232" spans="1:28" ht="38.25" x14ac:dyDescent="0.25">
      <c r="A232" s="78" t="s">
        <v>1164</v>
      </c>
      <c r="B232" s="98" t="s">
        <v>1165</v>
      </c>
      <c r="C232" s="98" t="s">
        <v>1166</v>
      </c>
      <c r="D232" s="98" t="s">
        <v>1167</v>
      </c>
      <c r="E232" s="74"/>
      <c r="F232" s="74" t="s">
        <v>860</v>
      </c>
      <c r="G232" s="74" t="s">
        <v>630</v>
      </c>
      <c r="H232" s="74" t="s">
        <v>631</v>
      </c>
      <c r="I232" s="74"/>
      <c r="J232" s="79"/>
      <c r="K232" s="4"/>
      <c r="L232" s="4"/>
      <c r="M232" s="80"/>
      <c r="N232" s="4"/>
      <c r="O232" s="4"/>
      <c r="P232" s="4"/>
      <c r="Q232" s="4"/>
      <c r="R232" s="4"/>
      <c r="S232" s="4"/>
      <c r="T232" s="4"/>
      <c r="U232" s="4"/>
      <c r="V232" s="4"/>
      <c r="W232" s="4"/>
      <c r="X232" s="4"/>
      <c r="Y232" s="4"/>
      <c r="Z232" s="45"/>
      <c r="AA232" s="45"/>
      <c r="AB232" s="4"/>
    </row>
    <row r="233" spans="1:28" ht="76.5" x14ac:dyDescent="0.25">
      <c r="A233" s="78" t="s">
        <v>1164</v>
      </c>
      <c r="B233" s="100"/>
      <c r="C233" s="100"/>
      <c r="D233" s="100"/>
      <c r="E233" s="74"/>
      <c r="F233" s="74" t="s">
        <v>863</v>
      </c>
      <c r="G233" s="74" t="s">
        <v>772</v>
      </c>
      <c r="H233" s="74" t="s">
        <v>668</v>
      </c>
      <c r="I233" s="74"/>
      <c r="J233" s="79"/>
      <c r="K233" s="4"/>
      <c r="L233" s="4"/>
      <c r="M233" s="80"/>
      <c r="N233" s="4"/>
      <c r="O233" s="4"/>
      <c r="P233" s="4"/>
      <c r="Q233" s="4"/>
      <c r="R233" s="4"/>
      <c r="S233" s="4"/>
      <c r="T233" s="4"/>
      <c r="U233" s="4"/>
      <c r="V233" s="4"/>
      <c r="W233" s="4"/>
      <c r="X233" s="4"/>
      <c r="Y233" s="4"/>
      <c r="Z233" s="45"/>
      <c r="AA233" s="45"/>
      <c r="AB233" s="4"/>
    </row>
    <row r="234" spans="1:28" ht="25.5" x14ac:dyDescent="0.25">
      <c r="A234" s="78" t="s">
        <v>1168</v>
      </c>
      <c r="B234" s="98" t="s">
        <v>1169</v>
      </c>
      <c r="C234" s="98" t="s">
        <v>1073</v>
      </c>
      <c r="D234" s="98" t="s">
        <v>1074</v>
      </c>
      <c r="E234" s="74"/>
      <c r="F234" s="74" t="s">
        <v>860</v>
      </c>
      <c r="G234" s="74" t="s">
        <v>807</v>
      </c>
      <c r="H234" s="74" t="s">
        <v>808</v>
      </c>
      <c r="I234" s="74"/>
      <c r="J234" s="79"/>
      <c r="K234" s="4"/>
      <c r="L234" s="4"/>
      <c r="M234" s="80"/>
      <c r="N234" s="4"/>
      <c r="O234" s="4"/>
      <c r="P234" s="4"/>
      <c r="Q234" s="4"/>
      <c r="R234" s="4"/>
      <c r="S234" s="4"/>
      <c r="T234" s="4"/>
      <c r="U234" s="4"/>
      <c r="V234" s="4"/>
      <c r="W234" s="4"/>
      <c r="X234" s="4"/>
      <c r="Y234" s="4"/>
      <c r="Z234" s="45"/>
      <c r="AA234" s="45"/>
      <c r="AB234" s="4"/>
    </row>
    <row r="235" spans="1:28" ht="89.25" x14ac:dyDescent="0.25">
      <c r="A235" s="78" t="s">
        <v>1168</v>
      </c>
      <c r="B235" s="100"/>
      <c r="C235" s="100"/>
      <c r="D235" s="100"/>
      <c r="E235" s="74"/>
      <c r="F235" s="74" t="s">
        <v>863</v>
      </c>
      <c r="G235" s="74" t="s">
        <v>811</v>
      </c>
      <c r="H235" s="74" t="s">
        <v>812</v>
      </c>
      <c r="I235" s="74"/>
      <c r="J235" s="79"/>
      <c r="K235" s="4"/>
      <c r="L235" s="4"/>
      <c r="M235" s="80"/>
      <c r="N235" s="4"/>
      <c r="O235" s="4"/>
      <c r="P235" s="4"/>
      <c r="Q235" s="4"/>
      <c r="R235" s="4"/>
      <c r="S235" s="4"/>
      <c r="T235" s="4"/>
      <c r="U235" s="4"/>
      <c r="V235" s="4"/>
      <c r="W235" s="4"/>
      <c r="X235" s="4"/>
      <c r="Y235" s="4"/>
      <c r="Z235" s="45"/>
      <c r="AA235" s="45"/>
      <c r="AB235" s="4"/>
    </row>
    <row r="236" spans="1:28" ht="191.25" x14ac:dyDescent="0.25">
      <c r="A236" s="110" t="s">
        <v>1170</v>
      </c>
      <c r="B236" s="98" t="s">
        <v>1171</v>
      </c>
      <c r="C236" s="98" t="s">
        <v>1172</v>
      </c>
      <c r="D236" s="98" t="s">
        <v>1173</v>
      </c>
      <c r="E236" s="74"/>
      <c r="F236" s="74" t="s">
        <v>860</v>
      </c>
      <c r="G236" s="74" t="s">
        <v>1174</v>
      </c>
      <c r="H236" s="74" t="s">
        <v>1172</v>
      </c>
      <c r="I236" s="74"/>
      <c r="J236" s="79"/>
      <c r="K236" s="4"/>
      <c r="L236" s="4"/>
      <c r="M236" s="80"/>
      <c r="N236" s="4"/>
      <c r="O236" s="4"/>
      <c r="P236" s="4"/>
      <c r="Q236" s="4"/>
      <c r="R236" s="4"/>
      <c r="S236" s="4"/>
      <c r="T236" s="112">
        <v>1</v>
      </c>
      <c r="U236" s="4"/>
      <c r="V236" s="4"/>
      <c r="W236" s="4"/>
      <c r="X236" s="4"/>
      <c r="Y236" s="4"/>
      <c r="Z236" s="45"/>
      <c r="AA236" s="45"/>
      <c r="AB236" s="4"/>
    </row>
    <row r="237" spans="1:28" ht="127.5" x14ac:dyDescent="0.25">
      <c r="A237" s="110"/>
      <c r="B237" s="99"/>
      <c r="C237" s="99"/>
      <c r="D237" s="99"/>
      <c r="E237" s="74"/>
      <c r="F237" s="74" t="s">
        <v>863</v>
      </c>
      <c r="G237" s="74" t="s">
        <v>1173</v>
      </c>
      <c r="H237" s="74" t="s">
        <v>1172</v>
      </c>
      <c r="I237" s="74"/>
      <c r="J237" s="79"/>
      <c r="K237" s="4"/>
      <c r="L237" s="4"/>
      <c r="M237" s="80"/>
      <c r="N237" s="4"/>
      <c r="O237" s="4"/>
      <c r="P237" s="4"/>
      <c r="Q237" s="4"/>
      <c r="R237" s="4"/>
      <c r="S237" s="4"/>
      <c r="T237" s="112"/>
      <c r="U237" s="4"/>
      <c r="V237" s="4"/>
      <c r="W237" s="4"/>
      <c r="X237" s="4"/>
      <c r="Y237" s="4"/>
      <c r="Z237" s="45"/>
      <c r="AA237" s="45"/>
      <c r="AB237" s="4"/>
    </row>
    <row r="238" spans="1:28" ht="127.5" x14ac:dyDescent="0.25">
      <c r="A238" s="110"/>
      <c r="B238" s="100"/>
      <c r="C238" s="100"/>
      <c r="D238" s="100"/>
      <c r="E238" s="74"/>
      <c r="F238" s="74" t="s">
        <v>865</v>
      </c>
      <c r="G238" s="74" t="s">
        <v>1175</v>
      </c>
      <c r="H238" s="74" t="s">
        <v>1172</v>
      </c>
      <c r="I238" s="74"/>
      <c r="J238" s="79"/>
      <c r="K238" s="4"/>
      <c r="L238" s="4"/>
      <c r="M238" s="80"/>
      <c r="N238" s="4"/>
      <c r="O238" s="4"/>
      <c r="P238" s="4"/>
      <c r="Q238" s="4"/>
      <c r="R238" s="4"/>
      <c r="S238" s="4"/>
      <c r="T238" s="112"/>
      <c r="U238" s="4"/>
      <c r="V238" s="4"/>
      <c r="W238" s="4"/>
      <c r="X238" s="4"/>
      <c r="Y238" s="4"/>
      <c r="Z238" s="45"/>
      <c r="AA238" s="45"/>
      <c r="AB238" s="4"/>
    </row>
    <row r="239" spans="1:28" ht="127.5" x14ac:dyDescent="0.25">
      <c r="A239" s="110" t="s">
        <v>1176</v>
      </c>
      <c r="B239" s="98" t="s">
        <v>1177</v>
      </c>
      <c r="C239" s="98" t="s">
        <v>1021</v>
      </c>
      <c r="D239" s="98" t="s">
        <v>1022</v>
      </c>
      <c r="E239" s="74"/>
      <c r="F239" s="74" t="s">
        <v>860</v>
      </c>
      <c r="G239" s="74" t="s">
        <v>253</v>
      </c>
      <c r="H239" s="74" t="s">
        <v>254</v>
      </c>
      <c r="I239" s="74"/>
      <c r="J239" s="79"/>
      <c r="K239" s="4"/>
      <c r="L239" s="4"/>
      <c r="M239" s="80"/>
      <c r="N239" s="4"/>
      <c r="O239" s="4"/>
      <c r="P239" s="4"/>
      <c r="Q239" s="4"/>
      <c r="R239" s="4"/>
      <c r="S239" s="4"/>
      <c r="T239" s="4"/>
      <c r="U239" s="4"/>
      <c r="V239" s="4"/>
      <c r="W239" s="4"/>
      <c r="X239" s="4"/>
      <c r="Y239" s="4"/>
      <c r="Z239" s="45"/>
      <c r="AA239" s="45"/>
      <c r="AB239" s="4"/>
    </row>
    <row r="240" spans="1:28" ht="63.75" x14ac:dyDescent="0.25">
      <c r="A240" s="110"/>
      <c r="B240" s="100"/>
      <c r="C240" s="100"/>
      <c r="D240" s="100"/>
      <c r="E240" s="74"/>
      <c r="F240" s="74" t="s">
        <v>863</v>
      </c>
      <c r="G240" s="74" t="s">
        <v>257</v>
      </c>
      <c r="H240" s="74" t="s">
        <v>258</v>
      </c>
      <c r="I240" s="74"/>
      <c r="J240" s="79"/>
      <c r="K240" s="4"/>
      <c r="L240" s="4"/>
      <c r="M240" s="80"/>
      <c r="N240" s="4"/>
      <c r="O240" s="4"/>
      <c r="P240" s="4"/>
      <c r="Q240" s="4"/>
      <c r="R240" s="4"/>
      <c r="S240" s="4"/>
      <c r="T240" s="4"/>
      <c r="U240" s="4"/>
      <c r="V240" s="4"/>
      <c r="W240" s="4"/>
      <c r="X240" s="4"/>
      <c r="Y240" s="4"/>
      <c r="Z240" s="45"/>
      <c r="AA240" s="45"/>
      <c r="AB240" s="4"/>
    </row>
    <row r="241" spans="1:28" ht="25.5" x14ac:dyDescent="0.25">
      <c r="A241" s="110" t="s">
        <v>1178</v>
      </c>
      <c r="B241" s="98" t="s">
        <v>1179</v>
      </c>
      <c r="C241" s="98" t="s">
        <v>1180</v>
      </c>
      <c r="D241" s="98" t="s">
        <v>1181</v>
      </c>
      <c r="E241" s="74"/>
      <c r="F241" s="74" t="s">
        <v>860</v>
      </c>
      <c r="G241" s="74" t="s">
        <v>807</v>
      </c>
      <c r="H241" s="74" t="s">
        <v>808</v>
      </c>
      <c r="I241" s="74"/>
      <c r="J241" s="79"/>
      <c r="K241" s="4"/>
      <c r="L241" s="4"/>
      <c r="M241" s="80"/>
      <c r="N241" s="4"/>
      <c r="O241" s="4"/>
      <c r="P241" s="4"/>
      <c r="Q241" s="4"/>
      <c r="R241" s="4"/>
      <c r="S241" s="4"/>
      <c r="T241" s="4"/>
      <c r="U241" s="4"/>
      <c r="V241" s="4"/>
      <c r="W241" s="4"/>
      <c r="X241" s="4"/>
      <c r="Y241" s="4"/>
      <c r="Z241" s="45"/>
      <c r="AA241" s="45"/>
      <c r="AB241" s="4"/>
    </row>
    <row r="242" spans="1:28" ht="89.25" x14ac:dyDescent="0.25">
      <c r="A242" s="110"/>
      <c r="B242" s="100"/>
      <c r="C242" s="100"/>
      <c r="D242" s="100"/>
      <c r="E242" s="74"/>
      <c r="F242" s="74" t="s">
        <v>863</v>
      </c>
      <c r="G242" s="74" t="s">
        <v>811</v>
      </c>
      <c r="H242" s="74" t="s">
        <v>812</v>
      </c>
      <c r="I242" s="74"/>
      <c r="J242" s="79"/>
      <c r="K242" s="4"/>
      <c r="L242" s="4"/>
      <c r="M242" s="80"/>
      <c r="N242" s="4"/>
      <c r="O242" s="4"/>
      <c r="P242" s="4"/>
      <c r="Q242" s="4"/>
      <c r="R242" s="4"/>
      <c r="S242" s="4"/>
      <c r="T242" s="4"/>
      <c r="U242" s="4"/>
      <c r="V242" s="4"/>
      <c r="W242" s="4"/>
      <c r="X242" s="4"/>
      <c r="Y242" s="4"/>
      <c r="Z242" s="45"/>
      <c r="AA242" s="45"/>
      <c r="AB242" s="4"/>
    </row>
    <row r="243" spans="1:28" ht="76.5" x14ac:dyDescent="0.25">
      <c r="A243" s="110" t="s">
        <v>1182</v>
      </c>
      <c r="B243" s="98" t="s">
        <v>1183</v>
      </c>
      <c r="C243" s="98" t="s">
        <v>1184</v>
      </c>
      <c r="D243" s="98" t="s">
        <v>1185</v>
      </c>
      <c r="E243" s="74"/>
      <c r="F243" s="74" t="s">
        <v>860</v>
      </c>
      <c r="G243" s="74" t="s">
        <v>1186</v>
      </c>
      <c r="H243" s="74" t="s">
        <v>1111</v>
      </c>
      <c r="I243" s="74"/>
      <c r="J243" s="79"/>
      <c r="K243" s="4"/>
      <c r="L243" s="4"/>
      <c r="M243" s="80"/>
      <c r="N243" s="4"/>
      <c r="O243" s="4"/>
      <c r="P243" s="4"/>
      <c r="Q243" s="4"/>
      <c r="R243" s="4"/>
      <c r="S243" s="4"/>
      <c r="T243" s="4"/>
      <c r="U243" s="4"/>
      <c r="V243" s="4"/>
      <c r="W243" s="4"/>
      <c r="X243" s="4"/>
      <c r="Y243" s="4"/>
      <c r="Z243" s="45"/>
      <c r="AA243" s="45"/>
      <c r="AB243" s="4"/>
    </row>
    <row r="244" spans="1:28" ht="216.75" x14ac:dyDescent="0.25">
      <c r="A244" s="110"/>
      <c r="B244" s="100"/>
      <c r="C244" s="100"/>
      <c r="D244" s="100"/>
      <c r="E244" s="74"/>
      <c r="F244" s="74" t="s">
        <v>863</v>
      </c>
      <c r="G244" s="74" t="s">
        <v>1108</v>
      </c>
      <c r="H244" s="74" t="s">
        <v>1109</v>
      </c>
      <c r="I244" s="74"/>
      <c r="J244" s="79"/>
      <c r="K244" s="4"/>
      <c r="L244" s="4"/>
      <c r="M244" s="80"/>
      <c r="N244" s="4"/>
      <c r="O244" s="4"/>
      <c r="P244" s="4"/>
      <c r="Q244" s="4"/>
      <c r="R244" s="4"/>
      <c r="S244" s="4"/>
      <c r="T244" s="4"/>
      <c r="U244" s="4"/>
      <c r="V244" s="4"/>
      <c r="W244" s="4"/>
      <c r="X244" s="4"/>
      <c r="Y244" s="4"/>
      <c r="Z244" s="45"/>
      <c r="AA244" s="45"/>
      <c r="AB244" s="4"/>
    </row>
    <row r="245" spans="1:28" ht="293.25" x14ac:dyDescent="0.25">
      <c r="A245" s="110" t="s">
        <v>1187</v>
      </c>
      <c r="B245" s="98" t="s">
        <v>1188</v>
      </c>
      <c r="C245" s="98" t="s">
        <v>1189</v>
      </c>
      <c r="D245" s="98" t="s">
        <v>1190</v>
      </c>
      <c r="E245" s="74"/>
      <c r="F245" s="74" t="s">
        <v>860</v>
      </c>
      <c r="G245" s="74" t="s">
        <v>1191</v>
      </c>
      <c r="H245" s="74" t="s">
        <v>1192</v>
      </c>
      <c r="I245" s="74"/>
      <c r="J245" s="79"/>
      <c r="K245" s="4"/>
      <c r="L245" s="4"/>
      <c r="M245" s="80"/>
      <c r="N245" s="4"/>
      <c r="O245" s="4"/>
      <c r="P245" s="4"/>
      <c r="Q245" s="4"/>
      <c r="R245" s="4"/>
      <c r="S245" s="4"/>
      <c r="T245" s="4"/>
      <c r="U245" s="4"/>
      <c r="V245" s="4"/>
      <c r="W245" s="4"/>
      <c r="X245" s="4"/>
      <c r="Y245" s="4"/>
      <c r="Z245" s="45"/>
      <c r="AA245" s="45"/>
      <c r="AB245" s="4"/>
    </row>
    <row r="246" spans="1:28" ht="255" x14ac:dyDescent="0.25">
      <c r="A246" s="110"/>
      <c r="B246" s="100"/>
      <c r="C246" s="100"/>
      <c r="D246" s="100"/>
      <c r="E246" s="74"/>
      <c r="F246" s="74" t="s">
        <v>863</v>
      </c>
      <c r="G246" s="74" t="s">
        <v>1193</v>
      </c>
      <c r="H246" s="74" t="s">
        <v>1194</v>
      </c>
      <c r="I246" s="74"/>
      <c r="J246" s="79"/>
      <c r="K246" s="4"/>
      <c r="L246" s="4"/>
      <c r="M246" s="80"/>
      <c r="N246" s="4"/>
      <c r="O246" s="4"/>
      <c r="P246" s="4"/>
      <c r="Q246" s="4"/>
      <c r="R246" s="4"/>
      <c r="S246" s="4"/>
      <c r="T246" s="4"/>
      <c r="U246" s="4"/>
      <c r="V246" s="4"/>
      <c r="W246" s="4"/>
      <c r="X246" s="4"/>
      <c r="Y246" s="4"/>
      <c r="Z246" s="45"/>
      <c r="AA246" s="45"/>
      <c r="AB246" s="4"/>
    </row>
    <row r="247" spans="1:28" ht="89.25" x14ac:dyDescent="0.25">
      <c r="A247" s="78" t="s">
        <v>1195</v>
      </c>
      <c r="B247" s="74" t="s">
        <v>1196</v>
      </c>
      <c r="C247" s="74" t="s">
        <v>1197</v>
      </c>
      <c r="D247" s="74" t="s">
        <v>1198</v>
      </c>
      <c r="E247" s="74"/>
      <c r="F247" s="74" t="s">
        <v>860</v>
      </c>
      <c r="G247" s="74" t="s">
        <v>422</v>
      </c>
      <c r="H247" s="74" t="s">
        <v>423</v>
      </c>
      <c r="I247" s="74"/>
      <c r="J247" s="79"/>
      <c r="K247" s="4"/>
      <c r="L247" s="4"/>
      <c r="M247" s="80"/>
      <c r="N247" s="4"/>
      <c r="O247" s="4"/>
      <c r="P247" s="4"/>
      <c r="Q247" s="4"/>
      <c r="R247" s="4"/>
      <c r="S247" s="4"/>
      <c r="T247" s="4"/>
      <c r="U247" s="4"/>
      <c r="V247" s="4"/>
      <c r="W247" s="4"/>
      <c r="X247" s="4"/>
      <c r="Y247" s="4"/>
      <c r="Z247" s="45"/>
      <c r="AA247" s="45"/>
      <c r="AB247" s="4"/>
    </row>
    <row r="248" spans="1:28" ht="153" x14ac:dyDescent="0.25">
      <c r="A248" s="78" t="s">
        <v>1199</v>
      </c>
      <c r="B248" s="98" t="s">
        <v>1200</v>
      </c>
      <c r="C248" s="98" t="s">
        <v>1201</v>
      </c>
      <c r="D248" s="98" t="s">
        <v>1202</v>
      </c>
      <c r="E248" s="74"/>
      <c r="F248" s="74" t="s">
        <v>860</v>
      </c>
      <c r="G248" s="74" t="s">
        <v>1203</v>
      </c>
      <c r="H248" s="74" t="s">
        <v>1201</v>
      </c>
      <c r="I248" s="74"/>
      <c r="J248" s="79"/>
      <c r="K248" s="4"/>
      <c r="L248" s="4"/>
      <c r="M248" s="80"/>
      <c r="N248" s="4"/>
      <c r="O248" s="4"/>
      <c r="P248" s="4"/>
      <c r="Q248" s="4"/>
      <c r="R248" s="4"/>
      <c r="S248" s="4"/>
      <c r="T248" s="112">
        <v>1</v>
      </c>
      <c r="U248" s="4"/>
      <c r="V248" s="4"/>
      <c r="W248" s="4"/>
      <c r="X248" s="4"/>
      <c r="Y248" s="4"/>
      <c r="Z248" s="45"/>
      <c r="AA248" s="45"/>
      <c r="AB248" s="4"/>
    </row>
    <row r="249" spans="1:28" ht="153" x14ac:dyDescent="0.25">
      <c r="A249" s="78" t="s">
        <v>1199</v>
      </c>
      <c r="B249" s="99"/>
      <c r="C249" s="99"/>
      <c r="D249" s="99"/>
      <c r="E249" s="74"/>
      <c r="F249" s="74" t="s">
        <v>863</v>
      </c>
      <c r="G249" s="74" t="s">
        <v>1204</v>
      </c>
      <c r="H249" s="74" t="s">
        <v>1201</v>
      </c>
      <c r="I249" s="74"/>
      <c r="J249" s="79"/>
      <c r="K249" s="4"/>
      <c r="L249" s="4"/>
      <c r="M249" s="80"/>
      <c r="N249" s="4"/>
      <c r="O249" s="4"/>
      <c r="P249" s="4"/>
      <c r="Q249" s="4"/>
      <c r="R249" s="4"/>
      <c r="S249" s="4"/>
      <c r="T249" s="112"/>
      <c r="U249" s="4"/>
      <c r="V249" s="4"/>
      <c r="W249" s="4"/>
      <c r="X249" s="4"/>
      <c r="Y249" s="4"/>
      <c r="Z249" s="45"/>
      <c r="AA249" s="45"/>
      <c r="AB249" s="4"/>
    </row>
    <row r="250" spans="1:28" ht="153" x14ac:dyDescent="0.25">
      <c r="A250" s="78" t="s">
        <v>1199</v>
      </c>
      <c r="B250" s="100"/>
      <c r="C250" s="100"/>
      <c r="D250" s="100"/>
      <c r="E250" s="74"/>
      <c r="F250" s="74" t="s">
        <v>865</v>
      </c>
      <c r="G250" s="74" t="s">
        <v>1202</v>
      </c>
      <c r="H250" s="74" t="s">
        <v>1201</v>
      </c>
      <c r="I250" s="74"/>
      <c r="J250" s="79"/>
      <c r="K250" s="4"/>
      <c r="L250" s="4"/>
      <c r="M250" s="80"/>
      <c r="N250" s="4"/>
      <c r="O250" s="4"/>
      <c r="P250" s="4"/>
      <c r="Q250" s="4"/>
      <c r="R250" s="4"/>
      <c r="S250" s="4"/>
      <c r="T250" s="112"/>
      <c r="U250" s="4"/>
      <c r="V250" s="4"/>
      <c r="W250" s="4"/>
      <c r="X250" s="4"/>
      <c r="Y250" s="4"/>
      <c r="Z250" s="45"/>
      <c r="AA250" s="45"/>
      <c r="AB250" s="4"/>
    </row>
    <row r="251" spans="1:28" ht="25.5" x14ac:dyDescent="0.25">
      <c r="A251" s="78" t="s">
        <v>1205</v>
      </c>
      <c r="B251" s="98" t="s">
        <v>1206</v>
      </c>
      <c r="C251" s="98" t="s">
        <v>1207</v>
      </c>
      <c r="D251" s="98" t="s">
        <v>1208</v>
      </c>
      <c r="E251" s="74"/>
      <c r="F251" s="74" t="s">
        <v>860</v>
      </c>
      <c r="G251" s="74" t="s">
        <v>1209</v>
      </c>
      <c r="H251" s="74" t="s">
        <v>1210</v>
      </c>
      <c r="I251" s="74"/>
      <c r="J251" s="79"/>
      <c r="K251" s="4"/>
      <c r="L251" s="4"/>
      <c r="M251" s="80"/>
      <c r="N251" s="4"/>
      <c r="O251" s="4"/>
      <c r="P251" s="4"/>
      <c r="Q251" s="4"/>
      <c r="R251" s="4"/>
      <c r="S251" s="4"/>
      <c r="T251" s="4"/>
      <c r="U251" s="4"/>
      <c r="V251" s="4"/>
      <c r="W251" s="4"/>
      <c r="X251" s="4"/>
      <c r="Y251" s="4"/>
      <c r="Z251" s="45"/>
      <c r="AA251" s="45"/>
      <c r="AB251" s="4"/>
    </row>
    <row r="252" spans="1:28" ht="382.5" x14ac:dyDescent="0.25">
      <c r="A252" s="78" t="s">
        <v>1205</v>
      </c>
      <c r="B252" s="100"/>
      <c r="C252" s="100"/>
      <c r="D252" s="100"/>
      <c r="E252" s="74"/>
      <c r="F252" s="74" t="s">
        <v>863</v>
      </c>
      <c r="G252" s="74" t="s">
        <v>1211</v>
      </c>
      <c r="H252" s="74" t="s">
        <v>1212</v>
      </c>
      <c r="I252" s="74"/>
      <c r="J252" s="79"/>
      <c r="K252" s="4"/>
      <c r="L252" s="4"/>
      <c r="M252" s="80"/>
      <c r="N252" s="4"/>
      <c r="O252" s="4"/>
      <c r="P252" s="4"/>
      <c r="Q252" s="4"/>
      <c r="R252" s="4"/>
      <c r="S252" s="4"/>
      <c r="T252" s="4"/>
      <c r="U252" s="4"/>
      <c r="V252" s="4"/>
      <c r="W252" s="4"/>
      <c r="X252" s="4"/>
      <c r="Y252" s="4"/>
      <c r="Z252" s="45"/>
      <c r="AA252" s="45"/>
      <c r="AB252" s="4"/>
    </row>
    <row r="253" spans="1:28" ht="25.5" x14ac:dyDescent="0.25">
      <c r="A253" s="78" t="s">
        <v>1213</v>
      </c>
      <c r="B253" s="98" t="s">
        <v>1214</v>
      </c>
      <c r="C253" s="98" t="s">
        <v>1073</v>
      </c>
      <c r="D253" s="98" t="s">
        <v>1074</v>
      </c>
      <c r="E253" s="74"/>
      <c r="F253" s="74" t="s">
        <v>860</v>
      </c>
      <c r="G253" s="74" t="s">
        <v>807</v>
      </c>
      <c r="H253" s="74" t="s">
        <v>808</v>
      </c>
      <c r="I253" s="74"/>
      <c r="J253" s="79"/>
      <c r="K253" s="4"/>
      <c r="L253" s="4"/>
      <c r="M253" s="80"/>
      <c r="N253" s="4"/>
      <c r="O253" s="4"/>
      <c r="P253" s="4"/>
      <c r="Q253" s="4"/>
      <c r="R253" s="4"/>
      <c r="S253" s="4"/>
      <c r="T253" s="4"/>
      <c r="U253" s="4"/>
      <c r="V253" s="4"/>
      <c r="W253" s="4"/>
      <c r="X253" s="4"/>
      <c r="Y253" s="4"/>
      <c r="Z253" s="45"/>
      <c r="AA253" s="45"/>
      <c r="AB253" s="4"/>
    </row>
    <row r="254" spans="1:28" ht="89.25" x14ac:dyDescent="0.25">
      <c r="A254" s="78" t="s">
        <v>1213</v>
      </c>
      <c r="B254" s="100"/>
      <c r="C254" s="100"/>
      <c r="D254" s="100"/>
      <c r="E254" s="74"/>
      <c r="F254" s="74" t="s">
        <v>863</v>
      </c>
      <c r="G254" s="74" t="s">
        <v>811</v>
      </c>
      <c r="H254" s="74" t="s">
        <v>812</v>
      </c>
      <c r="I254" s="74"/>
      <c r="J254" s="79"/>
      <c r="K254" s="4"/>
      <c r="L254" s="4"/>
      <c r="M254" s="80"/>
      <c r="N254" s="4"/>
      <c r="O254" s="4"/>
      <c r="P254" s="4"/>
      <c r="Q254" s="4"/>
      <c r="R254" s="4"/>
      <c r="S254" s="4"/>
      <c r="T254" s="4"/>
      <c r="U254" s="4"/>
      <c r="V254" s="4"/>
      <c r="W254" s="4"/>
      <c r="X254" s="4"/>
      <c r="Y254" s="4"/>
      <c r="Z254" s="45"/>
      <c r="AA254" s="45"/>
      <c r="AB254" s="4"/>
    </row>
    <row r="255" spans="1:28" ht="165.75" x14ac:dyDescent="0.25">
      <c r="A255" s="78" t="s">
        <v>1215</v>
      </c>
      <c r="B255" s="98" t="s">
        <v>1216</v>
      </c>
      <c r="C255" s="98" t="s">
        <v>1217</v>
      </c>
      <c r="D255" s="98" t="s">
        <v>1218</v>
      </c>
      <c r="E255" s="74"/>
      <c r="F255" s="74" t="s">
        <v>860</v>
      </c>
      <c r="G255" s="74" t="s">
        <v>1219</v>
      </c>
      <c r="H255" s="74" t="s">
        <v>509</v>
      </c>
      <c r="I255" s="74"/>
      <c r="J255" s="79"/>
      <c r="K255" s="4"/>
      <c r="L255" s="4"/>
      <c r="M255" s="80"/>
      <c r="N255" s="4"/>
      <c r="O255" s="4"/>
      <c r="P255" s="4"/>
      <c r="Q255" s="4"/>
      <c r="R255" s="4"/>
      <c r="S255" s="4"/>
      <c r="T255" s="4"/>
      <c r="U255" s="4"/>
      <c r="V255" s="4"/>
      <c r="W255" s="4"/>
      <c r="X255" s="4"/>
      <c r="Y255" s="4"/>
      <c r="Z255" s="45"/>
      <c r="AA255" s="45"/>
      <c r="AB255" s="4"/>
    </row>
    <row r="256" spans="1:28" ht="63.75" x14ac:dyDescent="0.25">
      <c r="A256" s="78" t="s">
        <v>1215</v>
      </c>
      <c r="B256" s="100"/>
      <c r="C256" s="100"/>
      <c r="D256" s="100"/>
      <c r="E256" s="74"/>
      <c r="F256" s="74" t="s">
        <v>863</v>
      </c>
      <c r="G256" s="74" t="s">
        <v>1220</v>
      </c>
      <c r="H256" s="74" t="s">
        <v>1221</v>
      </c>
      <c r="I256" s="74"/>
      <c r="J256" s="79"/>
      <c r="K256" s="4"/>
      <c r="L256" s="4"/>
      <c r="M256" s="80"/>
      <c r="N256" s="4"/>
      <c r="O256" s="4"/>
      <c r="P256" s="4"/>
      <c r="Q256" s="4"/>
      <c r="R256" s="4"/>
      <c r="S256" s="4"/>
      <c r="T256" s="4"/>
      <c r="U256" s="4"/>
      <c r="V256" s="4"/>
      <c r="W256" s="4"/>
      <c r="X256" s="4"/>
      <c r="Y256" s="4"/>
      <c r="Z256" s="45"/>
      <c r="AA256" s="45"/>
      <c r="AB256" s="4"/>
    </row>
    <row r="257" spans="1:28" ht="38.25" x14ac:dyDescent="0.25">
      <c r="A257" s="78" t="s">
        <v>1222</v>
      </c>
      <c r="B257" s="98" t="s">
        <v>1223</v>
      </c>
      <c r="C257" s="98" t="s">
        <v>1084</v>
      </c>
      <c r="D257" s="98" t="s">
        <v>1085</v>
      </c>
      <c r="E257" s="74"/>
      <c r="F257" s="74" t="s">
        <v>860</v>
      </c>
      <c r="G257" s="74" t="s">
        <v>663</v>
      </c>
      <c r="H257" s="74" t="s">
        <v>631</v>
      </c>
      <c r="I257" s="74"/>
      <c r="J257" s="79"/>
      <c r="K257" s="4"/>
      <c r="L257" s="4"/>
      <c r="M257" s="80"/>
      <c r="N257" s="4"/>
      <c r="O257" s="4"/>
      <c r="P257" s="4"/>
      <c r="Q257" s="4"/>
      <c r="R257" s="4"/>
      <c r="S257" s="4"/>
      <c r="T257" s="4"/>
      <c r="U257" s="4"/>
      <c r="V257" s="4"/>
      <c r="W257" s="4"/>
      <c r="X257" s="4"/>
      <c r="Y257" s="4"/>
      <c r="Z257" s="45"/>
      <c r="AA257" s="45"/>
      <c r="AB257" s="4"/>
    </row>
    <row r="258" spans="1:28" ht="76.5" x14ac:dyDescent="0.25">
      <c r="A258" s="78" t="s">
        <v>1222</v>
      </c>
      <c r="B258" s="100"/>
      <c r="C258" s="100"/>
      <c r="D258" s="100"/>
      <c r="E258" s="74"/>
      <c r="F258" s="74" t="s">
        <v>863</v>
      </c>
      <c r="G258" s="74" t="s">
        <v>667</v>
      </c>
      <c r="H258" s="74" t="s">
        <v>668</v>
      </c>
      <c r="I258" s="74"/>
      <c r="J258" s="79"/>
      <c r="K258" s="4"/>
      <c r="L258" s="4"/>
      <c r="M258" s="80"/>
      <c r="N258" s="4"/>
      <c r="O258" s="4"/>
      <c r="P258" s="4"/>
      <c r="Q258" s="4"/>
      <c r="R258" s="4"/>
      <c r="S258" s="4"/>
      <c r="T258" s="4"/>
      <c r="U258" s="4"/>
      <c r="V258" s="4"/>
      <c r="W258" s="4"/>
      <c r="X258" s="4"/>
      <c r="Y258" s="4"/>
      <c r="Z258" s="45"/>
      <c r="AA258" s="45"/>
      <c r="AB258" s="4"/>
    </row>
    <row r="259" spans="1:28" ht="382.5" x14ac:dyDescent="0.25">
      <c r="A259" s="110" t="s">
        <v>1224</v>
      </c>
      <c r="B259" s="98" t="s">
        <v>1225</v>
      </c>
      <c r="C259" s="98" t="s">
        <v>1226</v>
      </c>
      <c r="D259" s="98" t="s">
        <v>1227</v>
      </c>
      <c r="E259" s="74"/>
      <c r="F259" s="74" t="s">
        <v>860</v>
      </c>
      <c r="G259" s="74" t="s">
        <v>1211</v>
      </c>
      <c r="H259" s="74" t="s">
        <v>1212</v>
      </c>
      <c r="I259" s="74"/>
      <c r="J259" s="79"/>
      <c r="K259" s="4"/>
      <c r="L259" s="4"/>
      <c r="M259" s="80"/>
      <c r="N259" s="4"/>
      <c r="O259" s="4"/>
      <c r="P259" s="4"/>
      <c r="Q259" s="4"/>
      <c r="R259" s="4"/>
      <c r="S259" s="4"/>
      <c r="T259" s="4"/>
      <c r="U259" s="4"/>
      <c r="V259" s="4"/>
      <c r="W259" s="4"/>
      <c r="X259" s="4"/>
      <c r="Y259" s="4"/>
      <c r="Z259" s="45"/>
      <c r="AA259" s="45"/>
      <c r="AB259" s="4"/>
    </row>
    <row r="260" spans="1:28" ht="25.5" x14ac:dyDescent="0.25">
      <c r="A260" s="110"/>
      <c r="B260" s="100"/>
      <c r="C260" s="100"/>
      <c r="D260" s="100"/>
      <c r="E260" s="74"/>
      <c r="F260" s="74" t="s">
        <v>863</v>
      </c>
      <c r="G260" s="74" t="s">
        <v>1209</v>
      </c>
      <c r="H260" s="74" t="s">
        <v>1210</v>
      </c>
      <c r="I260" s="74"/>
      <c r="J260" s="79"/>
      <c r="K260" s="4"/>
      <c r="L260" s="4"/>
      <c r="M260" s="80"/>
      <c r="N260" s="4"/>
      <c r="O260" s="4"/>
      <c r="P260" s="4"/>
      <c r="Q260" s="4"/>
      <c r="R260" s="4"/>
      <c r="S260" s="4"/>
      <c r="T260" s="4"/>
      <c r="U260" s="4"/>
      <c r="V260" s="4"/>
      <c r="W260" s="4"/>
      <c r="X260" s="4"/>
      <c r="Y260" s="4"/>
      <c r="Z260" s="45"/>
      <c r="AA260" s="45"/>
      <c r="AB260" s="4"/>
    </row>
    <row r="261" spans="1:28" ht="89.25" x14ac:dyDescent="0.25">
      <c r="A261" s="78" t="s">
        <v>1228</v>
      </c>
      <c r="B261" s="98" t="s">
        <v>1229</v>
      </c>
      <c r="C261" s="98" t="s">
        <v>1073</v>
      </c>
      <c r="D261" s="98" t="s">
        <v>1074</v>
      </c>
      <c r="E261" s="74"/>
      <c r="F261" s="74" t="s">
        <v>860</v>
      </c>
      <c r="G261" s="74" t="s">
        <v>811</v>
      </c>
      <c r="H261" s="74" t="s">
        <v>812</v>
      </c>
      <c r="I261" s="74"/>
      <c r="J261" s="79"/>
      <c r="K261" s="4"/>
      <c r="L261" s="4"/>
      <c r="M261" s="80"/>
      <c r="N261" s="4"/>
      <c r="O261" s="4"/>
      <c r="P261" s="4"/>
      <c r="Q261" s="4"/>
      <c r="R261" s="4"/>
      <c r="S261" s="4"/>
      <c r="T261" s="4"/>
      <c r="U261" s="4"/>
      <c r="V261" s="4"/>
      <c r="W261" s="4"/>
      <c r="X261" s="4"/>
      <c r="Y261" s="4"/>
      <c r="Z261" s="45"/>
      <c r="AA261" s="45"/>
      <c r="AB261" s="4"/>
    </row>
    <row r="262" spans="1:28" ht="25.5" x14ac:dyDescent="0.25">
      <c r="A262" s="78" t="s">
        <v>1228</v>
      </c>
      <c r="B262" s="100"/>
      <c r="C262" s="100"/>
      <c r="D262" s="100"/>
      <c r="E262" s="74"/>
      <c r="F262" s="74" t="s">
        <v>863</v>
      </c>
      <c r="G262" s="74" t="s">
        <v>807</v>
      </c>
      <c r="H262" s="74" t="s">
        <v>808</v>
      </c>
      <c r="I262" s="74"/>
      <c r="J262" s="79"/>
      <c r="K262" s="4"/>
      <c r="L262" s="4"/>
      <c r="M262" s="80"/>
      <c r="N262" s="4"/>
      <c r="O262" s="4"/>
      <c r="P262" s="4"/>
      <c r="Q262" s="4"/>
      <c r="R262" s="4"/>
      <c r="S262" s="4"/>
      <c r="T262" s="4"/>
      <c r="U262" s="4"/>
      <c r="V262" s="4"/>
      <c r="W262" s="4"/>
      <c r="X262" s="4"/>
      <c r="Y262" s="4"/>
      <c r="Z262" s="45"/>
      <c r="AA262" s="45"/>
      <c r="AB262" s="4"/>
    </row>
    <row r="263" spans="1:28" ht="293.25" x14ac:dyDescent="0.25">
      <c r="A263" s="78" t="s">
        <v>1230</v>
      </c>
      <c r="B263" s="98" t="s">
        <v>1231</v>
      </c>
      <c r="C263" s="98" t="s">
        <v>1039</v>
      </c>
      <c r="D263" s="98" t="s">
        <v>1040</v>
      </c>
      <c r="E263" s="74"/>
      <c r="F263" s="74" t="s">
        <v>860</v>
      </c>
      <c r="G263" s="74" t="s">
        <v>1043</v>
      </c>
      <c r="H263" s="74" t="s">
        <v>1039</v>
      </c>
      <c r="I263" s="74"/>
      <c r="J263" s="79"/>
      <c r="K263" s="4"/>
      <c r="L263" s="4"/>
      <c r="M263" s="80"/>
      <c r="N263" s="4"/>
      <c r="O263" s="4"/>
      <c r="P263" s="4"/>
      <c r="Q263" s="4"/>
      <c r="R263" s="4"/>
      <c r="S263" s="4"/>
      <c r="T263" s="4"/>
      <c r="U263" s="4"/>
      <c r="V263" s="4"/>
      <c r="W263" s="4"/>
      <c r="X263" s="4"/>
      <c r="Y263" s="4"/>
      <c r="Z263" s="45"/>
      <c r="AA263" s="45"/>
      <c r="AB263" s="4"/>
    </row>
    <row r="264" spans="1:28" ht="267.75" x14ac:dyDescent="0.25">
      <c r="A264" s="78" t="s">
        <v>1230</v>
      </c>
      <c r="B264" s="99"/>
      <c r="C264" s="99"/>
      <c r="D264" s="99"/>
      <c r="E264" s="74"/>
      <c r="F264" s="74" t="s">
        <v>863</v>
      </c>
      <c r="G264" s="74" t="s">
        <v>1041</v>
      </c>
      <c r="H264" s="74" t="s">
        <v>1039</v>
      </c>
      <c r="I264" s="74"/>
      <c r="J264" s="79"/>
      <c r="K264" s="4"/>
      <c r="L264" s="4"/>
      <c r="M264" s="80"/>
      <c r="N264" s="4"/>
      <c r="O264" s="4"/>
      <c r="P264" s="4"/>
      <c r="Q264" s="4"/>
      <c r="R264" s="4"/>
      <c r="S264" s="4"/>
      <c r="T264" s="4"/>
      <c r="U264" s="4"/>
      <c r="V264" s="4"/>
      <c r="W264" s="4"/>
      <c r="X264" s="4"/>
      <c r="Y264" s="4"/>
      <c r="Z264" s="45"/>
      <c r="AA264" s="45"/>
      <c r="AB264" s="4"/>
    </row>
    <row r="265" spans="1:28" ht="331.5" x14ac:dyDescent="0.25">
      <c r="A265" s="78" t="s">
        <v>1230</v>
      </c>
      <c r="B265" s="100"/>
      <c r="C265" s="100"/>
      <c r="D265" s="100"/>
      <c r="E265" s="74"/>
      <c r="F265" s="74" t="s">
        <v>865</v>
      </c>
      <c r="G265" s="74" t="s">
        <v>1042</v>
      </c>
      <c r="H265" s="74" t="s">
        <v>1039</v>
      </c>
      <c r="I265" s="74"/>
      <c r="J265" s="79"/>
      <c r="K265" s="4"/>
      <c r="L265" s="4"/>
      <c r="M265" s="80"/>
      <c r="N265" s="4"/>
      <c r="O265" s="4"/>
      <c r="P265" s="4"/>
      <c r="Q265" s="4"/>
      <c r="R265" s="4"/>
      <c r="S265" s="4"/>
      <c r="T265" s="4"/>
      <c r="U265" s="4"/>
      <c r="V265" s="4"/>
      <c r="W265" s="4"/>
      <c r="X265" s="4"/>
      <c r="Y265" s="4"/>
      <c r="Z265" s="45"/>
      <c r="AA265" s="45"/>
      <c r="AB265" s="4"/>
    </row>
    <row r="266" spans="1:28" ht="38.25" x14ac:dyDescent="0.25">
      <c r="A266" s="110" t="s">
        <v>1232</v>
      </c>
      <c r="B266" s="98" t="s">
        <v>1233</v>
      </c>
      <c r="C266" s="98" t="s">
        <v>1234</v>
      </c>
      <c r="D266" s="98" t="s">
        <v>1235</v>
      </c>
      <c r="E266" s="74"/>
      <c r="F266" s="74" t="s">
        <v>860</v>
      </c>
      <c r="G266" s="74" t="s">
        <v>1236</v>
      </c>
      <c r="H266" s="74" t="s">
        <v>1237</v>
      </c>
      <c r="I266" s="74"/>
      <c r="J266" s="79"/>
      <c r="K266" s="4"/>
      <c r="L266" s="4"/>
      <c r="M266" s="80"/>
      <c r="N266" s="4"/>
      <c r="O266" s="4"/>
      <c r="P266" s="4"/>
      <c r="Q266" s="4"/>
      <c r="R266" s="4"/>
      <c r="S266" s="4"/>
      <c r="T266" s="4"/>
      <c r="U266" s="4"/>
      <c r="V266" s="4"/>
      <c r="W266" s="4"/>
      <c r="X266" s="4"/>
      <c r="Y266" s="4"/>
      <c r="Z266" s="45"/>
      <c r="AA266" s="45"/>
      <c r="AB266" s="4"/>
    </row>
    <row r="267" spans="1:28" ht="153" x14ac:dyDescent="0.25">
      <c r="A267" s="110"/>
      <c r="B267" s="99"/>
      <c r="C267" s="99"/>
      <c r="D267" s="99"/>
      <c r="E267" s="74"/>
      <c r="F267" s="74" t="s">
        <v>863</v>
      </c>
      <c r="G267" s="74" t="s">
        <v>281</v>
      </c>
      <c r="H267" s="74" t="s">
        <v>282</v>
      </c>
      <c r="I267" s="74"/>
      <c r="J267" s="79"/>
      <c r="K267" s="4"/>
      <c r="L267" s="4"/>
      <c r="M267" s="80"/>
      <c r="N267" s="4"/>
      <c r="O267" s="4"/>
      <c r="P267" s="4"/>
      <c r="Q267" s="4"/>
      <c r="R267" s="4"/>
      <c r="S267" s="4"/>
      <c r="T267" s="4"/>
      <c r="U267" s="4"/>
      <c r="V267" s="4"/>
      <c r="W267" s="4"/>
      <c r="X267" s="4"/>
      <c r="Y267" s="4"/>
      <c r="Z267" s="45"/>
      <c r="AA267" s="45"/>
      <c r="AB267" s="4"/>
    </row>
    <row r="268" spans="1:28" ht="38.25" x14ac:dyDescent="0.25">
      <c r="A268" s="110"/>
      <c r="B268" s="100"/>
      <c r="C268" s="100"/>
      <c r="D268" s="100"/>
      <c r="E268" s="74"/>
      <c r="F268" s="74" t="s">
        <v>865</v>
      </c>
      <c r="G268" s="74" t="s">
        <v>284</v>
      </c>
      <c r="H268" s="74" t="s">
        <v>285</v>
      </c>
      <c r="I268" s="74"/>
      <c r="J268" s="79"/>
      <c r="K268" s="4"/>
      <c r="L268" s="4"/>
      <c r="M268" s="80"/>
      <c r="N268" s="4"/>
      <c r="O268" s="4"/>
      <c r="P268" s="4"/>
      <c r="Q268" s="4"/>
      <c r="R268" s="4"/>
      <c r="S268" s="4"/>
      <c r="T268" s="4"/>
      <c r="U268" s="4"/>
      <c r="V268" s="4"/>
      <c r="W268" s="4"/>
      <c r="X268" s="4"/>
      <c r="Y268" s="4"/>
      <c r="Z268" s="45"/>
      <c r="AA268" s="45"/>
      <c r="AB268" s="4"/>
    </row>
    <row r="269" spans="1:28" ht="25.5" x14ac:dyDescent="0.25">
      <c r="A269" s="110" t="s">
        <v>1238</v>
      </c>
      <c r="B269" s="98" t="s">
        <v>1239</v>
      </c>
      <c r="C269" s="98" t="s">
        <v>1226</v>
      </c>
      <c r="D269" s="98" t="s">
        <v>1227</v>
      </c>
      <c r="E269" s="74"/>
      <c r="F269" s="74" t="s">
        <v>860</v>
      </c>
      <c r="G269" s="74" t="s">
        <v>1209</v>
      </c>
      <c r="H269" s="74" t="s">
        <v>1210</v>
      </c>
      <c r="I269" s="74"/>
      <c r="J269" s="79"/>
      <c r="K269" s="4"/>
      <c r="L269" s="4"/>
      <c r="M269" s="80"/>
      <c r="N269" s="4"/>
      <c r="O269" s="4"/>
      <c r="P269" s="4"/>
      <c r="Q269" s="4"/>
      <c r="R269" s="4"/>
      <c r="S269" s="4"/>
      <c r="T269" s="4"/>
      <c r="U269" s="4"/>
      <c r="V269" s="4"/>
      <c r="W269" s="4"/>
      <c r="X269" s="4"/>
      <c r="Y269" s="4"/>
      <c r="Z269" s="45"/>
      <c r="AA269" s="45"/>
      <c r="AB269" s="4"/>
    </row>
    <row r="270" spans="1:28" ht="382.5" x14ac:dyDescent="0.25">
      <c r="A270" s="110"/>
      <c r="B270" s="100"/>
      <c r="C270" s="100"/>
      <c r="D270" s="100"/>
      <c r="E270" s="74"/>
      <c r="F270" s="74" t="s">
        <v>863</v>
      </c>
      <c r="G270" s="74" t="s">
        <v>1211</v>
      </c>
      <c r="H270" s="74" t="s">
        <v>1212</v>
      </c>
      <c r="I270" s="74"/>
      <c r="J270" s="79"/>
      <c r="K270" s="4"/>
      <c r="L270" s="4"/>
      <c r="M270" s="80"/>
      <c r="N270" s="4"/>
      <c r="O270" s="4"/>
      <c r="P270" s="4"/>
      <c r="Q270" s="4"/>
      <c r="R270" s="4"/>
      <c r="S270" s="4"/>
      <c r="T270" s="4"/>
      <c r="U270" s="4"/>
      <c r="V270" s="4"/>
      <c r="W270" s="4"/>
      <c r="X270" s="4"/>
      <c r="Y270" s="4"/>
      <c r="Z270" s="45"/>
      <c r="AA270" s="45"/>
      <c r="AB270" s="4"/>
    </row>
    <row r="271" spans="1:28" ht="51" x14ac:dyDescent="0.25">
      <c r="A271" s="110" t="s">
        <v>1240</v>
      </c>
      <c r="B271" s="98" t="s">
        <v>1241</v>
      </c>
      <c r="C271" s="98" t="s">
        <v>1242</v>
      </c>
      <c r="D271" s="98" t="s">
        <v>1243</v>
      </c>
      <c r="E271" s="74"/>
      <c r="F271" s="74" t="s">
        <v>860</v>
      </c>
      <c r="G271" s="74" t="s">
        <v>1244</v>
      </c>
      <c r="H271" s="74" t="s">
        <v>604</v>
      </c>
      <c r="I271" s="74"/>
      <c r="J271" s="79"/>
      <c r="K271" s="4"/>
      <c r="L271" s="4"/>
      <c r="M271" s="80"/>
      <c r="N271" s="4"/>
      <c r="O271" s="4"/>
      <c r="P271" s="4"/>
      <c r="Q271" s="4"/>
      <c r="R271" s="4"/>
      <c r="S271" s="4"/>
      <c r="T271" s="4"/>
      <c r="U271" s="4"/>
      <c r="V271" s="4"/>
      <c r="W271" s="4"/>
      <c r="X271" s="4"/>
      <c r="Y271" s="4"/>
      <c r="Z271" s="45"/>
      <c r="AA271" s="45"/>
      <c r="AB271" s="4"/>
    </row>
    <row r="272" spans="1:28" ht="76.5" x14ac:dyDescent="0.25">
      <c r="A272" s="110"/>
      <c r="B272" s="100"/>
      <c r="C272" s="100"/>
      <c r="D272" s="100"/>
      <c r="E272" s="74"/>
      <c r="F272" s="74" t="s">
        <v>863</v>
      </c>
      <c r="G272" s="74" t="s">
        <v>441</v>
      </c>
      <c r="H272" s="74" t="s">
        <v>442</v>
      </c>
      <c r="I272" s="74"/>
      <c r="J272" s="79"/>
      <c r="K272" s="4"/>
      <c r="L272" s="4"/>
      <c r="M272" s="80"/>
      <c r="N272" s="4"/>
      <c r="O272" s="4"/>
      <c r="P272" s="4"/>
      <c r="Q272" s="4"/>
      <c r="R272" s="4"/>
      <c r="S272" s="4"/>
      <c r="T272" s="4"/>
      <c r="U272" s="4"/>
      <c r="V272" s="4"/>
      <c r="W272" s="4"/>
      <c r="X272" s="4"/>
      <c r="Y272" s="4"/>
      <c r="Z272" s="45"/>
      <c r="AA272" s="45"/>
      <c r="AB272" s="4"/>
    </row>
    <row r="273" spans="1:28" ht="76.5" x14ac:dyDescent="0.25">
      <c r="A273" s="110" t="s">
        <v>1245</v>
      </c>
      <c r="B273" s="98" t="s">
        <v>1246</v>
      </c>
      <c r="C273" s="98" t="s">
        <v>1126</v>
      </c>
      <c r="D273" s="98" t="s">
        <v>1247</v>
      </c>
      <c r="E273" s="74"/>
      <c r="F273" s="74" t="s">
        <v>860</v>
      </c>
      <c r="G273" s="74" t="s">
        <v>772</v>
      </c>
      <c r="H273" s="74" t="s">
        <v>668</v>
      </c>
      <c r="I273" s="74"/>
      <c r="J273" s="79"/>
      <c r="K273" s="4"/>
      <c r="L273" s="4"/>
      <c r="M273" s="80"/>
      <c r="N273" s="4"/>
      <c r="O273" s="4"/>
      <c r="P273" s="4"/>
      <c r="Q273" s="4"/>
      <c r="R273" s="4"/>
      <c r="S273" s="4"/>
      <c r="T273" s="4"/>
      <c r="U273" s="4"/>
      <c r="V273" s="4"/>
      <c r="W273" s="4"/>
      <c r="X273" s="4"/>
      <c r="Y273" s="4"/>
      <c r="Z273" s="45"/>
      <c r="AA273" s="45"/>
      <c r="AB273" s="4"/>
    </row>
    <row r="274" spans="1:28" ht="38.25" x14ac:dyDescent="0.25">
      <c r="A274" s="110"/>
      <c r="B274" s="100"/>
      <c r="C274" s="100"/>
      <c r="D274" s="100"/>
      <c r="E274" s="74"/>
      <c r="F274" s="74" t="s">
        <v>863</v>
      </c>
      <c r="G274" s="74" t="s">
        <v>630</v>
      </c>
      <c r="H274" s="74" t="s">
        <v>631</v>
      </c>
      <c r="I274" s="74"/>
      <c r="J274" s="79"/>
      <c r="K274" s="4"/>
      <c r="L274" s="4"/>
      <c r="M274" s="80"/>
      <c r="N274" s="4"/>
      <c r="O274" s="4"/>
      <c r="P274" s="4"/>
      <c r="Q274" s="4"/>
      <c r="R274" s="4"/>
      <c r="S274" s="4"/>
      <c r="T274" s="4"/>
      <c r="U274" s="4"/>
      <c r="V274" s="4"/>
      <c r="W274" s="4"/>
      <c r="X274" s="4"/>
      <c r="Y274" s="4"/>
      <c r="Z274" s="45"/>
      <c r="AA274" s="45"/>
      <c r="AB274" s="4"/>
    </row>
    <row r="275" spans="1:28" ht="38.25" x14ac:dyDescent="0.25">
      <c r="A275" s="110" t="s">
        <v>1248</v>
      </c>
      <c r="B275" s="98" t="s">
        <v>1249</v>
      </c>
      <c r="C275" s="98" t="s">
        <v>1092</v>
      </c>
      <c r="D275" s="98" t="s">
        <v>1093</v>
      </c>
      <c r="E275" s="74"/>
      <c r="F275" s="74" t="s">
        <v>860</v>
      </c>
      <c r="G275" s="74" t="s">
        <v>1094</v>
      </c>
      <c r="H275" s="74" t="s">
        <v>1095</v>
      </c>
      <c r="I275" s="74"/>
      <c r="J275" s="79"/>
      <c r="K275" s="4"/>
      <c r="L275" s="4"/>
      <c r="M275" s="80"/>
      <c r="N275" s="4"/>
      <c r="O275" s="4"/>
      <c r="P275" s="4"/>
      <c r="Q275" s="4"/>
      <c r="R275" s="4"/>
      <c r="S275" s="4"/>
      <c r="T275" s="112">
        <v>1</v>
      </c>
      <c r="U275" s="4"/>
      <c r="V275" s="4"/>
      <c r="W275" s="4"/>
      <c r="X275" s="4"/>
      <c r="Y275" s="4"/>
      <c r="Z275" s="45"/>
      <c r="AA275" s="45"/>
      <c r="AB275" s="4"/>
    </row>
    <row r="276" spans="1:28" ht="38.25" x14ac:dyDescent="0.25">
      <c r="A276" s="110"/>
      <c r="B276" s="100"/>
      <c r="C276" s="100"/>
      <c r="D276" s="100"/>
      <c r="E276" s="74"/>
      <c r="F276" s="74" t="s">
        <v>863</v>
      </c>
      <c r="G276" s="74" t="s">
        <v>1096</v>
      </c>
      <c r="H276" s="74" t="s">
        <v>1097</v>
      </c>
      <c r="I276" s="74"/>
      <c r="J276" s="79"/>
      <c r="K276" s="4"/>
      <c r="L276" s="4"/>
      <c r="M276" s="80"/>
      <c r="N276" s="4"/>
      <c r="O276" s="4"/>
      <c r="P276" s="4"/>
      <c r="Q276" s="4"/>
      <c r="R276" s="4"/>
      <c r="S276" s="4"/>
      <c r="T276" s="112"/>
      <c r="U276" s="4"/>
      <c r="V276" s="4"/>
      <c r="W276" s="4"/>
      <c r="X276" s="4"/>
      <c r="Y276" s="4"/>
      <c r="Z276" s="45"/>
      <c r="AA276" s="45"/>
      <c r="AB276" s="4"/>
    </row>
    <row r="277" spans="1:28" ht="76.5" x14ac:dyDescent="0.25">
      <c r="A277" s="110" t="s">
        <v>1250</v>
      </c>
      <c r="B277" s="98" t="s">
        <v>1251</v>
      </c>
      <c r="C277" s="98" t="s">
        <v>1252</v>
      </c>
      <c r="D277" s="98" t="s">
        <v>1253</v>
      </c>
      <c r="E277" s="74"/>
      <c r="F277" s="74" t="s">
        <v>860</v>
      </c>
      <c r="G277" s="74" t="s">
        <v>667</v>
      </c>
      <c r="H277" s="74" t="s">
        <v>668</v>
      </c>
      <c r="I277" s="74"/>
      <c r="J277" s="79"/>
      <c r="K277" s="4"/>
      <c r="L277" s="4"/>
      <c r="M277" s="80"/>
      <c r="N277" s="4"/>
      <c r="O277" s="4"/>
      <c r="P277" s="4"/>
      <c r="Q277" s="4"/>
      <c r="R277" s="4"/>
      <c r="S277" s="4"/>
      <c r="T277" s="4"/>
      <c r="U277" s="4"/>
      <c r="V277" s="4"/>
      <c r="W277" s="4"/>
      <c r="X277" s="4"/>
      <c r="Y277" s="4"/>
      <c r="Z277" s="45"/>
      <c r="AA277" s="45"/>
      <c r="AB277" s="4"/>
    </row>
    <row r="278" spans="1:28" ht="38.25" x14ac:dyDescent="0.25">
      <c r="A278" s="110"/>
      <c r="B278" s="100"/>
      <c r="C278" s="100"/>
      <c r="D278" s="100"/>
      <c r="E278" s="74"/>
      <c r="F278" s="74" t="s">
        <v>863</v>
      </c>
      <c r="G278" s="74" t="s">
        <v>663</v>
      </c>
      <c r="H278" s="74" t="s">
        <v>631</v>
      </c>
      <c r="I278" s="74"/>
      <c r="J278" s="79"/>
      <c r="K278" s="4"/>
      <c r="L278" s="4"/>
      <c r="M278" s="80"/>
      <c r="N278" s="4"/>
      <c r="O278" s="4"/>
      <c r="P278" s="4"/>
      <c r="Q278" s="4"/>
      <c r="R278" s="4"/>
      <c r="S278" s="4"/>
      <c r="T278" s="4"/>
      <c r="U278" s="4"/>
      <c r="V278" s="4"/>
      <c r="W278" s="4"/>
      <c r="X278" s="4"/>
      <c r="Y278" s="4"/>
      <c r="Z278" s="45"/>
      <c r="AA278" s="45"/>
      <c r="AB278" s="4"/>
    </row>
    <row r="279" spans="1:28" ht="76.5" x14ac:dyDescent="0.25">
      <c r="A279" s="110" t="s">
        <v>1254</v>
      </c>
      <c r="B279" s="98" t="s">
        <v>1255</v>
      </c>
      <c r="C279" s="98" t="s">
        <v>1256</v>
      </c>
      <c r="D279" s="98" t="s">
        <v>1257</v>
      </c>
      <c r="E279" s="74"/>
      <c r="F279" s="74" t="s">
        <v>860</v>
      </c>
      <c r="G279" s="74" t="s">
        <v>795</v>
      </c>
      <c r="H279" s="74" t="s">
        <v>796</v>
      </c>
      <c r="I279" s="74"/>
      <c r="J279" s="79"/>
      <c r="K279" s="4"/>
      <c r="L279" s="4"/>
      <c r="M279" s="80"/>
      <c r="N279" s="4"/>
      <c r="O279" s="4"/>
      <c r="P279" s="4"/>
      <c r="Q279" s="4"/>
      <c r="R279" s="4"/>
      <c r="S279" s="4"/>
      <c r="T279" s="112">
        <v>1</v>
      </c>
      <c r="U279" s="4"/>
      <c r="V279" s="4"/>
      <c r="W279" s="4"/>
      <c r="X279" s="4"/>
      <c r="Y279" s="4"/>
      <c r="Z279" s="45"/>
      <c r="AA279" s="45"/>
      <c r="AB279" s="4"/>
    </row>
    <row r="280" spans="1:28" ht="63.75" x14ac:dyDescent="0.25">
      <c r="A280" s="110"/>
      <c r="B280" s="99"/>
      <c r="C280" s="99"/>
      <c r="D280" s="99"/>
      <c r="E280" s="74"/>
      <c r="F280" s="74" t="s">
        <v>863</v>
      </c>
      <c r="G280" s="74" t="s">
        <v>790</v>
      </c>
      <c r="H280" s="74" t="s">
        <v>791</v>
      </c>
      <c r="I280" s="74"/>
      <c r="J280" s="79"/>
      <c r="K280" s="4"/>
      <c r="L280" s="4"/>
      <c r="M280" s="80"/>
      <c r="N280" s="4"/>
      <c r="O280" s="4"/>
      <c r="P280" s="4"/>
      <c r="Q280" s="4"/>
      <c r="R280" s="4"/>
      <c r="S280" s="4"/>
      <c r="T280" s="112"/>
      <c r="U280" s="4"/>
      <c r="V280" s="4"/>
      <c r="W280" s="4"/>
      <c r="X280" s="4"/>
      <c r="Y280" s="4"/>
      <c r="Z280" s="45"/>
      <c r="AA280" s="45"/>
      <c r="AB280" s="4"/>
    </row>
    <row r="281" spans="1:28" ht="51" x14ac:dyDescent="0.25">
      <c r="A281" s="110"/>
      <c r="B281" s="100"/>
      <c r="C281" s="100"/>
      <c r="D281" s="100"/>
      <c r="E281" s="74"/>
      <c r="F281" s="74" t="s">
        <v>865</v>
      </c>
      <c r="G281" s="74" t="s">
        <v>1258</v>
      </c>
      <c r="H281" s="74" t="s">
        <v>793</v>
      </c>
      <c r="I281" s="74"/>
      <c r="J281" s="79"/>
      <c r="K281" s="4"/>
      <c r="L281" s="4"/>
      <c r="M281" s="80"/>
      <c r="N281" s="4"/>
      <c r="O281" s="4"/>
      <c r="P281" s="4"/>
      <c r="Q281" s="4"/>
      <c r="R281" s="4"/>
      <c r="S281" s="4"/>
      <c r="T281" s="112"/>
      <c r="U281" s="4"/>
      <c r="V281" s="4"/>
      <c r="W281" s="4"/>
      <c r="X281" s="4"/>
      <c r="Y281" s="4"/>
      <c r="Z281" s="45"/>
      <c r="AA281" s="45"/>
      <c r="AB281" s="4"/>
    </row>
    <row r="282" spans="1:28" ht="409.5" x14ac:dyDescent="0.25">
      <c r="A282" s="78" t="s">
        <v>1259</v>
      </c>
      <c r="B282" s="98" t="s">
        <v>1260</v>
      </c>
      <c r="C282" s="98" t="s">
        <v>1261</v>
      </c>
      <c r="D282" s="74" t="s">
        <v>1262</v>
      </c>
      <c r="E282" s="74"/>
      <c r="F282" s="74" t="s">
        <v>860</v>
      </c>
      <c r="G282" s="74" t="s">
        <v>356</v>
      </c>
      <c r="H282" s="74" t="s">
        <v>357</v>
      </c>
      <c r="I282" s="74"/>
      <c r="J282" s="79"/>
      <c r="K282" s="4"/>
      <c r="L282" s="4"/>
      <c r="M282" s="80"/>
      <c r="N282" s="4"/>
      <c r="O282" s="4"/>
      <c r="P282" s="4"/>
      <c r="Q282" s="4"/>
      <c r="R282" s="4"/>
      <c r="S282" s="4"/>
      <c r="T282" s="4"/>
      <c r="U282" s="4"/>
      <c r="V282" s="4"/>
      <c r="W282" s="4"/>
      <c r="X282" s="4"/>
      <c r="Y282" s="4"/>
      <c r="Z282" s="45"/>
      <c r="AA282" s="45"/>
      <c r="AB282" s="4"/>
    </row>
    <row r="283" spans="1:28" ht="344.25" x14ac:dyDescent="0.25">
      <c r="A283" s="78" t="s">
        <v>1259</v>
      </c>
      <c r="B283" s="100"/>
      <c r="C283" s="99"/>
      <c r="D283" s="74"/>
      <c r="E283" s="74"/>
      <c r="F283" s="74" t="s">
        <v>863</v>
      </c>
      <c r="G283" s="74" t="s">
        <v>363</v>
      </c>
      <c r="H283" s="74" t="s">
        <v>364</v>
      </c>
      <c r="I283" s="74"/>
      <c r="J283" s="79"/>
      <c r="K283" s="4"/>
      <c r="L283" s="4"/>
      <c r="M283" s="80"/>
      <c r="N283" s="4"/>
      <c r="O283" s="4"/>
      <c r="P283" s="4"/>
      <c r="Q283" s="4"/>
      <c r="R283" s="4"/>
      <c r="S283" s="4"/>
      <c r="T283" s="4"/>
      <c r="U283" s="4"/>
      <c r="V283" s="4"/>
      <c r="W283" s="4"/>
      <c r="X283" s="4"/>
      <c r="Y283" s="4"/>
      <c r="Z283" s="45"/>
      <c r="AA283" s="45"/>
      <c r="AB283" s="4"/>
    </row>
    <row r="284" spans="1:28" ht="409.5" x14ac:dyDescent="0.25">
      <c r="A284" s="78" t="s">
        <v>1263</v>
      </c>
      <c r="B284" s="98" t="s">
        <v>1264</v>
      </c>
      <c r="C284" s="98" t="s">
        <v>1265</v>
      </c>
      <c r="D284" s="74" t="s">
        <v>1266</v>
      </c>
      <c r="E284" s="74"/>
      <c r="F284" s="74" t="s">
        <v>860</v>
      </c>
      <c r="G284" s="74" t="s">
        <v>902</v>
      </c>
      <c r="H284" s="74" t="s">
        <v>903</v>
      </c>
      <c r="I284" s="74"/>
      <c r="J284" s="79"/>
      <c r="K284" s="4"/>
      <c r="L284" s="4"/>
      <c r="M284" s="80"/>
      <c r="N284" s="4"/>
      <c r="O284" s="4"/>
      <c r="P284" s="4"/>
      <c r="Q284" s="4"/>
      <c r="R284" s="4"/>
      <c r="S284" s="4"/>
      <c r="T284" s="112">
        <v>1</v>
      </c>
      <c r="U284" s="4"/>
      <c r="V284" s="4"/>
      <c r="W284" s="4"/>
      <c r="X284" s="4"/>
      <c r="Y284" s="4"/>
      <c r="Z284" s="45"/>
      <c r="AA284" s="45"/>
      <c r="AB284" s="4"/>
    </row>
    <row r="285" spans="1:28" ht="153" x14ac:dyDescent="0.25">
      <c r="A285" s="78" t="s">
        <v>1263</v>
      </c>
      <c r="B285" s="99"/>
      <c r="C285" s="99"/>
      <c r="D285" s="74"/>
      <c r="E285" s="74"/>
      <c r="F285" s="74" t="s">
        <v>863</v>
      </c>
      <c r="G285" s="74" t="s">
        <v>908</v>
      </c>
      <c r="H285" s="74" t="s">
        <v>909</v>
      </c>
      <c r="I285" s="74"/>
      <c r="J285" s="79"/>
      <c r="K285" s="4"/>
      <c r="L285" s="4"/>
      <c r="M285" s="80"/>
      <c r="N285" s="4"/>
      <c r="O285" s="4"/>
      <c r="P285" s="4"/>
      <c r="Q285" s="4"/>
      <c r="R285" s="4"/>
      <c r="S285" s="4"/>
      <c r="T285" s="112"/>
      <c r="U285" s="4"/>
      <c r="V285" s="4"/>
      <c r="W285" s="4"/>
      <c r="X285" s="4"/>
      <c r="Y285" s="4"/>
      <c r="Z285" s="45"/>
      <c r="AA285" s="45"/>
      <c r="AB285" s="4"/>
    </row>
    <row r="286" spans="1:28" ht="63.75" x14ac:dyDescent="0.25">
      <c r="A286" s="78" t="s">
        <v>1263</v>
      </c>
      <c r="B286" s="100"/>
      <c r="C286" s="100"/>
      <c r="D286" s="74"/>
      <c r="E286" s="74"/>
      <c r="F286" s="74" t="s">
        <v>865</v>
      </c>
      <c r="G286" s="74" t="s">
        <v>906</v>
      </c>
      <c r="H286" s="74" t="s">
        <v>907</v>
      </c>
      <c r="I286" s="74"/>
      <c r="J286" s="79"/>
      <c r="K286" s="4"/>
      <c r="L286" s="4"/>
      <c r="M286" s="80"/>
      <c r="N286" s="4"/>
      <c r="O286" s="4"/>
      <c r="P286" s="4"/>
      <c r="Q286" s="4"/>
      <c r="R286" s="4"/>
      <c r="S286" s="4"/>
      <c r="T286" s="112"/>
      <c r="U286" s="4"/>
      <c r="V286" s="4"/>
      <c r="W286" s="4"/>
      <c r="X286" s="4"/>
      <c r="Y286" s="4"/>
      <c r="Z286" s="45"/>
      <c r="AA286" s="45"/>
      <c r="AB286" s="4"/>
    </row>
    <row r="287" spans="1:28" ht="306" x14ac:dyDescent="0.25">
      <c r="A287" s="78" t="s">
        <v>1267</v>
      </c>
      <c r="B287" s="74" t="s">
        <v>1268</v>
      </c>
      <c r="C287" s="74" t="s">
        <v>781</v>
      </c>
      <c r="D287" s="74" t="s">
        <v>1269</v>
      </c>
      <c r="E287" s="74"/>
      <c r="F287" s="74" t="s">
        <v>860</v>
      </c>
      <c r="G287" s="74" t="s">
        <v>1269</v>
      </c>
      <c r="H287" s="74" t="s">
        <v>781</v>
      </c>
      <c r="I287" s="74"/>
      <c r="J287" s="79"/>
      <c r="K287" s="4"/>
      <c r="L287" s="4"/>
      <c r="M287" s="80"/>
      <c r="N287" s="4"/>
      <c r="O287" s="4"/>
      <c r="P287" s="4"/>
      <c r="Q287" s="4"/>
      <c r="R287" s="4"/>
      <c r="S287" s="4"/>
      <c r="T287" s="4"/>
      <c r="U287" s="4"/>
      <c r="V287" s="4"/>
      <c r="W287" s="4"/>
      <c r="X287" s="4"/>
      <c r="Y287" s="4"/>
      <c r="Z287" s="45"/>
      <c r="AA287" s="45"/>
      <c r="AB287" s="4"/>
    </row>
    <row r="288" spans="1:28" ht="204" x14ac:dyDescent="0.25">
      <c r="A288" s="78" t="s">
        <v>1270</v>
      </c>
      <c r="B288" s="98" t="s">
        <v>1271</v>
      </c>
      <c r="C288" s="74" t="s">
        <v>1272</v>
      </c>
      <c r="D288" s="74" t="s">
        <v>1273</v>
      </c>
      <c r="E288" s="74"/>
      <c r="F288" s="74" t="s">
        <v>860</v>
      </c>
      <c r="G288" s="74" t="s">
        <v>630</v>
      </c>
      <c r="H288" s="74" t="s">
        <v>631</v>
      </c>
      <c r="I288" s="74"/>
      <c r="J288" s="79"/>
      <c r="K288" s="4"/>
      <c r="L288" s="4"/>
      <c r="M288" s="80"/>
      <c r="N288" s="4"/>
      <c r="O288" s="4"/>
      <c r="P288" s="4"/>
      <c r="Q288" s="4"/>
      <c r="R288" s="4"/>
      <c r="S288" s="4"/>
      <c r="T288" s="4"/>
      <c r="U288" s="4"/>
      <c r="V288" s="4"/>
      <c r="W288" s="4"/>
      <c r="X288" s="4"/>
      <c r="Y288" s="4"/>
      <c r="Z288" s="45"/>
      <c r="AA288" s="45"/>
      <c r="AB288" s="4"/>
    </row>
    <row r="289" spans="1:28" ht="76.5" x14ac:dyDescent="0.25">
      <c r="A289" s="78" t="s">
        <v>1270</v>
      </c>
      <c r="B289" s="100"/>
      <c r="C289" s="74"/>
      <c r="D289" s="74"/>
      <c r="E289" s="74"/>
      <c r="F289" s="74" t="s">
        <v>863</v>
      </c>
      <c r="G289" s="74" t="s">
        <v>772</v>
      </c>
      <c r="H289" s="74" t="s">
        <v>668</v>
      </c>
      <c r="I289" s="74"/>
      <c r="J289" s="79"/>
      <c r="K289" s="4"/>
      <c r="L289" s="4"/>
      <c r="M289" s="80"/>
      <c r="N289" s="4"/>
      <c r="O289" s="4"/>
      <c r="P289" s="4"/>
      <c r="Q289" s="4"/>
      <c r="R289" s="4"/>
      <c r="S289" s="4"/>
      <c r="T289" s="4"/>
      <c r="U289" s="4"/>
      <c r="V289" s="4"/>
      <c r="W289" s="4"/>
      <c r="X289" s="4"/>
      <c r="Y289" s="4"/>
      <c r="Z289" s="45"/>
      <c r="AA289" s="45"/>
      <c r="AB289" s="4"/>
    </row>
    <row r="290" spans="1:28" ht="76.5" x14ac:dyDescent="0.25">
      <c r="A290" s="78" t="s">
        <v>1274</v>
      </c>
      <c r="B290" s="98" t="s">
        <v>1275</v>
      </c>
      <c r="C290" s="74" t="s">
        <v>1073</v>
      </c>
      <c r="D290" s="74" t="s">
        <v>1074</v>
      </c>
      <c r="E290" s="74"/>
      <c r="F290" s="74" t="s">
        <v>860</v>
      </c>
      <c r="G290" s="74" t="s">
        <v>807</v>
      </c>
      <c r="H290" s="74" t="s">
        <v>808</v>
      </c>
      <c r="I290" s="74"/>
      <c r="J290" s="79"/>
      <c r="K290" s="4"/>
      <c r="L290" s="4"/>
      <c r="M290" s="80"/>
      <c r="N290" s="4"/>
      <c r="O290" s="4"/>
      <c r="P290" s="4"/>
      <c r="Q290" s="4"/>
      <c r="R290" s="4"/>
      <c r="S290" s="4"/>
      <c r="T290" s="4"/>
      <c r="U290" s="4"/>
      <c r="V290" s="4"/>
      <c r="W290" s="4"/>
      <c r="X290" s="4"/>
      <c r="Y290" s="4"/>
      <c r="Z290" s="45"/>
      <c r="AA290" s="45"/>
      <c r="AB290" s="4"/>
    </row>
    <row r="291" spans="1:28" ht="89.25" x14ac:dyDescent="0.25">
      <c r="A291" s="78" t="s">
        <v>1274</v>
      </c>
      <c r="B291" s="100"/>
      <c r="C291" s="74"/>
      <c r="D291" s="74"/>
      <c r="E291" s="74"/>
      <c r="F291" s="74" t="s">
        <v>863</v>
      </c>
      <c r="G291" s="74" t="s">
        <v>811</v>
      </c>
      <c r="H291" s="74" t="s">
        <v>812</v>
      </c>
      <c r="I291" s="74"/>
      <c r="J291" s="79"/>
      <c r="K291" s="4"/>
      <c r="L291" s="4"/>
      <c r="M291" s="80"/>
      <c r="N291" s="4"/>
      <c r="O291" s="4"/>
      <c r="P291" s="4"/>
      <c r="Q291" s="4"/>
      <c r="R291" s="4"/>
      <c r="S291" s="4"/>
      <c r="T291" s="4"/>
      <c r="U291" s="4"/>
      <c r="V291" s="4"/>
      <c r="W291" s="4"/>
      <c r="X291" s="4"/>
      <c r="Y291" s="4"/>
      <c r="Z291" s="45"/>
      <c r="AA291" s="45"/>
      <c r="AB291" s="4"/>
    </row>
    <row r="292" spans="1:28" ht="76.5" x14ac:dyDescent="0.25">
      <c r="A292" s="78" t="s">
        <v>1276</v>
      </c>
      <c r="B292" s="98" t="s">
        <v>1277</v>
      </c>
      <c r="C292" s="74" t="s">
        <v>1217</v>
      </c>
      <c r="D292" s="74" t="s">
        <v>1278</v>
      </c>
      <c r="E292" s="74"/>
      <c r="F292" s="74" t="s">
        <v>860</v>
      </c>
      <c r="G292" s="74" t="s">
        <v>1220</v>
      </c>
      <c r="H292" s="74" t="s">
        <v>1221</v>
      </c>
      <c r="I292" s="74"/>
      <c r="J292" s="79"/>
      <c r="K292" s="4"/>
      <c r="L292" s="4"/>
      <c r="M292" s="80"/>
      <c r="N292" s="4"/>
      <c r="O292" s="4"/>
      <c r="P292" s="4"/>
      <c r="Q292" s="4"/>
      <c r="R292" s="4"/>
      <c r="S292" s="4"/>
      <c r="T292" s="4"/>
      <c r="U292" s="4"/>
      <c r="V292" s="4"/>
      <c r="W292" s="4"/>
      <c r="X292" s="4"/>
      <c r="Y292" s="4"/>
      <c r="Z292" s="45"/>
      <c r="AA292" s="45"/>
      <c r="AB292" s="4"/>
    </row>
    <row r="293" spans="1:28" ht="165.75" x14ac:dyDescent="0.25">
      <c r="A293" s="78" t="s">
        <v>1276</v>
      </c>
      <c r="B293" s="100"/>
      <c r="C293" s="74"/>
      <c r="D293" s="74"/>
      <c r="E293" s="74"/>
      <c r="F293" s="74" t="s">
        <v>863</v>
      </c>
      <c r="G293" s="74" t="s">
        <v>1279</v>
      </c>
      <c r="H293" s="74" t="s">
        <v>509</v>
      </c>
      <c r="I293" s="74"/>
      <c r="J293" s="79"/>
      <c r="K293" s="4"/>
      <c r="L293" s="4"/>
      <c r="M293" s="80"/>
      <c r="N293" s="4"/>
      <c r="O293" s="4"/>
      <c r="P293" s="4"/>
      <c r="Q293" s="4"/>
      <c r="R293" s="4"/>
      <c r="S293" s="4"/>
      <c r="T293" s="4"/>
      <c r="U293" s="4"/>
      <c r="V293" s="4"/>
      <c r="W293" s="4"/>
      <c r="X293" s="4"/>
      <c r="Y293" s="4"/>
      <c r="Z293" s="45"/>
      <c r="AA293" s="45"/>
      <c r="AB293" s="4"/>
    </row>
    <row r="294" spans="1:28" ht="153" x14ac:dyDescent="0.25">
      <c r="A294" s="78" t="s">
        <v>1280</v>
      </c>
      <c r="B294" s="98" t="s">
        <v>1281</v>
      </c>
      <c r="C294" s="74" t="s">
        <v>1021</v>
      </c>
      <c r="D294" s="74" t="s">
        <v>1022</v>
      </c>
      <c r="E294" s="74"/>
      <c r="F294" s="74" t="s">
        <v>860</v>
      </c>
      <c r="G294" s="74" t="s">
        <v>257</v>
      </c>
      <c r="H294" s="74" t="s">
        <v>258</v>
      </c>
      <c r="I294" s="74"/>
      <c r="J294" s="79"/>
      <c r="K294" s="4"/>
      <c r="L294" s="4"/>
      <c r="M294" s="80"/>
      <c r="N294" s="4"/>
      <c r="O294" s="4"/>
      <c r="P294" s="4"/>
      <c r="Q294" s="4"/>
      <c r="R294" s="4"/>
      <c r="S294" s="4"/>
      <c r="T294" s="4"/>
      <c r="U294" s="4"/>
      <c r="V294" s="4"/>
      <c r="W294" s="4"/>
      <c r="X294" s="4"/>
      <c r="Y294" s="4"/>
      <c r="Z294" s="45"/>
      <c r="AA294" s="45"/>
      <c r="AB294" s="4"/>
    </row>
    <row r="295" spans="1:28" ht="127.5" x14ac:dyDescent="0.25">
      <c r="A295" s="78" t="s">
        <v>1280</v>
      </c>
      <c r="B295" s="100"/>
      <c r="C295" s="74"/>
      <c r="D295" s="74"/>
      <c r="E295" s="74"/>
      <c r="F295" s="74" t="s">
        <v>863</v>
      </c>
      <c r="G295" s="74" t="s">
        <v>253</v>
      </c>
      <c r="H295" s="74" t="s">
        <v>254</v>
      </c>
      <c r="I295" s="74"/>
      <c r="J295" s="79"/>
      <c r="K295" s="4"/>
      <c r="L295" s="4"/>
      <c r="M295" s="80"/>
      <c r="N295" s="4"/>
      <c r="O295" s="4"/>
      <c r="P295" s="4"/>
      <c r="Q295" s="4"/>
      <c r="R295" s="4"/>
      <c r="S295" s="4"/>
      <c r="T295" s="4"/>
      <c r="U295" s="4"/>
      <c r="V295" s="4"/>
      <c r="W295" s="4"/>
      <c r="X295" s="4"/>
      <c r="Y295" s="4"/>
      <c r="Z295" s="45"/>
      <c r="AA295" s="45"/>
      <c r="AB295" s="4"/>
    </row>
    <row r="296" spans="1:28" ht="306" x14ac:dyDescent="0.25">
      <c r="A296" s="78" t="s">
        <v>1282</v>
      </c>
      <c r="B296" s="98" t="s">
        <v>1283</v>
      </c>
      <c r="C296" s="74" t="s">
        <v>1284</v>
      </c>
      <c r="D296" s="74" t="s">
        <v>1285</v>
      </c>
      <c r="E296" s="74"/>
      <c r="F296" s="74" t="s">
        <v>860</v>
      </c>
      <c r="G296" s="74" t="s">
        <v>1286</v>
      </c>
      <c r="H296" s="74" t="s">
        <v>753</v>
      </c>
      <c r="I296" s="74"/>
      <c r="J296" s="79"/>
      <c r="K296" s="4"/>
      <c r="L296" s="4"/>
      <c r="M296" s="80"/>
      <c r="N296" s="4"/>
      <c r="O296" s="4"/>
      <c r="P296" s="4"/>
      <c r="Q296" s="4"/>
      <c r="R296" s="4"/>
      <c r="S296" s="4"/>
      <c r="T296" s="4"/>
      <c r="U296" s="4"/>
      <c r="V296" s="4"/>
      <c r="W296" s="4"/>
      <c r="X296" s="4"/>
      <c r="Y296" s="4"/>
      <c r="Z296" s="45"/>
      <c r="AA296" s="45"/>
      <c r="AB296" s="4"/>
    </row>
    <row r="297" spans="1:28" ht="51" x14ac:dyDescent="0.25">
      <c r="A297" s="78" t="s">
        <v>1282</v>
      </c>
      <c r="B297" s="100"/>
      <c r="C297" s="74"/>
      <c r="D297" s="74"/>
      <c r="E297" s="74"/>
      <c r="F297" s="74" t="s">
        <v>863</v>
      </c>
      <c r="G297" s="74" t="s">
        <v>1287</v>
      </c>
      <c r="H297" s="74" t="s">
        <v>1288</v>
      </c>
      <c r="I297" s="74"/>
      <c r="J297" s="79"/>
      <c r="K297" s="4"/>
      <c r="L297" s="4"/>
      <c r="M297" s="80"/>
      <c r="N297" s="4"/>
      <c r="O297" s="4"/>
      <c r="P297" s="4"/>
      <c r="Q297" s="4"/>
      <c r="R297" s="4"/>
      <c r="S297" s="4"/>
      <c r="T297" s="4"/>
      <c r="U297" s="4"/>
      <c r="V297" s="4"/>
      <c r="W297" s="4"/>
      <c r="X297" s="4"/>
      <c r="Y297" s="4"/>
      <c r="Z297" s="45"/>
      <c r="AA297" s="45"/>
      <c r="AB297" s="4"/>
    </row>
    <row r="298" spans="1:28" ht="344.25" x14ac:dyDescent="0.25">
      <c r="A298" s="78" t="s">
        <v>1289</v>
      </c>
      <c r="B298" s="98" t="s">
        <v>1290</v>
      </c>
      <c r="C298" s="74" t="s">
        <v>1291</v>
      </c>
      <c r="D298" s="74" t="s">
        <v>1292</v>
      </c>
      <c r="E298" s="74"/>
      <c r="F298" s="74" t="s">
        <v>860</v>
      </c>
      <c r="G298" s="74" t="s">
        <v>257</v>
      </c>
      <c r="H298" s="74" t="s">
        <v>258</v>
      </c>
      <c r="I298" s="74"/>
      <c r="J298" s="79"/>
      <c r="K298" s="4"/>
      <c r="L298" s="4"/>
      <c r="M298" s="80"/>
      <c r="N298" s="4"/>
      <c r="O298" s="4"/>
      <c r="P298" s="4"/>
      <c r="Q298" s="4"/>
      <c r="R298" s="4"/>
      <c r="S298" s="4"/>
      <c r="T298" s="4"/>
      <c r="U298" s="4"/>
      <c r="V298" s="4"/>
      <c r="W298" s="4"/>
      <c r="X298" s="4"/>
      <c r="Y298" s="4"/>
      <c r="Z298" s="45"/>
      <c r="AA298" s="45"/>
      <c r="AB298" s="4"/>
    </row>
    <row r="299" spans="1:28" ht="127.5" x14ac:dyDescent="0.25">
      <c r="A299" s="78" t="s">
        <v>1289</v>
      </c>
      <c r="B299" s="100"/>
      <c r="C299" s="74"/>
      <c r="D299" s="74"/>
      <c r="E299" s="74"/>
      <c r="F299" s="74" t="s">
        <v>863</v>
      </c>
      <c r="G299" s="74" t="s">
        <v>253</v>
      </c>
      <c r="H299" s="74" t="s">
        <v>254</v>
      </c>
      <c r="I299" s="74"/>
      <c r="J299" s="79"/>
      <c r="K299" s="4"/>
      <c r="L299" s="4"/>
      <c r="M299" s="80"/>
      <c r="N299" s="4"/>
      <c r="O299" s="4"/>
      <c r="P299" s="4"/>
      <c r="Q299" s="4"/>
      <c r="R299" s="4"/>
      <c r="S299" s="4"/>
      <c r="T299" s="4"/>
      <c r="U299" s="4"/>
      <c r="V299" s="4"/>
      <c r="W299" s="4"/>
      <c r="X299" s="4"/>
      <c r="Y299" s="4"/>
      <c r="Z299" s="45"/>
      <c r="AA299" s="45"/>
      <c r="AB299" s="4"/>
    </row>
    <row r="300" spans="1:28" ht="76.5" x14ac:dyDescent="0.25">
      <c r="A300" s="78" t="s">
        <v>1293</v>
      </c>
      <c r="B300" s="98" t="s">
        <v>1294</v>
      </c>
      <c r="C300" s="74" t="s">
        <v>776</v>
      </c>
      <c r="D300" s="74" t="s">
        <v>777</v>
      </c>
      <c r="E300" s="74"/>
      <c r="F300" s="74" t="s">
        <v>860</v>
      </c>
      <c r="G300" s="74" t="s">
        <v>630</v>
      </c>
      <c r="H300" s="74" t="s">
        <v>631</v>
      </c>
      <c r="I300" s="74"/>
      <c r="J300" s="79"/>
      <c r="K300" s="4"/>
      <c r="L300" s="4"/>
      <c r="M300" s="80"/>
      <c r="N300" s="4"/>
      <c r="O300" s="4"/>
      <c r="P300" s="4"/>
      <c r="Q300" s="4"/>
      <c r="R300" s="4"/>
      <c r="S300" s="4"/>
      <c r="T300" s="4"/>
      <c r="U300" s="4"/>
      <c r="V300" s="4"/>
      <c r="W300" s="4"/>
      <c r="X300" s="4"/>
      <c r="Y300" s="4"/>
      <c r="Z300" s="45"/>
      <c r="AA300" s="45"/>
      <c r="AB300" s="4"/>
    </row>
    <row r="301" spans="1:28" ht="76.5" x14ac:dyDescent="0.25">
      <c r="A301" s="78" t="s">
        <v>1293</v>
      </c>
      <c r="B301" s="100"/>
      <c r="C301" s="74"/>
      <c r="D301" s="74"/>
      <c r="E301" s="74"/>
      <c r="F301" s="74" t="s">
        <v>863</v>
      </c>
      <c r="G301" s="74" t="s">
        <v>772</v>
      </c>
      <c r="H301" s="74" t="s">
        <v>668</v>
      </c>
      <c r="I301" s="74"/>
      <c r="J301" s="79"/>
      <c r="K301" s="4"/>
      <c r="L301" s="4"/>
      <c r="M301" s="80"/>
      <c r="N301" s="4"/>
      <c r="O301" s="4"/>
      <c r="P301" s="4"/>
      <c r="Q301" s="4"/>
      <c r="R301" s="4"/>
      <c r="S301" s="4"/>
      <c r="T301" s="4"/>
      <c r="U301" s="4"/>
      <c r="V301" s="4"/>
      <c r="W301" s="4"/>
      <c r="X301" s="4"/>
      <c r="Y301" s="4"/>
      <c r="Z301" s="45"/>
      <c r="AA301" s="45"/>
      <c r="AB301" s="4"/>
    </row>
    <row r="302" spans="1:28" ht="409.5" x14ac:dyDescent="0.25">
      <c r="A302" s="78" t="s">
        <v>1295</v>
      </c>
      <c r="B302" s="98" t="s">
        <v>1296</v>
      </c>
      <c r="C302" s="74" t="s">
        <v>1297</v>
      </c>
      <c r="D302" s="74" t="s">
        <v>1298</v>
      </c>
      <c r="E302" s="74"/>
      <c r="F302" s="74" t="s">
        <v>860</v>
      </c>
      <c r="G302" s="74" t="s">
        <v>356</v>
      </c>
      <c r="H302" s="74" t="s">
        <v>357</v>
      </c>
      <c r="I302" s="74"/>
      <c r="J302" s="79"/>
      <c r="K302" s="4"/>
      <c r="L302" s="4"/>
      <c r="M302" s="80"/>
      <c r="N302" s="4"/>
      <c r="O302" s="4"/>
      <c r="P302" s="4"/>
      <c r="Q302" s="4"/>
      <c r="R302" s="4"/>
      <c r="S302" s="4"/>
      <c r="T302" s="4"/>
      <c r="U302" s="4"/>
      <c r="V302" s="4"/>
      <c r="W302" s="4"/>
      <c r="X302" s="4"/>
      <c r="Y302" s="4"/>
      <c r="Z302" s="45"/>
      <c r="AA302" s="45"/>
      <c r="AB302" s="4"/>
    </row>
    <row r="303" spans="1:28" ht="344.25" x14ac:dyDescent="0.25">
      <c r="A303" s="78" t="s">
        <v>1295</v>
      </c>
      <c r="B303" s="100"/>
      <c r="C303" s="74"/>
      <c r="D303" s="74"/>
      <c r="E303" s="74"/>
      <c r="F303" s="74" t="s">
        <v>863</v>
      </c>
      <c r="G303" s="74" t="s">
        <v>363</v>
      </c>
      <c r="H303" s="74" t="s">
        <v>364</v>
      </c>
      <c r="I303" s="74"/>
      <c r="J303" s="79"/>
      <c r="K303" s="4"/>
      <c r="L303" s="4"/>
      <c r="M303" s="80"/>
      <c r="N303" s="4"/>
      <c r="O303" s="4"/>
      <c r="P303" s="4"/>
      <c r="Q303" s="4"/>
      <c r="R303" s="4"/>
      <c r="S303" s="4"/>
      <c r="T303" s="4"/>
      <c r="U303" s="4"/>
      <c r="V303" s="4"/>
      <c r="W303" s="4"/>
      <c r="X303" s="4"/>
      <c r="Y303" s="4"/>
      <c r="Z303" s="45"/>
      <c r="AA303" s="45"/>
      <c r="AB303" s="4"/>
    </row>
    <row r="304" spans="1:28" ht="382.5" x14ac:dyDescent="0.25">
      <c r="A304" s="78" t="s">
        <v>1299</v>
      </c>
      <c r="B304" s="98" t="s">
        <v>1300</v>
      </c>
      <c r="C304" s="74" t="s">
        <v>1301</v>
      </c>
      <c r="D304" s="74" t="s">
        <v>1302</v>
      </c>
      <c r="E304" s="74"/>
      <c r="F304" s="74" t="s">
        <v>860</v>
      </c>
      <c r="G304" s="74" t="s">
        <v>253</v>
      </c>
      <c r="H304" s="74" t="s">
        <v>254</v>
      </c>
      <c r="I304" s="74"/>
      <c r="J304" s="79"/>
      <c r="K304" s="4"/>
      <c r="L304" s="4"/>
      <c r="M304" s="80"/>
      <c r="N304" s="4"/>
      <c r="O304" s="4"/>
      <c r="P304" s="4"/>
      <c r="Q304" s="4"/>
      <c r="R304" s="4"/>
      <c r="S304" s="4"/>
      <c r="T304" s="4"/>
      <c r="U304" s="4"/>
      <c r="V304" s="4"/>
      <c r="W304" s="4"/>
      <c r="X304" s="4"/>
      <c r="Y304" s="4"/>
      <c r="Z304" s="45"/>
      <c r="AA304" s="45"/>
      <c r="AB304" s="4"/>
    </row>
    <row r="305" spans="1:28" ht="63.75" x14ac:dyDescent="0.25">
      <c r="A305" s="78" t="s">
        <v>1299</v>
      </c>
      <c r="B305" s="100"/>
      <c r="C305" s="74"/>
      <c r="D305" s="74"/>
      <c r="E305" s="74"/>
      <c r="F305" s="74" t="s">
        <v>863</v>
      </c>
      <c r="G305" s="74" t="s">
        <v>257</v>
      </c>
      <c r="H305" s="74" t="s">
        <v>258</v>
      </c>
      <c r="I305" s="74"/>
      <c r="J305" s="79"/>
      <c r="K305" s="4"/>
      <c r="L305" s="4"/>
      <c r="M305" s="80"/>
      <c r="N305" s="4"/>
      <c r="O305" s="4"/>
      <c r="P305" s="4"/>
      <c r="Q305" s="4"/>
      <c r="R305" s="4"/>
      <c r="S305" s="4"/>
      <c r="T305" s="4"/>
      <c r="U305" s="4"/>
      <c r="V305" s="4"/>
      <c r="W305" s="4"/>
      <c r="X305" s="4"/>
      <c r="Y305" s="4"/>
      <c r="Z305" s="45"/>
      <c r="AA305" s="45"/>
      <c r="AB305" s="4"/>
    </row>
    <row r="306" spans="1:28" ht="76.5" x14ac:dyDescent="0.25">
      <c r="A306" s="78" t="s">
        <v>1303</v>
      </c>
      <c r="B306" s="98" t="s">
        <v>1304</v>
      </c>
      <c r="C306" s="74" t="s">
        <v>1305</v>
      </c>
      <c r="D306" s="74" t="s">
        <v>1306</v>
      </c>
      <c r="E306" s="74"/>
      <c r="F306" s="74" t="s">
        <v>860</v>
      </c>
      <c r="G306" s="74" t="s">
        <v>257</v>
      </c>
      <c r="H306" s="74" t="s">
        <v>258</v>
      </c>
      <c r="I306" s="74"/>
      <c r="J306" s="79"/>
      <c r="K306" s="4"/>
      <c r="L306" s="4"/>
      <c r="M306" s="80"/>
      <c r="N306" s="4"/>
      <c r="O306" s="4"/>
      <c r="P306" s="4"/>
      <c r="Q306" s="4"/>
      <c r="R306" s="4"/>
      <c r="S306" s="4"/>
      <c r="T306" s="4"/>
      <c r="U306" s="4"/>
      <c r="V306" s="4"/>
      <c r="W306" s="4"/>
      <c r="X306" s="4"/>
      <c r="Y306" s="4"/>
      <c r="Z306" s="45"/>
      <c r="AA306" s="45"/>
      <c r="AB306" s="4"/>
    </row>
    <row r="307" spans="1:28" ht="127.5" x14ac:dyDescent="0.25">
      <c r="A307" s="78" t="s">
        <v>1303</v>
      </c>
      <c r="B307" s="100"/>
      <c r="C307" s="74"/>
      <c r="D307" s="74"/>
      <c r="E307" s="74"/>
      <c r="F307" s="74" t="s">
        <v>863</v>
      </c>
      <c r="G307" s="74" t="s">
        <v>253</v>
      </c>
      <c r="H307" s="74" t="s">
        <v>254</v>
      </c>
      <c r="I307" s="74"/>
      <c r="J307" s="79"/>
      <c r="K307" s="4"/>
      <c r="L307" s="4"/>
      <c r="M307" s="80"/>
      <c r="N307" s="4"/>
      <c r="O307" s="4"/>
      <c r="P307" s="4"/>
      <c r="Q307" s="4"/>
      <c r="R307" s="4"/>
      <c r="S307" s="4"/>
      <c r="T307" s="4"/>
      <c r="U307" s="4"/>
      <c r="V307" s="4"/>
      <c r="W307" s="4"/>
      <c r="X307" s="4"/>
      <c r="Y307" s="4"/>
      <c r="Z307" s="45"/>
      <c r="AA307" s="45"/>
      <c r="AB307" s="4"/>
    </row>
    <row r="308" spans="1:28" ht="76.5" x14ac:dyDescent="0.25">
      <c r="A308" s="78" t="s">
        <v>1307</v>
      </c>
      <c r="B308" s="98" t="s">
        <v>1308</v>
      </c>
      <c r="C308" s="74" t="s">
        <v>1252</v>
      </c>
      <c r="D308" s="74" t="s">
        <v>1253</v>
      </c>
      <c r="E308" s="74"/>
      <c r="F308" s="74" t="s">
        <v>860</v>
      </c>
      <c r="G308" s="74" t="s">
        <v>667</v>
      </c>
      <c r="H308" s="74" t="s">
        <v>668</v>
      </c>
      <c r="I308" s="74"/>
      <c r="J308" s="79"/>
      <c r="K308" s="4"/>
      <c r="L308" s="4"/>
      <c r="M308" s="80"/>
      <c r="N308" s="4"/>
      <c r="O308" s="4"/>
      <c r="P308" s="4"/>
      <c r="Q308" s="4"/>
      <c r="R308" s="4"/>
      <c r="S308" s="4"/>
      <c r="T308" s="4"/>
      <c r="U308" s="4"/>
      <c r="V308" s="4"/>
      <c r="W308" s="4"/>
      <c r="X308" s="4"/>
      <c r="Y308" s="4"/>
      <c r="Z308" s="45"/>
      <c r="AA308" s="45"/>
      <c r="AB308" s="4"/>
    </row>
    <row r="309" spans="1:28" ht="38.25" x14ac:dyDescent="0.25">
      <c r="A309" s="78" t="s">
        <v>1307</v>
      </c>
      <c r="B309" s="100"/>
      <c r="C309" s="74"/>
      <c r="D309" s="74"/>
      <c r="E309" s="74"/>
      <c r="F309" s="74" t="s">
        <v>863</v>
      </c>
      <c r="G309" s="74" t="s">
        <v>663</v>
      </c>
      <c r="H309" s="74" t="s">
        <v>631</v>
      </c>
      <c r="I309" s="74"/>
      <c r="J309" s="79"/>
      <c r="K309" s="4"/>
      <c r="L309" s="4"/>
      <c r="M309" s="80"/>
      <c r="N309" s="4"/>
      <c r="O309" s="4"/>
      <c r="P309" s="4"/>
      <c r="Q309" s="4"/>
      <c r="R309" s="4"/>
      <c r="S309" s="4"/>
      <c r="T309" s="4"/>
      <c r="U309" s="4"/>
      <c r="V309" s="4"/>
      <c r="W309" s="4"/>
      <c r="X309" s="4"/>
      <c r="Y309" s="4"/>
      <c r="Z309" s="45"/>
      <c r="AA309" s="45"/>
      <c r="AB309" s="4"/>
    </row>
    <row r="310" spans="1:28" ht="216.75" x14ac:dyDescent="0.25">
      <c r="A310" s="78" t="s">
        <v>1309</v>
      </c>
      <c r="B310" s="98" t="s">
        <v>1310</v>
      </c>
      <c r="C310" s="74" t="s">
        <v>1130</v>
      </c>
      <c r="D310" s="74" t="s">
        <v>1131</v>
      </c>
      <c r="E310" s="74"/>
      <c r="F310" s="74" t="s">
        <v>860</v>
      </c>
      <c r="G310" s="74" t="s">
        <v>772</v>
      </c>
      <c r="H310" s="74" t="s">
        <v>668</v>
      </c>
      <c r="I310" s="74"/>
      <c r="J310" s="79"/>
      <c r="K310" s="4"/>
      <c r="L310" s="4"/>
      <c r="M310" s="80"/>
      <c r="N310" s="4"/>
      <c r="O310" s="4"/>
      <c r="P310" s="4"/>
      <c r="Q310" s="4"/>
      <c r="R310" s="4"/>
      <c r="S310" s="4"/>
      <c r="T310" s="4"/>
      <c r="U310" s="4"/>
      <c r="V310" s="4"/>
      <c r="W310" s="4"/>
      <c r="X310" s="4"/>
      <c r="Y310" s="4"/>
      <c r="Z310" s="45"/>
      <c r="AA310" s="45"/>
      <c r="AB310" s="4"/>
    </row>
    <row r="311" spans="1:28" ht="51" x14ac:dyDescent="0.25">
      <c r="A311" s="78" t="s">
        <v>1309</v>
      </c>
      <c r="B311" s="100"/>
      <c r="C311" s="74"/>
      <c r="D311" s="74"/>
      <c r="E311" s="74"/>
      <c r="F311" s="74" t="s">
        <v>863</v>
      </c>
      <c r="G311" s="74" t="s">
        <v>1132</v>
      </c>
      <c r="H311" s="74" t="s">
        <v>1133</v>
      </c>
      <c r="I311" s="74"/>
      <c r="J311" s="79"/>
      <c r="K311" s="4"/>
      <c r="L311" s="4"/>
      <c r="M311" s="80"/>
      <c r="N311" s="4"/>
      <c r="O311" s="4"/>
      <c r="P311" s="4"/>
      <c r="Q311" s="4"/>
      <c r="R311" s="4"/>
      <c r="S311" s="4"/>
      <c r="T311" s="4"/>
      <c r="U311" s="4"/>
      <c r="V311" s="4"/>
      <c r="W311" s="4"/>
      <c r="X311" s="4"/>
      <c r="Y311" s="4"/>
      <c r="Z311" s="45"/>
      <c r="AA311" s="45"/>
      <c r="AB311" s="4"/>
    </row>
    <row r="312" spans="1:28" ht="76.5" x14ac:dyDescent="0.25">
      <c r="A312" s="78" t="s">
        <v>1311</v>
      </c>
      <c r="B312" s="98" t="s">
        <v>1312</v>
      </c>
      <c r="C312" s="74" t="s">
        <v>1073</v>
      </c>
      <c r="D312" s="74" t="s">
        <v>1074</v>
      </c>
      <c r="E312" s="74"/>
      <c r="F312" s="74" t="s">
        <v>860</v>
      </c>
      <c r="G312" s="74" t="s">
        <v>807</v>
      </c>
      <c r="H312" s="74" t="s">
        <v>808</v>
      </c>
      <c r="I312" s="74"/>
      <c r="J312" s="79"/>
      <c r="K312" s="4"/>
      <c r="L312" s="4"/>
      <c r="M312" s="80"/>
      <c r="N312" s="4"/>
      <c r="O312" s="4"/>
      <c r="P312" s="4"/>
      <c r="Q312" s="4"/>
      <c r="R312" s="4"/>
      <c r="S312" s="4"/>
      <c r="T312" s="4"/>
      <c r="U312" s="4"/>
      <c r="V312" s="4"/>
      <c r="W312" s="4"/>
      <c r="X312" s="4"/>
      <c r="Y312" s="4"/>
      <c r="Z312" s="45"/>
      <c r="AA312" s="45"/>
      <c r="AB312" s="4"/>
    </row>
    <row r="313" spans="1:28" ht="89.25" x14ac:dyDescent="0.25">
      <c r="A313" s="78" t="s">
        <v>1311</v>
      </c>
      <c r="B313" s="100"/>
      <c r="C313" s="74"/>
      <c r="D313" s="74"/>
      <c r="E313" s="74"/>
      <c r="F313" s="74" t="s">
        <v>863</v>
      </c>
      <c r="G313" s="74" t="s">
        <v>811</v>
      </c>
      <c r="H313" s="74" t="s">
        <v>812</v>
      </c>
      <c r="I313" s="74"/>
      <c r="J313" s="79"/>
      <c r="K313" s="4"/>
      <c r="L313" s="4"/>
      <c r="M313" s="80"/>
      <c r="N313" s="4"/>
      <c r="O313" s="4"/>
      <c r="P313" s="4"/>
      <c r="Q313" s="4"/>
      <c r="R313" s="4"/>
      <c r="S313" s="4"/>
      <c r="T313" s="4"/>
      <c r="U313" s="4"/>
      <c r="V313" s="4"/>
      <c r="W313" s="4"/>
      <c r="X313" s="4"/>
      <c r="Y313" s="4"/>
      <c r="Z313" s="45"/>
      <c r="AA313" s="45"/>
      <c r="AB313" s="4"/>
    </row>
    <row r="314" spans="1:28" ht="76.5" x14ac:dyDescent="0.25">
      <c r="A314" s="78" t="s">
        <v>1313</v>
      </c>
      <c r="B314" s="98" t="s">
        <v>1314</v>
      </c>
      <c r="C314" s="74" t="s">
        <v>1084</v>
      </c>
      <c r="D314" s="74" t="s">
        <v>1085</v>
      </c>
      <c r="E314" s="74"/>
      <c r="F314" s="74" t="s">
        <v>860</v>
      </c>
      <c r="G314" s="74" t="s">
        <v>663</v>
      </c>
      <c r="H314" s="74" t="s">
        <v>631</v>
      </c>
      <c r="I314" s="74"/>
      <c r="J314" s="79"/>
      <c r="K314" s="4"/>
      <c r="L314" s="4"/>
      <c r="M314" s="80"/>
      <c r="N314" s="4"/>
      <c r="O314" s="4"/>
      <c r="P314" s="4"/>
      <c r="Q314" s="4"/>
      <c r="R314" s="4"/>
      <c r="S314" s="4"/>
      <c r="T314" s="4"/>
      <c r="U314" s="4"/>
      <c r="V314" s="4"/>
      <c r="W314" s="4"/>
      <c r="X314" s="4"/>
      <c r="Y314" s="4"/>
      <c r="Z314" s="45"/>
      <c r="AA314" s="45"/>
      <c r="AB314" s="4"/>
    </row>
    <row r="315" spans="1:28" ht="76.5" x14ac:dyDescent="0.25">
      <c r="A315" s="78" t="s">
        <v>1313</v>
      </c>
      <c r="B315" s="100"/>
      <c r="C315" s="74"/>
      <c r="D315" s="74"/>
      <c r="E315" s="74"/>
      <c r="F315" s="74" t="s">
        <v>863</v>
      </c>
      <c r="G315" s="74" t="s">
        <v>667</v>
      </c>
      <c r="H315" s="74" t="s">
        <v>668</v>
      </c>
      <c r="I315" s="74"/>
      <c r="J315" s="79"/>
      <c r="K315" s="4"/>
      <c r="L315" s="4"/>
      <c r="M315" s="80"/>
      <c r="N315" s="4"/>
      <c r="O315" s="4"/>
      <c r="P315" s="4"/>
      <c r="Q315" s="4"/>
      <c r="R315" s="4"/>
      <c r="S315" s="4"/>
      <c r="T315" s="4"/>
      <c r="U315" s="4"/>
      <c r="V315" s="4"/>
      <c r="W315" s="4"/>
      <c r="X315" s="4"/>
      <c r="Y315" s="4"/>
      <c r="Z315" s="45"/>
      <c r="AA315" s="45"/>
      <c r="AB315" s="4"/>
    </row>
    <row r="316" spans="1:28" ht="153" x14ac:dyDescent="0.25">
      <c r="A316" s="78" t="s">
        <v>1315</v>
      </c>
      <c r="B316" s="98" t="s">
        <v>1316</v>
      </c>
      <c r="C316" s="98" t="s">
        <v>770</v>
      </c>
      <c r="D316" s="74" t="s">
        <v>771</v>
      </c>
      <c r="E316" s="74"/>
      <c r="F316" s="74" t="s">
        <v>860</v>
      </c>
      <c r="G316" s="74" t="s">
        <v>772</v>
      </c>
      <c r="H316" s="74" t="s">
        <v>668</v>
      </c>
      <c r="I316" s="74"/>
      <c r="J316" s="79"/>
      <c r="K316" s="4"/>
      <c r="L316" s="4"/>
      <c r="M316" s="80"/>
      <c r="N316" s="4"/>
      <c r="O316" s="4"/>
      <c r="P316" s="4"/>
      <c r="Q316" s="4"/>
      <c r="R316" s="4"/>
      <c r="S316" s="4"/>
      <c r="T316" s="4"/>
      <c r="U316" s="4"/>
      <c r="V316" s="4"/>
      <c r="W316" s="4"/>
      <c r="X316" s="4"/>
      <c r="Y316" s="4"/>
      <c r="Z316" s="45"/>
      <c r="AA316" s="45"/>
      <c r="AB316" s="4"/>
    </row>
    <row r="317" spans="1:28" ht="38.25" x14ac:dyDescent="0.25">
      <c r="A317" s="78" t="s">
        <v>1315</v>
      </c>
      <c r="B317" s="100"/>
      <c r="C317" s="99"/>
      <c r="D317" s="74"/>
      <c r="E317" s="74"/>
      <c r="F317" s="74" t="s">
        <v>863</v>
      </c>
      <c r="G317" s="74" t="s">
        <v>630</v>
      </c>
      <c r="H317" s="74" t="s">
        <v>631</v>
      </c>
      <c r="I317" s="74"/>
      <c r="J317" s="79"/>
      <c r="K317" s="4"/>
      <c r="L317" s="4"/>
      <c r="M317" s="80"/>
      <c r="N317" s="4"/>
      <c r="O317" s="4"/>
      <c r="P317" s="4"/>
      <c r="Q317" s="4"/>
      <c r="R317" s="4"/>
      <c r="S317" s="4"/>
      <c r="T317" s="4"/>
      <c r="U317" s="4"/>
      <c r="V317" s="4"/>
      <c r="W317" s="4"/>
      <c r="X317" s="4"/>
      <c r="Y317" s="4"/>
      <c r="Z317" s="45"/>
      <c r="AA317" s="45"/>
      <c r="AB317" s="4"/>
    </row>
    <row r="318" spans="1:28" ht="76.5" x14ac:dyDescent="0.25">
      <c r="A318" s="78" t="s">
        <v>1317</v>
      </c>
      <c r="B318" s="98" t="s">
        <v>1318</v>
      </c>
      <c r="C318" s="74" t="s">
        <v>776</v>
      </c>
      <c r="D318" s="74" t="s">
        <v>1319</v>
      </c>
      <c r="E318" s="74"/>
      <c r="F318" s="74" t="s">
        <v>860</v>
      </c>
      <c r="G318" s="74" t="s">
        <v>663</v>
      </c>
      <c r="H318" s="74" t="s">
        <v>631</v>
      </c>
      <c r="I318" s="74"/>
      <c r="J318" s="79"/>
      <c r="K318" s="4"/>
      <c r="L318" s="4"/>
      <c r="M318" s="80"/>
      <c r="N318" s="4"/>
      <c r="O318" s="4"/>
      <c r="P318" s="4"/>
      <c r="Q318" s="4"/>
      <c r="R318" s="4"/>
      <c r="S318" s="4"/>
      <c r="T318" s="4"/>
      <c r="U318" s="4"/>
      <c r="V318" s="4"/>
      <c r="W318" s="4"/>
      <c r="X318" s="4"/>
      <c r="Y318" s="4"/>
      <c r="Z318" s="45"/>
      <c r="AA318" s="45"/>
      <c r="AB318" s="4"/>
    </row>
    <row r="319" spans="1:28" ht="76.5" x14ac:dyDescent="0.25">
      <c r="A319" s="78" t="s">
        <v>1317</v>
      </c>
      <c r="B319" s="100"/>
      <c r="C319" s="74"/>
      <c r="D319" s="74"/>
      <c r="E319" s="74"/>
      <c r="F319" s="74" t="s">
        <v>863</v>
      </c>
      <c r="G319" s="74" t="s">
        <v>667</v>
      </c>
      <c r="H319" s="74" t="s">
        <v>668</v>
      </c>
      <c r="I319" s="74"/>
      <c r="J319" s="79"/>
      <c r="K319" s="4"/>
      <c r="L319" s="4"/>
      <c r="M319" s="80"/>
      <c r="N319" s="4"/>
      <c r="O319" s="4"/>
      <c r="P319" s="4"/>
      <c r="Q319" s="4"/>
      <c r="R319" s="4"/>
      <c r="S319" s="4"/>
      <c r="T319" s="4"/>
      <c r="U319" s="4"/>
      <c r="V319" s="4"/>
      <c r="W319" s="4"/>
      <c r="X319" s="4"/>
      <c r="Y319" s="4"/>
      <c r="Z319" s="45"/>
      <c r="AA319" s="45"/>
      <c r="AB319" s="4"/>
    </row>
    <row r="320" spans="1:28" ht="409.5" x14ac:dyDescent="0.25">
      <c r="A320" s="78" t="s">
        <v>1320</v>
      </c>
      <c r="B320" s="98" t="s">
        <v>1321</v>
      </c>
      <c r="C320" s="98" t="s">
        <v>1265</v>
      </c>
      <c r="D320" s="74" t="s">
        <v>1266</v>
      </c>
      <c r="E320" s="74"/>
      <c r="F320" s="74" t="s">
        <v>860</v>
      </c>
      <c r="G320" s="74" t="s">
        <v>908</v>
      </c>
      <c r="H320" s="74" t="s">
        <v>909</v>
      </c>
      <c r="I320" s="74"/>
      <c r="J320" s="79"/>
      <c r="K320" s="4"/>
      <c r="L320" s="4"/>
      <c r="M320" s="80"/>
      <c r="N320" s="4"/>
      <c r="O320" s="4"/>
      <c r="P320" s="4"/>
      <c r="Q320" s="4"/>
      <c r="R320" s="4"/>
      <c r="S320" s="4"/>
      <c r="T320" s="112">
        <v>1</v>
      </c>
      <c r="U320" s="4"/>
      <c r="V320" s="4"/>
      <c r="W320" s="4"/>
      <c r="X320" s="4"/>
      <c r="Y320" s="4"/>
      <c r="Z320" s="45"/>
      <c r="AA320" s="45"/>
      <c r="AB320" s="4"/>
    </row>
    <row r="321" spans="1:28" ht="63.75" x14ac:dyDescent="0.25">
      <c r="A321" s="78" t="s">
        <v>1320</v>
      </c>
      <c r="B321" s="99"/>
      <c r="C321" s="100"/>
      <c r="D321" s="74"/>
      <c r="E321" s="74"/>
      <c r="F321" s="74" t="s">
        <v>863</v>
      </c>
      <c r="G321" s="74" t="s">
        <v>906</v>
      </c>
      <c r="H321" s="74" t="s">
        <v>907</v>
      </c>
      <c r="I321" s="74"/>
      <c r="J321" s="79"/>
      <c r="K321" s="4"/>
      <c r="L321" s="4"/>
      <c r="M321" s="80"/>
      <c r="N321" s="4"/>
      <c r="O321" s="4"/>
      <c r="P321" s="4"/>
      <c r="Q321" s="4"/>
      <c r="R321" s="4"/>
      <c r="S321" s="4"/>
      <c r="T321" s="112"/>
      <c r="U321" s="4"/>
      <c r="V321" s="4"/>
      <c r="W321" s="4"/>
      <c r="X321" s="4"/>
      <c r="Y321" s="4"/>
      <c r="Z321" s="45"/>
      <c r="AA321" s="45"/>
      <c r="AB321" s="4"/>
    </row>
    <row r="322" spans="1:28" ht="89.25" x14ac:dyDescent="0.25">
      <c r="A322" s="78" t="s">
        <v>1320</v>
      </c>
      <c r="B322" s="100"/>
      <c r="C322" s="73"/>
      <c r="D322" s="74"/>
      <c r="E322" s="74"/>
      <c r="F322" s="74" t="s">
        <v>865</v>
      </c>
      <c r="G322" s="74" t="s">
        <v>902</v>
      </c>
      <c r="H322" s="74" t="s">
        <v>903</v>
      </c>
      <c r="I322" s="74"/>
      <c r="J322" s="79"/>
      <c r="K322" s="4"/>
      <c r="L322" s="4"/>
      <c r="M322" s="80"/>
      <c r="N322" s="4"/>
      <c r="O322" s="4"/>
      <c r="P322" s="4"/>
      <c r="Q322" s="4"/>
      <c r="R322" s="4"/>
      <c r="S322" s="4"/>
      <c r="T322" s="112"/>
      <c r="U322" s="4"/>
      <c r="V322" s="4"/>
      <c r="W322" s="4"/>
      <c r="X322" s="4"/>
      <c r="Y322" s="4"/>
      <c r="Z322" s="45"/>
      <c r="AA322" s="45"/>
      <c r="AB322" s="4"/>
    </row>
    <row r="323" spans="1:28" ht="140.25" x14ac:dyDescent="0.25">
      <c r="A323" s="78" t="s">
        <v>1322</v>
      </c>
      <c r="B323" s="98" t="s">
        <v>1323</v>
      </c>
      <c r="C323" s="98" t="s">
        <v>1126</v>
      </c>
      <c r="D323" s="74" t="s">
        <v>1127</v>
      </c>
      <c r="E323" s="74"/>
      <c r="F323" s="74" t="s">
        <v>860</v>
      </c>
      <c r="G323" s="74" t="s">
        <v>663</v>
      </c>
      <c r="H323" s="74" t="s">
        <v>631</v>
      </c>
      <c r="I323" s="74"/>
      <c r="J323" s="79"/>
      <c r="K323" s="4"/>
      <c r="L323" s="4"/>
      <c r="M323" s="80"/>
      <c r="N323" s="4"/>
      <c r="O323" s="4"/>
      <c r="P323" s="4"/>
      <c r="Q323" s="4"/>
      <c r="R323" s="4"/>
      <c r="S323" s="4"/>
      <c r="T323" s="4"/>
      <c r="U323" s="4"/>
      <c r="V323" s="4"/>
      <c r="W323" s="4"/>
      <c r="X323" s="4"/>
      <c r="Y323" s="4"/>
      <c r="Z323" s="45"/>
      <c r="AA323" s="45"/>
      <c r="AB323" s="4"/>
    </row>
    <row r="324" spans="1:28" ht="76.5" x14ac:dyDescent="0.25">
      <c r="A324" s="78" t="s">
        <v>1322</v>
      </c>
      <c r="B324" s="99"/>
      <c r="C324" s="99"/>
      <c r="D324" s="74"/>
      <c r="E324" s="74"/>
      <c r="F324" s="74" t="s">
        <v>863</v>
      </c>
      <c r="G324" s="74" t="s">
        <v>667</v>
      </c>
      <c r="H324" s="74" t="s">
        <v>668</v>
      </c>
      <c r="I324" s="74"/>
      <c r="J324" s="79"/>
      <c r="K324" s="4"/>
      <c r="L324" s="4"/>
      <c r="M324" s="80"/>
      <c r="N324" s="4"/>
      <c r="O324" s="4"/>
      <c r="P324" s="4"/>
      <c r="Q324" s="4"/>
      <c r="R324" s="4"/>
      <c r="S324" s="4"/>
      <c r="T324" s="4"/>
      <c r="U324" s="4"/>
      <c r="V324" s="4"/>
      <c r="W324" s="4"/>
      <c r="X324" s="4"/>
      <c r="Y324" s="4"/>
      <c r="Z324" s="45"/>
      <c r="AA324" s="45"/>
      <c r="AB324" s="4"/>
    </row>
    <row r="325" spans="1:28" ht="89.25" x14ac:dyDescent="0.25">
      <c r="A325" s="78" t="s">
        <v>1324</v>
      </c>
      <c r="B325" s="98" t="s">
        <v>1325</v>
      </c>
      <c r="C325" s="98" t="s">
        <v>1073</v>
      </c>
      <c r="D325" s="74" t="s">
        <v>1074</v>
      </c>
      <c r="E325" s="74"/>
      <c r="F325" s="74" t="s">
        <v>860</v>
      </c>
      <c r="G325" s="74" t="s">
        <v>811</v>
      </c>
      <c r="H325" s="74" t="s">
        <v>812</v>
      </c>
      <c r="I325" s="74"/>
      <c r="J325" s="79"/>
      <c r="K325" s="4"/>
      <c r="L325" s="4"/>
      <c r="M325" s="80"/>
      <c r="N325" s="4"/>
      <c r="O325" s="4"/>
      <c r="P325" s="4"/>
      <c r="Q325" s="4"/>
      <c r="R325" s="4"/>
      <c r="S325" s="4"/>
      <c r="T325" s="4"/>
      <c r="U325" s="4"/>
      <c r="V325" s="4"/>
      <c r="W325" s="4"/>
      <c r="X325" s="4"/>
      <c r="Y325" s="4"/>
      <c r="Z325" s="45"/>
      <c r="AA325" s="45"/>
      <c r="AB325" s="4"/>
    </row>
    <row r="326" spans="1:28" ht="25.5" x14ac:dyDescent="0.25">
      <c r="A326" s="78" t="s">
        <v>1324</v>
      </c>
      <c r="B326" s="99"/>
      <c r="C326" s="99"/>
      <c r="D326" s="74"/>
      <c r="E326" s="74"/>
      <c r="F326" s="74" t="s">
        <v>863</v>
      </c>
      <c r="G326" s="74" t="s">
        <v>807</v>
      </c>
      <c r="H326" s="74" t="s">
        <v>808</v>
      </c>
      <c r="I326" s="74"/>
      <c r="J326" s="79"/>
      <c r="K326" s="4"/>
      <c r="L326" s="4"/>
      <c r="M326" s="80"/>
      <c r="N326" s="4"/>
      <c r="O326" s="4"/>
      <c r="P326" s="4"/>
      <c r="Q326" s="4"/>
      <c r="R326" s="4"/>
      <c r="S326" s="4"/>
      <c r="T326" s="4"/>
      <c r="U326" s="4"/>
      <c r="V326" s="4"/>
      <c r="W326" s="4"/>
      <c r="X326" s="4"/>
      <c r="Y326" s="4"/>
      <c r="Z326" s="45"/>
      <c r="AA326" s="45"/>
      <c r="AB326" s="4"/>
    </row>
    <row r="327" spans="1:28" ht="76.5" x14ac:dyDescent="0.25">
      <c r="A327" s="78" t="s">
        <v>1326</v>
      </c>
      <c r="B327" s="98" t="s">
        <v>1327</v>
      </c>
      <c r="C327" s="74" t="s">
        <v>776</v>
      </c>
      <c r="D327" s="74" t="s">
        <v>1027</v>
      </c>
      <c r="E327" s="74"/>
      <c r="F327" s="74" t="s">
        <v>860</v>
      </c>
      <c r="G327" s="74" t="s">
        <v>772</v>
      </c>
      <c r="H327" s="74" t="s">
        <v>668</v>
      </c>
      <c r="I327" s="74"/>
      <c r="J327" s="79"/>
      <c r="K327" s="4"/>
      <c r="L327" s="4"/>
      <c r="M327" s="80"/>
      <c r="N327" s="4"/>
      <c r="O327" s="4"/>
      <c r="P327" s="4"/>
      <c r="Q327" s="4"/>
      <c r="R327" s="4"/>
      <c r="S327" s="4"/>
      <c r="T327" s="4"/>
      <c r="U327" s="4"/>
      <c r="V327" s="4"/>
      <c r="W327" s="4"/>
      <c r="X327" s="4"/>
      <c r="Y327" s="4"/>
      <c r="Z327" s="45"/>
      <c r="AA327" s="45"/>
      <c r="AB327" s="4"/>
    </row>
    <row r="328" spans="1:28" ht="38.25" x14ac:dyDescent="0.25">
      <c r="A328" s="78" t="s">
        <v>1326</v>
      </c>
      <c r="B328" s="99"/>
      <c r="C328" s="74"/>
      <c r="D328" s="74"/>
      <c r="E328" s="74"/>
      <c r="F328" s="74" t="s">
        <v>863</v>
      </c>
      <c r="G328" s="74" t="s">
        <v>630</v>
      </c>
      <c r="H328" s="74" t="s">
        <v>631</v>
      </c>
      <c r="I328" s="74"/>
      <c r="J328" s="79"/>
      <c r="K328" s="4"/>
      <c r="L328" s="4"/>
      <c r="M328" s="80"/>
      <c r="N328" s="4"/>
      <c r="O328" s="4"/>
      <c r="P328" s="4"/>
      <c r="Q328" s="4"/>
      <c r="R328" s="4"/>
      <c r="S328" s="4"/>
      <c r="T328" s="4"/>
      <c r="U328" s="4"/>
      <c r="V328" s="4"/>
      <c r="W328" s="4"/>
      <c r="X328" s="4"/>
      <c r="Y328" s="4"/>
      <c r="Z328" s="45"/>
      <c r="AA328" s="45"/>
      <c r="AB328" s="4"/>
    </row>
    <row r="329" spans="1:28" ht="306" x14ac:dyDescent="0.25">
      <c r="A329" s="78" t="s">
        <v>1328</v>
      </c>
      <c r="B329" s="98" t="s">
        <v>1329</v>
      </c>
      <c r="C329" s="74" t="s">
        <v>1046</v>
      </c>
      <c r="D329" s="74" t="s">
        <v>1047</v>
      </c>
      <c r="E329" s="74"/>
      <c r="F329" s="74" t="s">
        <v>860</v>
      </c>
      <c r="G329" s="74" t="s">
        <v>441</v>
      </c>
      <c r="H329" s="74" t="s">
        <v>442</v>
      </c>
      <c r="I329" s="74"/>
      <c r="J329" s="79"/>
      <c r="K329" s="4"/>
      <c r="L329" s="4"/>
      <c r="M329" s="80"/>
      <c r="N329" s="4"/>
      <c r="O329" s="4"/>
      <c r="P329" s="4"/>
      <c r="Q329" s="4"/>
      <c r="R329" s="4"/>
      <c r="S329" s="4"/>
      <c r="T329" s="112">
        <v>0.75</v>
      </c>
      <c r="U329" s="112" t="s">
        <v>1048</v>
      </c>
      <c r="V329" s="4"/>
      <c r="W329" s="4"/>
      <c r="X329" s="4"/>
      <c r="Y329" s="4"/>
      <c r="Z329" s="45"/>
      <c r="AA329" s="45"/>
      <c r="AB329" s="4"/>
    </row>
    <row r="330" spans="1:28" ht="51" x14ac:dyDescent="0.25">
      <c r="A330" s="78" t="s">
        <v>1328</v>
      </c>
      <c r="B330" s="99"/>
      <c r="C330" s="74"/>
      <c r="D330" s="74"/>
      <c r="E330" s="74"/>
      <c r="F330" s="74" t="s">
        <v>863</v>
      </c>
      <c r="G330" s="74" t="s">
        <v>603</v>
      </c>
      <c r="H330" s="74" t="s">
        <v>604</v>
      </c>
      <c r="I330" s="74"/>
      <c r="J330" s="79"/>
      <c r="K330" s="4"/>
      <c r="L330" s="4"/>
      <c r="M330" s="80"/>
      <c r="N330" s="4"/>
      <c r="O330" s="4"/>
      <c r="P330" s="4"/>
      <c r="Q330" s="4"/>
      <c r="R330" s="4"/>
      <c r="S330" s="4"/>
      <c r="T330" s="112"/>
      <c r="U330" s="112"/>
      <c r="V330" s="4"/>
      <c r="W330" s="4"/>
      <c r="X330" s="4"/>
      <c r="Y330" s="4"/>
      <c r="Z330" s="45"/>
      <c r="AA330" s="45"/>
      <c r="AB330" s="4"/>
    </row>
    <row r="331" spans="1:28" ht="76.5" x14ac:dyDescent="0.25">
      <c r="A331" s="78" t="s">
        <v>1330</v>
      </c>
      <c r="B331" s="74" t="s">
        <v>1331</v>
      </c>
      <c r="C331" s="74" t="s">
        <v>1332</v>
      </c>
      <c r="D331" s="74" t="s">
        <v>1333</v>
      </c>
      <c r="E331" s="74"/>
      <c r="F331" s="74" t="s">
        <v>860</v>
      </c>
      <c r="G331" s="74" t="s">
        <v>1334</v>
      </c>
      <c r="H331" s="74" t="s">
        <v>1332</v>
      </c>
      <c r="I331" s="74"/>
      <c r="J331" s="79"/>
      <c r="K331" s="4"/>
      <c r="L331" s="4"/>
      <c r="M331" s="80"/>
      <c r="N331" s="4"/>
      <c r="O331" s="4"/>
      <c r="P331" s="4"/>
      <c r="Q331" s="4"/>
      <c r="R331" s="4"/>
      <c r="S331" s="4"/>
      <c r="T331" s="4">
        <v>0.5</v>
      </c>
      <c r="U331" s="4" t="s">
        <v>1335</v>
      </c>
      <c r="V331" s="4"/>
      <c r="W331" s="4"/>
      <c r="X331" s="4"/>
      <c r="Y331" s="4"/>
      <c r="Z331" s="45"/>
      <c r="AA331" s="45"/>
      <c r="AB331" s="4"/>
    </row>
    <row r="332" spans="1:28" ht="38.25" x14ac:dyDescent="0.25">
      <c r="A332" s="78" t="s">
        <v>1336</v>
      </c>
      <c r="B332" s="98" t="s">
        <v>1337</v>
      </c>
      <c r="C332" s="98" t="s">
        <v>1338</v>
      </c>
      <c r="D332" s="74" t="s">
        <v>1036</v>
      </c>
      <c r="E332" s="74"/>
      <c r="F332" s="74" t="s">
        <v>860</v>
      </c>
      <c r="G332" s="74" t="s">
        <v>630</v>
      </c>
      <c r="H332" s="74" t="s">
        <v>631</v>
      </c>
      <c r="I332" s="74"/>
      <c r="J332" s="79"/>
      <c r="K332" s="4"/>
      <c r="L332" s="4"/>
      <c r="M332" s="80"/>
      <c r="N332" s="4"/>
      <c r="O332" s="4"/>
      <c r="P332" s="4"/>
      <c r="Q332" s="4"/>
      <c r="R332" s="4"/>
      <c r="S332" s="4"/>
      <c r="T332" s="4"/>
      <c r="U332" s="4"/>
      <c r="V332" s="4"/>
      <c r="W332" s="4"/>
      <c r="X332" s="4"/>
      <c r="Y332" s="4"/>
      <c r="Z332" s="45"/>
      <c r="AA332" s="45"/>
      <c r="AB332" s="4"/>
    </row>
    <row r="333" spans="1:28" ht="76.5" x14ac:dyDescent="0.25">
      <c r="A333" s="78" t="s">
        <v>1336</v>
      </c>
      <c r="B333" s="99"/>
      <c r="C333" s="99"/>
      <c r="D333" s="74"/>
      <c r="E333" s="74"/>
      <c r="F333" s="74" t="s">
        <v>863</v>
      </c>
      <c r="G333" s="74" t="s">
        <v>772</v>
      </c>
      <c r="H333" s="74" t="s">
        <v>668</v>
      </c>
      <c r="I333" s="74"/>
      <c r="J333" s="79"/>
      <c r="K333" s="4"/>
      <c r="L333" s="4"/>
      <c r="M333" s="80"/>
      <c r="N333" s="4"/>
      <c r="O333" s="4"/>
      <c r="P333" s="4"/>
      <c r="Q333" s="4"/>
      <c r="R333" s="4"/>
      <c r="S333" s="4"/>
      <c r="T333" s="4"/>
      <c r="U333" s="4"/>
      <c r="V333" s="4"/>
      <c r="W333" s="4"/>
      <c r="X333" s="4"/>
      <c r="Y333" s="4"/>
      <c r="Z333" s="45"/>
      <c r="AA333" s="45"/>
      <c r="AB333" s="4"/>
    </row>
    <row r="334" spans="1:28" ht="89.25" x14ac:dyDescent="0.25">
      <c r="A334" s="78" t="s">
        <v>1339</v>
      </c>
      <c r="B334" s="98" t="s">
        <v>1340</v>
      </c>
      <c r="C334" s="98" t="s">
        <v>1073</v>
      </c>
      <c r="D334" s="74" t="s">
        <v>1074</v>
      </c>
      <c r="E334" s="74"/>
      <c r="F334" s="74" t="s">
        <v>860</v>
      </c>
      <c r="G334" s="74" t="s">
        <v>811</v>
      </c>
      <c r="H334" s="74" t="s">
        <v>812</v>
      </c>
      <c r="I334" s="74"/>
      <c r="J334" s="79"/>
      <c r="K334" s="4"/>
      <c r="L334" s="4"/>
      <c r="M334" s="80"/>
      <c r="N334" s="4"/>
      <c r="O334" s="4"/>
      <c r="P334" s="4"/>
      <c r="Q334" s="4"/>
      <c r="R334" s="4"/>
      <c r="S334" s="4"/>
      <c r="T334" s="4"/>
      <c r="U334" s="4"/>
      <c r="V334" s="4"/>
      <c r="W334" s="4"/>
      <c r="X334" s="4"/>
      <c r="Y334" s="4"/>
      <c r="Z334" s="45"/>
      <c r="AA334" s="45"/>
      <c r="AB334" s="4"/>
    </row>
    <row r="335" spans="1:28" ht="25.5" x14ac:dyDescent="0.25">
      <c r="A335" s="78" t="s">
        <v>1339</v>
      </c>
      <c r="B335" s="99"/>
      <c r="C335" s="99"/>
      <c r="D335" s="74"/>
      <c r="E335" s="74"/>
      <c r="F335" s="74" t="s">
        <v>863</v>
      </c>
      <c r="G335" s="74" t="s">
        <v>807</v>
      </c>
      <c r="H335" s="74" t="s">
        <v>808</v>
      </c>
      <c r="I335" s="74"/>
      <c r="J335" s="79"/>
      <c r="K335" s="4"/>
      <c r="L335" s="4"/>
      <c r="M335" s="80"/>
      <c r="N335" s="4"/>
      <c r="O335" s="4"/>
      <c r="P335" s="4"/>
      <c r="Q335" s="4"/>
      <c r="R335" s="4"/>
      <c r="S335" s="4"/>
      <c r="T335" s="4"/>
      <c r="U335" s="4"/>
      <c r="V335" s="4"/>
      <c r="W335" s="4"/>
      <c r="X335" s="4"/>
      <c r="Y335" s="4"/>
      <c r="Z335" s="45"/>
      <c r="AA335" s="45"/>
      <c r="AB335" s="4"/>
    </row>
    <row r="336" spans="1:28" ht="165.75" x14ac:dyDescent="0.25">
      <c r="A336" s="78" t="s">
        <v>1341</v>
      </c>
      <c r="B336" s="98" t="s">
        <v>1342</v>
      </c>
      <c r="C336" s="98" t="s">
        <v>1217</v>
      </c>
      <c r="D336" s="74" t="s">
        <v>1343</v>
      </c>
      <c r="E336" s="74"/>
      <c r="F336" s="74" t="s">
        <v>860</v>
      </c>
      <c r="G336" s="74" t="s">
        <v>1344</v>
      </c>
      <c r="H336" s="74" t="s">
        <v>509</v>
      </c>
      <c r="I336" s="74"/>
      <c r="J336" s="79"/>
      <c r="K336" s="4"/>
      <c r="L336" s="4"/>
      <c r="M336" s="80"/>
      <c r="N336" s="4"/>
      <c r="O336" s="4"/>
      <c r="P336" s="4"/>
      <c r="Q336" s="4"/>
      <c r="R336" s="4"/>
      <c r="S336" s="4"/>
      <c r="T336" s="4"/>
      <c r="U336" s="4"/>
      <c r="V336" s="4"/>
      <c r="W336" s="4"/>
      <c r="X336" s="4"/>
      <c r="Y336" s="4"/>
      <c r="Z336" s="45"/>
      <c r="AA336" s="45"/>
      <c r="AB336" s="4"/>
    </row>
    <row r="337" spans="1:28" ht="63.75" x14ac:dyDescent="0.25">
      <c r="A337" s="78" t="s">
        <v>1341</v>
      </c>
      <c r="B337" s="99"/>
      <c r="C337" s="99"/>
      <c r="D337" s="74"/>
      <c r="E337" s="74"/>
      <c r="F337" s="74" t="s">
        <v>863</v>
      </c>
      <c r="G337" s="74" t="s">
        <v>1220</v>
      </c>
      <c r="H337" s="74" t="s">
        <v>1221</v>
      </c>
      <c r="I337" s="74"/>
      <c r="J337" s="79"/>
      <c r="K337" s="4"/>
      <c r="L337" s="4"/>
      <c r="M337" s="80"/>
      <c r="N337" s="4"/>
      <c r="O337" s="4"/>
      <c r="P337" s="4"/>
      <c r="Q337" s="4"/>
      <c r="R337" s="4"/>
      <c r="S337" s="4"/>
      <c r="T337" s="4"/>
      <c r="U337" s="4"/>
      <c r="V337" s="4"/>
      <c r="W337" s="4"/>
      <c r="X337" s="4"/>
      <c r="Y337" s="4"/>
      <c r="Z337" s="45"/>
      <c r="AA337" s="45"/>
      <c r="AB337" s="4"/>
    </row>
    <row r="338" spans="1:28" ht="127.5" x14ac:dyDescent="0.25">
      <c r="A338" s="78" t="s">
        <v>1345</v>
      </c>
      <c r="B338" s="74" t="s">
        <v>1346</v>
      </c>
      <c r="C338" s="74" t="s">
        <v>1347</v>
      </c>
      <c r="D338" s="74" t="s">
        <v>1348</v>
      </c>
      <c r="E338" s="74"/>
      <c r="F338" s="74" t="s">
        <v>860</v>
      </c>
      <c r="G338" s="74" t="s">
        <v>885</v>
      </c>
      <c r="H338" s="74" t="s">
        <v>886</v>
      </c>
      <c r="I338" s="74"/>
      <c r="J338" s="79"/>
      <c r="K338" s="4"/>
      <c r="L338" s="4"/>
      <c r="M338" s="80"/>
      <c r="N338" s="4"/>
      <c r="O338" s="4"/>
      <c r="P338" s="4"/>
      <c r="Q338" s="4"/>
      <c r="R338" s="4"/>
      <c r="S338" s="4"/>
      <c r="T338" s="4"/>
      <c r="U338" s="4"/>
      <c r="V338" s="4"/>
      <c r="W338" s="4"/>
      <c r="X338" s="4"/>
      <c r="Y338" s="4"/>
      <c r="Z338" s="45"/>
      <c r="AA338" s="45"/>
      <c r="AB338" s="4"/>
    </row>
    <row r="339" spans="1:28" ht="153" x14ac:dyDescent="0.25">
      <c r="A339" s="78" t="s">
        <v>1349</v>
      </c>
      <c r="B339" s="98" t="s">
        <v>1350</v>
      </c>
      <c r="C339" s="98" t="s">
        <v>770</v>
      </c>
      <c r="D339" s="74" t="s">
        <v>771</v>
      </c>
      <c r="E339" s="74"/>
      <c r="F339" s="74" t="s">
        <v>860</v>
      </c>
      <c r="G339" s="74" t="s">
        <v>630</v>
      </c>
      <c r="H339" s="74" t="s">
        <v>631</v>
      </c>
      <c r="I339" s="74"/>
      <c r="J339" s="79"/>
      <c r="K339" s="4"/>
      <c r="L339" s="4"/>
      <c r="M339" s="80"/>
      <c r="N339" s="4"/>
      <c r="O339" s="4"/>
      <c r="P339" s="4"/>
      <c r="Q339" s="4"/>
      <c r="R339" s="4"/>
      <c r="S339" s="4"/>
      <c r="T339" s="4"/>
      <c r="U339" s="4"/>
      <c r="V339" s="4"/>
      <c r="W339" s="4"/>
      <c r="X339" s="4"/>
      <c r="Y339" s="4"/>
      <c r="Z339" s="45"/>
      <c r="AA339" s="45"/>
      <c r="AB339" s="4"/>
    </row>
    <row r="340" spans="1:28" ht="76.5" x14ac:dyDescent="0.25">
      <c r="A340" s="78" t="s">
        <v>1349</v>
      </c>
      <c r="B340" s="99"/>
      <c r="C340" s="99"/>
      <c r="D340" s="74"/>
      <c r="E340" s="74"/>
      <c r="F340" s="74" t="s">
        <v>863</v>
      </c>
      <c r="G340" s="74" t="s">
        <v>772</v>
      </c>
      <c r="H340" s="74" t="s">
        <v>668</v>
      </c>
      <c r="I340" s="74"/>
      <c r="J340" s="79"/>
      <c r="K340" s="4"/>
      <c r="L340" s="4"/>
      <c r="M340" s="80"/>
      <c r="N340" s="4"/>
      <c r="O340" s="4"/>
      <c r="P340" s="4"/>
      <c r="Q340" s="4"/>
      <c r="R340" s="4"/>
      <c r="S340" s="4"/>
      <c r="T340" s="4"/>
      <c r="U340" s="4"/>
      <c r="V340" s="4"/>
      <c r="W340" s="4"/>
      <c r="X340" s="4"/>
      <c r="Y340" s="4"/>
      <c r="Z340" s="45"/>
      <c r="AA340" s="45"/>
      <c r="AB340" s="4"/>
    </row>
    <row r="341" spans="1:28" ht="76.5" x14ac:dyDescent="0.25">
      <c r="A341" s="78" t="s">
        <v>1351</v>
      </c>
      <c r="B341" s="98" t="s">
        <v>1352</v>
      </c>
      <c r="C341" s="98" t="s">
        <v>1126</v>
      </c>
      <c r="D341" s="74" t="s">
        <v>1247</v>
      </c>
      <c r="E341" s="74"/>
      <c r="F341" s="74" t="s">
        <v>860</v>
      </c>
      <c r="G341" s="74" t="s">
        <v>772</v>
      </c>
      <c r="H341" s="74" t="s">
        <v>668</v>
      </c>
      <c r="I341" s="74"/>
      <c r="J341" s="79"/>
      <c r="K341" s="4"/>
      <c r="L341" s="4"/>
      <c r="M341" s="80"/>
      <c r="N341" s="4"/>
      <c r="O341" s="4"/>
      <c r="P341" s="4"/>
      <c r="Q341" s="4"/>
      <c r="R341" s="4"/>
      <c r="S341" s="4"/>
      <c r="T341" s="4"/>
      <c r="U341" s="4"/>
      <c r="V341" s="4"/>
      <c r="W341" s="4"/>
      <c r="X341" s="4"/>
      <c r="Y341" s="4"/>
      <c r="Z341" s="45"/>
      <c r="AA341" s="45"/>
      <c r="AB341" s="4"/>
    </row>
    <row r="342" spans="1:28" ht="38.25" x14ac:dyDescent="0.25">
      <c r="A342" s="78" t="s">
        <v>1351</v>
      </c>
      <c r="B342" s="99"/>
      <c r="C342" s="99"/>
      <c r="D342" s="74"/>
      <c r="E342" s="74"/>
      <c r="F342" s="74" t="s">
        <v>863</v>
      </c>
      <c r="G342" s="74" t="s">
        <v>630</v>
      </c>
      <c r="H342" s="74" t="s">
        <v>631</v>
      </c>
      <c r="I342" s="74"/>
      <c r="J342" s="79"/>
      <c r="K342" s="4"/>
      <c r="L342" s="4"/>
      <c r="M342" s="80"/>
      <c r="N342" s="4"/>
      <c r="O342" s="4"/>
      <c r="P342" s="4"/>
      <c r="Q342" s="4"/>
      <c r="R342" s="4"/>
      <c r="S342" s="4"/>
      <c r="T342" s="4"/>
      <c r="U342" s="4"/>
      <c r="V342" s="4"/>
      <c r="W342" s="4"/>
      <c r="X342" s="4"/>
      <c r="Y342" s="4"/>
      <c r="Z342" s="45"/>
      <c r="AA342" s="45"/>
      <c r="AB342" s="4"/>
    </row>
    <row r="343" spans="1:28" ht="76.5" x14ac:dyDescent="0.25">
      <c r="A343" s="78" t="s">
        <v>1353</v>
      </c>
      <c r="B343" s="98" t="s">
        <v>1354</v>
      </c>
      <c r="C343" s="98" t="s">
        <v>776</v>
      </c>
      <c r="D343" s="74" t="s">
        <v>1027</v>
      </c>
      <c r="E343" s="74"/>
      <c r="F343" s="74" t="s">
        <v>860</v>
      </c>
      <c r="G343" s="74" t="s">
        <v>772</v>
      </c>
      <c r="H343" s="74" t="s">
        <v>668</v>
      </c>
      <c r="I343" s="74"/>
      <c r="J343" s="79"/>
      <c r="K343" s="4"/>
      <c r="L343" s="4"/>
      <c r="M343" s="80"/>
      <c r="N343" s="4"/>
      <c r="O343" s="4"/>
      <c r="P343" s="4"/>
      <c r="Q343" s="4"/>
      <c r="R343" s="4"/>
      <c r="S343" s="4"/>
      <c r="T343" s="4"/>
      <c r="U343" s="4"/>
      <c r="V343" s="4"/>
      <c r="W343" s="4"/>
      <c r="X343" s="4"/>
      <c r="Y343" s="4"/>
      <c r="Z343" s="45"/>
      <c r="AA343" s="45"/>
      <c r="AB343" s="4"/>
    </row>
    <row r="344" spans="1:28" ht="38.25" x14ac:dyDescent="0.25">
      <c r="A344" s="78" t="s">
        <v>1353</v>
      </c>
      <c r="B344" s="99"/>
      <c r="C344" s="99"/>
      <c r="D344" s="74"/>
      <c r="E344" s="74"/>
      <c r="F344" s="74" t="s">
        <v>863</v>
      </c>
      <c r="G344" s="74" t="s">
        <v>630</v>
      </c>
      <c r="H344" s="74" t="s">
        <v>631</v>
      </c>
      <c r="I344" s="74"/>
      <c r="J344" s="79"/>
      <c r="K344" s="4"/>
      <c r="L344" s="4"/>
      <c r="M344" s="80"/>
      <c r="N344" s="4"/>
      <c r="O344" s="4"/>
      <c r="P344" s="4"/>
      <c r="Q344" s="4"/>
      <c r="R344" s="4"/>
      <c r="S344" s="4"/>
      <c r="T344" s="4"/>
      <c r="U344" s="4"/>
      <c r="V344" s="4"/>
      <c r="W344" s="4"/>
      <c r="X344" s="4"/>
      <c r="Y344" s="4"/>
      <c r="Z344" s="45"/>
      <c r="AA344" s="45"/>
      <c r="AB344" s="4"/>
    </row>
    <row r="345" spans="1:28" ht="114.75" x14ac:dyDescent="0.25">
      <c r="A345" s="78" t="s">
        <v>1355</v>
      </c>
      <c r="B345" s="74" t="s">
        <v>1356</v>
      </c>
      <c r="C345" s="74" t="s">
        <v>1357</v>
      </c>
      <c r="D345" s="74" t="s">
        <v>1358</v>
      </c>
      <c r="E345" s="74"/>
      <c r="F345" s="74" t="s">
        <v>860</v>
      </c>
      <c r="G345" s="74" t="s">
        <v>1359</v>
      </c>
      <c r="H345" s="74" t="s">
        <v>1357</v>
      </c>
      <c r="I345" s="74"/>
      <c r="J345" s="79"/>
      <c r="K345" s="4"/>
      <c r="L345" s="4"/>
      <c r="M345" s="80"/>
      <c r="N345" s="4"/>
      <c r="O345" s="4"/>
      <c r="P345" s="4"/>
      <c r="Q345" s="4"/>
      <c r="R345" s="4"/>
      <c r="S345" s="4"/>
      <c r="T345" s="4"/>
      <c r="U345" s="4"/>
      <c r="V345" s="4"/>
      <c r="W345" s="4"/>
      <c r="X345" s="4"/>
      <c r="Y345" s="4"/>
      <c r="Z345" s="45"/>
      <c r="AA345" s="45"/>
      <c r="AB345" s="4"/>
    </row>
    <row r="346" spans="1:28" ht="357" x14ac:dyDescent="0.25">
      <c r="A346" s="78" t="s">
        <v>1360</v>
      </c>
      <c r="B346" s="98" t="s">
        <v>1361</v>
      </c>
      <c r="C346" s="98" t="s">
        <v>1261</v>
      </c>
      <c r="D346" s="74" t="s">
        <v>1262</v>
      </c>
      <c r="E346" s="74"/>
      <c r="F346" s="74" t="s">
        <v>860</v>
      </c>
      <c r="G346" s="74" t="s">
        <v>363</v>
      </c>
      <c r="H346" s="74" t="s">
        <v>364</v>
      </c>
      <c r="I346" s="74"/>
      <c r="J346" s="79"/>
      <c r="K346" s="4"/>
      <c r="L346" s="4"/>
      <c r="M346" s="80"/>
      <c r="N346" s="4"/>
      <c r="O346" s="4"/>
      <c r="P346" s="4"/>
      <c r="Q346" s="4"/>
      <c r="R346" s="4"/>
      <c r="S346" s="4"/>
      <c r="T346" s="4"/>
      <c r="U346" s="4"/>
      <c r="V346" s="4"/>
      <c r="W346" s="4"/>
      <c r="X346" s="4"/>
      <c r="Y346" s="4"/>
      <c r="Z346" s="45"/>
      <c r="AA346" s="45"/>
      <c r="AB346" s="4"/>
    </row>
    <row r="347" spans="1:28" ht="409.5" x14ac:dyDescent="0.25">
      <c r="A347" s="78" t="s">
        <v>1360</v>
      </c>
      <c r="B347" s="99"/>
      <c r="C347" s="99"/>
      <c r="D347" s="74"/>
      <c r="E347" s="74"/>
      <c r="F347" s="74" t="s">
        <v>863</v>
      </c>
      <c r="G347" s="74" t="s">
        <v>356</v>
      </c>
      <c r="H347" s="74" t="s">
        <v>357</v>
      </c>
      <c r="I347" s="74"/>
      <c r="J347" s="79"/>
      <c r="K347" s="4"/>
      <c r="L347" s="4"/>
      <c r="M347" s="80"/>
      <c r="N347" s="4"/>
      <c r="O347" s="4"/>
      <c r="P347" s="4"/>
      <c r="Q347" s="4"/>
      <c r="R347" s="4"/>
      <c r="S347" s="4"/>
      <c r="T347" s="4"/>
      <c r="U347" s="4"/>
      <c r="V347" s="4"/>
      <c r="W347" s="4"/>
      <c r="X347" s="4"/>
      <c r="Y347" s="4"/>
      <c r="Z347" s="45"/>
      <c r="AA347" s="45"/>
      <c r="AB347" s="4"/>
    </row>
    <row r="348" spans="1:28" ht="76.5" x14ac:dyDescent="0.25">
      <c r="A348" s="78" t="s">
        <v>1362</v>
      </c>
      <c r="B348" s="98" t="s">
        <v>1363</v>
      </c>
      <c r="C348" s="98" t="s">
        <v>1338</v>
      </c>
      <c r="D348" s="74" t="s">
        <v>1036</v>
      </c>
      <c r="E348" s="74"/>
      <c r="F348" s="74" t="s">
        <v>860</v>
      </c>
      <c r="G348" s="74" t="s">
        <v>772</v>
      </c>
      <c r="H348" s="74" t="s">
        <v>668</v>
      </c>
      <c r="I348" s="74"/>
      <c r="J348" s="79"/>
      <c r="K348" s="4"/>
      <c r="L348" s="4"/>
      <c r="M348" s="80"/>
      <c r="N348" s="4"/>
      <c r="O348" s="4"/>
      <c r="P348" s="4"/>
      <c r="Q348" s="4"/>
      <c r="R348" s="4"/>
      <c r="S348" s="4"/>
      <c r="T348" s="4"/>
      <c r="U348" s="4"/>
      <c r="V348" s="4"/>
      <c r="W348" s="4"/>
      <c r="X348" s="4"/>
      <c r="Y348" s="4"/>
      <c r="Z348" s="45"/>
      <c r="AA348" s="45"/>
      <c r="AB348" s="4"/>
    </row>
    <row r="349" spans="1:28" ht="38.25" x14ac:dyDescent="0.25">
      <c r="A349" s="78" t="s">
        <v>1362</v>
      </c>
      <c r="B349" s="99"/>
      <c r="C349" s="99"/>
      <c r="D349" s="74"/>
      <c r="E349" s="74"/>
      <c r="F349" s="74" t="s">
        <v>863</v>
      </c>
      <c r="G349" s="74" t="s">
        <v>630</v>
      </c>
      <c r="H349" s="74" t="s">
        <v>631</v>
      </c>
      <c r="I349" s="74"/>
      <c r="J349" s="79"/>
      <c r="K349" s="4"/>
      <c r="L349" s="4"/>
      <c r="M349" s="80"/>
      <c r="N349" s="4"/>
      <c r="O349" s="4"/>
      <c r="P349" s="4"/>
      <c r="Q349" s="4"/>
      <c r="R349" s="4"/>
      <c r="S349" s="4"/>
      <c r="T349" s="4"/>
      <c r="U349" s="4"/>
      <c r="V349" s="4"/>
      <c r="W349" s="4"/>
      <c r="X349" s="4"/>
      <c r="Y349" s="4"/>
      <c r="Z349" s="45"/>
      <c r="AA349" s="45"/>
      <c r="AB349" s="4"/>
    </row>
    <row r="350" spans="1:28" ht="89.25" x14ac:dyDescent="0.25">
      <c r="A350" s="78" t="s">
        <v>1364</v>
      </c>
      <c r="B350" s="98" t="s">
        <v>1365</v>
      </c>
      <c r="C350" s="98" t="s">
        <v>1073</v>
      </c>
      <c r="D350" s="74" t="s">
        <v>1074</v>
      </c>
      <c r="E350" s="74"/>
      <c r="F350" s="74" t="s">
        <v>860</v>
      </c>
      <c r="G350" s="74" t="s">
        <v>811</v>
      </c>
      <c r="H350" s="74" t="s">
        <v>812</v>
      </c>
      <c r="I350" s="74"/>
      <c r="J350" s="79"/>
      <c r="K350" s="4"/>
      <c r="L350" s="4"/>
      <c r="M350" s="80"/>
      <c r="N350" s="4"/>
      <c r="O350" s="4"/>
      <c r="P350" s="4"/>
      <c r="Q350" s="4"/>
      <c r="R350" s="4"/>
      <c r="S350" s="4"/>
      <c r="T350" s="4"/>
      <c r="U350" s="4"/>
      <c r="V350" s="4"/>
      <c r="W350" s="4"/>
      <c r="X350" s="4"/>
      <c r="Y350" s="4"/>
      <c r="Z350" s="45"/>
      <c r="AA350" s="45"/>
      <c r="AB350" s="4"/>
    </row>
    <row r="351" spans="1:28" ht="25.5" x14ac:dyDescent="0.25">
      <c r="A351" s="78" t="s">
        <v>1364</v>
      </c>
      <c r="B351" s="99"/>
      <c r="C351" s="99"/>
      <c r="D351" s="74"/>
      <c r="E351" s="74"/>
      <c r="F351" s="74" t="s">
        <v>863</v>
      </c>
      <c r="G351" s="74" t="s">
        <v>807</v>
      </c>
      <c r="H351" s="74" t="s">
        <v>808</v>
      </c>
      <c r="I351" s="74"/>
      <c r="J351" s="79"/>
      <c r="K351" s="4"/>
      <c r="L351" s="4"/>
      <c r="M351" s="80"/>
      <c r="N351" s="4"/>
      <c r="O351" s="4"/>
      <c r="P351" s="4"/>
      <c r="Q351" s="4"/>
      <c r="R351" s="4"/>
      <c r="S351" s="4"/>
      <c r="T351" s="4"/>
      <c r="U351" s="4"/>
      <c r="V351" s="4"/>
      <c r="W351" s="4"/>
      <c r="X351" s="4"/>
      <c r="Y351" s="4"/>
      <c r="Z351" s="45"/>
      <c r="AA351" s="45"/>
      <c r="AB351" s="4"/>
    </row>
    <row r="352" spans="1:28" ht="318.75" x14ac:dyDescent="0.25">
      <c r="A352" s="78" t="s">
        <v>1366</v>
      </c>
      <c r="B352" s="74" t="s">
        <v>1367</v>
      </c>
      <c r="C352" s="74" t="s">
        <v>781</v>
      </c>
      <c r="D352" s="74" t="s">
        <v>1368</v>
      </c>
      <c r="E352" s="74"/>
      <c r="F352" s="74" t="s">
        <v>860</v>
      </c>
      <c r="G352" s="74" t="s">
        <v>1368</v>
      </c>
      <c r="H352" s="74" t="s">
        <v>781</v>
      </c>
      <c r="I352" s="74"/>
      <c r="J352" s="79"/>
      <c r="K352" s="4"/>
      <c r="L352" s="4"/>
      <c r="M352" s="80"/>
      <c r="N352" s="4"/>
      <c r="O352" s="4"/>
      <c r="P352" s="4"/>
      <c r="Q352" s="4"/>
      <c r="R352" s="4"/>
      <c r="S352" s="4"/>
      <c r="T352" s="4"/>
      <c r="U352" s="4"/>
      <c r="V352" s="4"/>
      <c r="W352" s="4"/>
      <c r="X352" s="4"/>
      <c r="Y352" s="4"/>
      <c r="Z352" s="45"/>
      <c r="AA352" s="45"/>
      <c r="AB352" s="4"/>
    </row>
    <row r="353" spans="1:28" ht="409.5" x14ac:dyDescent="0.25">
      <c r="A353" s="78" t="s">
        <v>1369</v>
      </c>
      <c r="B353" s="98" t="s">
        <v>1370</v>
      </c>
      <c r="C353" s="98" t="s">
        <v>1371</v>
      </c>
      <c r="D353" s="74" t="s">
        <v>1372</v>
      </c>
      <c r="E353" s="74"/>
      <c r="F353" s="74" t="s">
        <v>860</v>
      </c>
      <c r="G353" s="74" t="s">
        <v>257</v>
      </c>
      <c r="H353" s="74" t="s">
        <v>1373</v>
      </c>
      <c r="I353" s="74"/>
      <c r="J353" s="79"/>
      <c r="K353" s="4"/>
      <c r="L353" s="4"/>
      <c r="M353" s="80"/>
      <c r="N353" s="4"/>
      <c r="O353" s="4"/>
      <c r="P353" s="4"/>
      <c r="Q353" s="4"/>
      <c r="R353" s="4"/>
      <c r="S353" s="4"/>
      <c r="T353" s="4"/>
      <c r="U353" s="4"/>
      <c r="V353" s="4"/>
      <c r="W353" s="4"/>
      <c r="X353" s="4"/>
      <c r="Y353" s="4"/>
      <c r="Z353" s="45"/>
      <c r="AA353" s="45"/>
      <c r="AB353" s="4"/>
    </row>
    <row r="354" spans="1:28" ht="114.75" x14ac:dyDescent="0.25">
      <c r="A354" s="78" t="s">
        <v>1369</v>
      </c>
      <c r="B354" s="99"/>
      <c r="C354" s="99"/>
      <c r="D354" s="74"/>
      <c r="E354" s="74"/>
      <c r="F354" s="74" t="s">
        <v>863</v>
      </c>
      <c r="G354" s="74" t="s">
        <v>253</v>
      </c>
      <c r="H354" s="74" t="s">
        <v>1374</v>
      </c>
      <c r="I354" s="74"/>
      <c r="J354" s="79"/>
      <c r="K354" s="4"/>
      <c r="L354" s="4"/>
      <c r="M354" s="80"/>
      <c r="N354" s="4"/>
      <c r="O354" s="4"/>
      <c r="P354" s="4"/>
      <c r="Q354" s="4"/>
      <c r="R354" s="4"/>
      <c r="S354" s="4"/>
      <c r="T354" s="4"/>
      <c r="U354" s="4"/>
      <c r="V354" s="4"/>
      <c r="W354" s="4"/>
      <c r="X354" s="4"/>
      <c r="Y354" s="4"/>
      <c r="Z354" s="45"/>
      <c r="AA354" s="45"/>
      <c r="AB354" s="4"/>
    </row>
    <row r="355" spans="1:28" ht="165.75" x14ac:dyDescent="0.25">
      <c r="A355" s="78" t="s">
        <v>1375</v>
      </c>
      <c r="B355" s="98" t="s">
        <v>1376</v>
      </c>
      <c r="C355" s="98" t="s">
        <v>1217</v>
      </c>
      <c r="D355" s="74" t="s">
        <v>1377</v>
      </c>
      <c r="E355" s="74"/>
      <c r="F355" s="74" t="s">
        <v>860</v>
      </c>
      <c r="G355" s="74" t="s">
        <v>1378</v>
      </c>
      <c r="H355" s="74" t="s">
        <v>509</v>
      </c>
      <c r="I355" s="74"/>
      <c r="J355" s="79"/>
      <c r="K355" s="4"/>
      <c r="L355" s="4"/>
      <c r="M355" s="80"/>
      <c r="N355" s="4"/>
      <c r="O355" s="4"/>
      <c r="P355" s="4"/>
      <c r="Q355" s="4"/>
      <c r="R355" s="4"/>
      <c r="S355" s="4"/>
      <c r="T355" s="4"/>
      <c r="U355" s="4"/>
      <c r="V355" s="4"/>
      <c r="W355" s="4"/>
      <c r="X355" s="4"/>
      <c r="Y355" s="4"/>
      <c r="Z355" s="45"/>
      <c r="AA355" s="45"/>
      <c r="AB355" s="4"/>
    </row>
    <row r="356" spans="1:28" ht="63.75" x14ac:dyDescent="0.25">
      <c r="A356" s="78" t="s">
        <v>1375</v>
      </c>
      <c r="B356" s="99"/>
      <c r="C356" s="99"/>
      <c r="D356" s="74"/>
      <c r="E356" s="74"/>
      <c r="F356" s="74" t="s">
        <v>863</v>
      </c>
      <c r="G356" s="74" t="s">
        <v>1220</v>
      </c>
      <c r="H356" s="74" t="s">
        <v>1221</v>
      </c>
      <c r="I356" s="74"/>
      <c r="J356" s="79"/>
      <c r="K356" s="4"/>
      <c r="L356" s="4"/>
      <c r="M356" s="80"/>
      <c r="N356" s="4"/>
      <c r="O356" s="4"/>
      <c r="P356" s="4"/>
      <c r="Q356" s="4"/>
      <c r="R356" s="4"/>
      <c r="S356" s="4"/>
      <c r="T356" s="4"/>
      <c r="U356" s="4"/>
      <c r="V356" s="4"/>
      <c r="W356" s="4"/>
      <c r="X356" s="4"/>
      <c r="Y356" s="4"/>
      <c r="Z356" s="45"/>
      <c r="AA356" s="45"/>
      <c r="AB356" s="4"/>
    </row>
    <row r="357" spans="1:28" ht="344.25" x14ac:dyDescent="0.25">
      <c r="A357" s="78" t="s">
        <v>1379</v>
      </c>
      <c r="B357" s="98" t="s">
        <v>1380</v>
      </c>
      <c r="C357" s="98" t="s">
        <v>1291</v>
      </c>
      <c r="D357" s="74" t="s">
        <v>1292</v>
      </c>
      <c r="E357" s="74"/>
      <c r="F357" s="74" t="s">
        <v>860</v>
      </c>
      <c r="G357" s="74" t="s">
        <v>253</v>
      </c>
      <c r="H357" s="74" t="s">
        <v>254</v>
      </c>
      <c r="I357" s="74"/>
      <c r="J357" s="79"/>
      <c r="K357" s="4"/>
      <c r="L357" s="4"/>
      <c r="M357" s="80"/>
      <c r="N357" s="4"/>
      <c r="O357" s="4"/>
      <c r="P357" s="4"/>
      <c r="Q357" s="4"/>
      <c r="R357" s="4"/>
      <c r="S357" s="4"/>
      <c r="T357" s="112">
        <v>1</v>
      </c>
      <c r="U357" s="4"/>
      <c r="V357" s="4"/>
      <c r="W357" s="4"/>
      <c r="X357" s="4"/>
      <c r="Y357" s="4"/>
      <c r="Z357" s="45"/>
      <c r="AA357" s="45"/>
      <c r="AB357" s="4"/>
    </row>
    <row r="358" spans="1:28" ht="63.75" x14ac:dyDescent="0.25">
      <c r="A358" s="78" t="s">
        <v>1379</v>
      </c>
      <c r="B358" s="99"/>
      <c r="C358" s="99"/>
      <c r="D358" s="74"/>
      <c r="E358" s="74"/>
      <c r="F358" s="74" t="s">
        <v>863</v>
      </c>
      <c r="G358" s="74" t="s">
        <v>257</v>
      </c>
      <c r="H358" s="74" t="s">
        <v>258</v>
      </c>
      <c r="I358" s="74"/>
      <c r="J358" s="79"/>
      <c r="K358" s="4"/>
      <c r="L358" s="4"/>
      <c r="M358" s="80"/>
      <c r="N358" s="4"/>
      <c r="O358" s="4"/>
      <c r="P358" s="4"/>
      <c r="Q358" s="4"/>
      <c r="R358" s="4"/>
      <c r="S358" s="4"/>
      <c r="T358" s="112"/>
      <c r="U358" s="4"/>
      <c r="V358" s="4"/>
      <c r="W358" s="4"/>
      <c r="X358" s="4"/>
      <c r="Y358" s="4"/>
      <c r="Z358" s="45"/>
      <c r="AA358" s="45"/>
      <c r="AB358" s="4"/>
    </row>
    <row r="359" spans="1:28" ht="140.25" x14ac:dyDescent="0.25">
      <c r="A359" s="78" t="s">
        <v>1381</v>
      </c>
      <c r="B359" s="98" t="s">
        <v>1382</v>
      </c>
      <c r="C359" s="98" t="s">
        <v>1126</v>
      </c>
      <c r="D359" s="74" t="s">
        <v>1127</v>
      </c>
      <c r="E359" s="74"/>
      <c r="F359" s="74" t="s">
        <v>860</v>
      </c>
      <c r="G359" s="74" t="s">
        <v>663</v>
      </c>
      <c r="H359" s="74" t="s">
        <v>631</v>
      </c>
      <c r="I359" s="74"/>
      <c r="J359" s="79"/>
      <c r="K359" s="4"/>
      <c r="L359" s="4"/>
      <c r="M359" s="80"/>
      <c r="N359" s="4"/>
      <c r="O359" s="4"/>
      <c r="P359" s="4"/>
      <c r="Q359" s="4"/>
      <c r="R359" s="4"/>
      <c r="S359" s="4"/>
      <c r="T359" s="4"/>
      <c r="U359" s="4"/>
      <c r="V359" s="4"/>
      <c r="W359" s="4"/>
      <c r="X359" s="4"/>
      <c r="Y359" s="4"/>
      <c r="Z359" s="45"/>
      <c r="AA359" s="45"/>
      <c r="AB359" s="4"/>
    </row>
    <row r="360" spans="1:28" ht="76.5" x14ac:dyDescent="0.25">
      <c r="A360" s="78" t="s">
        <v>1381</v>
      </c>
      <c r="B360" s="99"/>
      <c r="C360" s="99"/>
      <c r="D360" s="74"/>
      <c r="E360" s="74"/>
      <c r="F360" s="74" t="s">
        <v>863</v>
      </c>
      <c r="G360" s="74" t="s">
        <v>667</v>
      </c>
      <c r="H360" s="74" t="s">
        <v>668</v>
      </c>
      <c r="I360" s="74"/>
      <c r="J360" s="79"/>
      <c r="K360" s="4"/>
      <c r="L360" s="4"/>
      <c r="M360" s="80"/>
      <c r="N360" s="4"/>
      <c r="O360" s="4"/>
      <c r="P360" s="4"/>
      <c r="Q360" s="4"/>
      <c r="R360" s="4"/>
      <c r="S360" s="4"/>
      <c r="T360" s="4"/>
      <c r="U360" s="4"/>
      <c r="V360" s="4"/>
      <c r="W360" s="4"/>
      <c r="X360" s="4"/>
      <c r="Y360" s="4"/>
      <c r="Z360" s="45"/>
      <c r="AA360" s="45"/>
      <c r="AB360" s="4"/>
    </row>
    <row r="361" spans="1:28" ht="126" x14ac:dyDescent="0.25">
      <c r="A361" s="78" t="s">
        <v>1383</v>
      </c>
      <c r="B361" s="74" t="s">
        <v>1384</v>
      </c>
      <c r="C361" s="74" t="s">
        <v>1385</v>
      </c>
      <c r="D361" s="81" t="s">
        <v>1386</v>
      </c>
      <c r="E361" s="81"/>
      <c r="F361" s="81" t="s">
        <v>860</v>
      </c>
      <c r="G361" s="81" t="s">
        <v>422</v>
      </c>
      <c r="H361" s="81" t="s">
        <v>423</v>
      </c>
      <c r="I361" s="39"/>
      <c r="J361" s="39"/>
      <c r="K361" s="39"/>
      <c r="L361" s="39"/>
      <c r="M361" s="39"/>
      <c r="N361" s="39"/>
      <c r="O361" s="39"/>
      <c r="P361" s="39"/>
      <c r="Q361" s="39"/>
      <c r="R361" s="40"/>
      <c r="S361" s="40"/>
      <c r="T361" s="41">
        <v>1</v>
      </c>
      <c r="U361" s="42"/>
      <c r="V361" s="42"/>
      <c r="W361" s="43"/>
      <c r="X361" s="44"/>
      <c r="Y361" s="4"/>
      <c r="Z361" s="45"/>
      <c r="AA361" s="45"/>
      <c r="AB361" s="4"/>
    </row>
    <row r="362" spans="1:28" ht="216.75" x14ac:dyDescent="0.25">
      <c r="A362" s="78" t="s">
        <v>1387</v>
      </c>
      <c r="B362" s="98" t="s">
        <v>1388</v>
      </c>
      <c r="C362" s="98" t="s">
        <v>815</v>
      </c>
      <c r="D362" s="74" t="s">
        <v>816</v>
      </c>
      <c r="E362" s="74"/>
      <c r="F362" s="74" t="s">
        <v>860</v>
      </c>
      <c r="G362" s="74" t="s">
        <v>823</v>
      </c>
      <c r="H362" s="74" t="s">
        <v>818</v>
      </c>
      <c r="I362" s="39"/>
      <c r="J362" s="39"/>
      <c r="K362" s="39"/>
      <c r="L362" s="39"/>
      <c r="M362" s="39"/>
      <c r="N362" s="39"/>
      <c r="O362" s="39"/>
      <c r="P362" s="39"/>
      <c r="Q362" s="39"/>
      <c r="R362" s="40"/>
      <c r="S362" s="40"/>
      <c r="T362" s="41"/>
      <c r="U362" s="42"/>
      <c r="V362" s="42"/>
      <c r="W362" s="43"/>
      <c r="X362" s="44"/>
      <c r="Y362" s="4"/>
      <c r="Z362" s="45"/>
      <c r="AA362" s="45"/>
      <c r="AB362" s="4"/>
    </row>
    <row r="363" spans="1:28" ht="51" x14ac:dyDescent="0.25">
      <c r="A363" s="78" t="s">
        <v>1387</v>
      </c>
      <c r="B363" s="99"/>
      <c r="C363" s="99"/>
      <c r="D363" s="74"/>
      <c r="E363" s="74"/>
      <c r="F363" s="74" t="s">
        <v>863</v>
      </c>
      <c r="G363" s="74" t="s">
        <v>821</v>
      </c>
      <c r="H363" s="74" t="s">
        <v>818</v>
      </c>
      <c r="I363" s="39"/>
      <c r="J363" s="39"/>
      <c r="K363" s="39"/>
      <c r="L363" s="39"/>
      <c r="M363" s="39"/>
      <c r="N363" s="39"/>
      <c r="O363" s="39"/>
      <c r="P363" s="39"/>
      <c r="Q363" s="39"/>
      <c r="R363" s="40"/>
      <c r="S363" s="40"/>
      <c r="T363" s="41"/>
      <c r="U363" s="42"/>
      <c r="V363" s="42"/>
      <c r="W363" s="43"/>
      <c r="X363" s="44"/>
      <c r="Y363" s="4"/>
      <c r="Z363" s="45"/>
      <c r="AA363" s="45"/>
      <c r="AB363" s="4"/>
    </row>
    <row r="364" spans="1:28" ht="51" x14ac:dyDescent="0.25">
      <c r="A364" s="78" t="s">
        <v>1387</v>
      </c>
      <c r="B364" s="99"/>
      <c r="C364" s="99"/>
      <c r="D364" s="74"/>
      <c r="E364" s="74"/>
      <c r="F364" s="74" t="s">
        <v>865</v>
      </c>
      <c r="G364" s="74" t="s">
        <v>817</v>
      </c>
      <c r="H364" s="74" t="s">
        <v>818</v>
      </c>
      <c r="I364" s="39"/>
      <c r="J364" s="39"/>
      <c r="K364" s="39"/>
      <c r="L364" s="39"/>
      <c r="M364" s="39"/>
      <c r="N364" s="39"/>
      <c r="O364" s="39"/>
      <c r="P364" s="39"/>
      <c r="Q364" s="39"/>
      <c r="R364" s="40"/>
      <c r="S364" s="40"/>
      <c r="T364" s="41"/>
      <c r="U364" s="42"/>
      <c r="V364" s="42"/>
      <c r="W364" s="43"/>
      <c r="X364" s="44"/>
      <c r="Y364" s="4"/>
      <c r="Z364" s="45"/>
      <c r="AA364" s="45"/>
      <c r="AB364" s="4"/>
    </row>
    <row r="365" spans="1:28" ht="51" x14ac:dyDescent="0.25">
      <c r="A365" s="78" t="s">
        <v>1387</v>
      </c>
      <c r="B365" s="100"/>
      <c r="C365" s="100"/>
      <c r="D365" s="74"/>
      <c r="E365" s="74"/>
      <c r="F365" s="74" t="s">
        <v>867</v>
      </c>
      <c r="G365" s="74" t="s">
        <v>819</v>
      </c>
      <c r="H365" s="74" t="s">
        <v>818</v>
      </c>
      <c r="I365" s="39"/>
      <c r="J365" s="39"/>
      <c r="K365" s="39"/>
      <c r="L365" s="39"/>
      <c r="M365" s="39"/>
      <c r="N365" s="39"/>
      <c r="O365" s="39"/>
      <c r="P365" s="39"/>
      <c r="Q365" s="39"/>
      <c r="R365" s="40"/>
      <c r="S365" s="40"/>
      <c r="T365" s="41"/>
      <c r="U365" s="42"/>
      <c r="V365" s="42"/>
      <c r="W365" s="43"/>
      <c r="X365" s="44"/>
      <c r="Y365" s="4"/>
      <c r="Z365" s="45"/>
      <c r="AA365" s="45"/>
      <c r="AB365" s="4"/>
    </row>
    <row r="366" spans="1:28" ht="409.5" x14ac:dyDescent="0.25">
      <c r="A366" s="78" t="s">
        <v>1389</v>
      </c>
      <c r="B366" s="98" t="s">
        <v>1390</v>
      </c>
      <c r="C366" s="98" t="s">
        <v>1391</v>
      </c>
      <c r="D366" s="74" t="s">
        <v>1392</v>
      </c>
      <c r="E366" s="74"/>
      <c r="F366" s="74" t="s">
        <v>860</v>
      </c>
      <c r="G366" s="74" t="s">
        <v>1393</v>
      </c>
      <c r="H366" s="74" t="s">
        <v>1394</v>
      </c>
      <c r="I366" s="39"/>
      <c r="J366" s="39"/>
      <c r="K366" s="39"/>
      <c r="L366" s="39"/>
      <c r="M366" s="39"/>
      <c r="N366" s="39"/>
      <c r="O366" s="39"/>
      <c r="P366" s="39"/>
      <c r="Q366" s="39"/>
      <c r="R366" s="40"/>
      <c r="S366" s="40"/>
      <c r="T366" s="41"/>
      <c r="U366" s="42"/>
      <c r="V366" s="42"/>
      <c r="W366" s="43"/>
      <c r="X366" s="44"/>
      <c r="Y366" s="4"/>
      <c r="Z366" s="45"/>
      <c r="AA366" s="45"/>
      <c r="AB366" s="4"/>
    </row>
    <row r="367" spans="1:28" ht="51" x14ac:dyDescent="0.25">
      <c r="A367" s="78" t="s">
        <v>1389</v>
      </c>
      <c r="B367" s="100"/>
      <c r="C367" s="100"/>
      <c r="D367" s="74"/>
      <c r="E367" s="74"/>
      <c r="F367" s="74" t="s">
        <v>863</v>
      </c>
      <c r="G367" s="74" t="s">
        <v>1395</v>
      </c>
      <c r="H367" s="74" t="s">
        <v>1396</v>
      </c>
      <c r="I367" s="39"/>
      <c r="J367" s="39"/>
      <c r="K367" s="39"/>
      <c r="L367" s="39"/>
      <c r="M367" s="39"/>
      <c r="N367" s="39"/>
      <c r="O367" s="39"/>
      <c r="P367" s="39"/>
      <c r="Q367" s="39"/>
      <c r="R367" s="40"/>
      <c r="S367" s="40"/>
      <c r="T367" s="41"/>
      <c r="U367" s="42"/>
      <c r="V367" s="42"/>
      <c r="W367" s="43"/>
      <c r="X367" s="44"/>
      <c r="Y367" s="4"/>
      <c r="Z367" s="45"/>
      <c r="AA367" s="45"/>
      <c r="AB367" s="4"/>
    </row>
    <row r="368" spans="1:28" ht="153" x14ac:dyDescent="0.25">
      <c r="A368" s="78" t="s">
        <v>1397</v>
      </c>
      <c r="B368" s="101" t="s">
        <v>1398</v>
      </c>
      <c r="C368" s="98" t="s">
        <v>1399</v>
      </c>
      <c r="D368" s="101" t="s">
        <v>1400</v>
      </c>
      <c r="E368" s="75"/>
      <c r="F368" s="74" t="s">
        <v>860</v>
      </c>
      <c r="G368" s="74" t="s">
        <v>1401</v>
      </c>
      <c r="H368" s="74" t="s">
        <v>1402</v>
      </c>
      <c r="I368" s="39"/>
      <c r="J368" s="39"/>
      <c r="K368" s="39"/>
      <c r="L368" s="39"/>
      <c r="M368" s="39"/>
      <c r="N368" s="39"/>
      <c r="O368" s="39"/>
      <c r="P368" s="39"/>
      <c r="Q368" s="39"/>
      <c r="R368" s="40"/>
      <c r="S368" s="40"/>
      <c r="T368" s="41"/>
      <c r="U368" s="42"/>
      <c r="V368" s="42"/>
      <c r="W368" s="43"/>
      <c r="X368" s="44"/>
      <c r="Y368" s="4"/>
      <c r="Z368" s="45"/>
      <c r="AA368" s="45"/>
      <c r="AB368" s="4"/>
    </row>
    <row r="369" spans="1:28" ht="89.25" x14ac:dyDescent="0.25">
      <c r="A369" s="78" t="s">
        <v>1397</v>
      </c>
      <c r="B369" s="102"/>
      <c r="C369" s="99"/>
      <c r="D369" s="102"/>
      <c r="E369" s="76"/>
      <c r="F369" s="74" t="s">
        <v>863</v>
      </c>
      <c r="G369" s="74" t="s">
        <v>1403</v>
      </c>
      <c r="H369" s="74" t="s">
        <v>1404</v>
      </c>
      <c r="I369" s="39"/>
      <c r="J369" s="39"/>
      <c r="K369" s="39"/>
      <c r="L369" s="39"/>
      <c r="M369" s="39"/>
      <c r="N369" s="39"/>
      <c r="O369" s="39"/>
      <c r="P369" s="39"/>
      <c r="Q369" s="39"/>
      <c r="R369" s="40"/>
      <c r="S369" s="40"/>
      <c r="T369" s="41"/>
      <c r="U369" s="42"/>
      <c r="V369" s="42"/>
      <c r="W369" s="43"/>
      <c r="X369" s="44"/>
      <c r="Y369" s="4"/>
      <c r="Z369" s="45"/>
      <c r="AA369" s="45"/>
      <c r="AB369" s="4"/>
    </row>
    <row r="370" spans="1:28" ht="409.5" x14ac:dyDescent="0.25">
      <c r="A370" s="78" t="s">
        <v>1397</v>
      </c>
      <c r="B370" s="103"/>
      <c r="C370" s="100"/>
      <c r="D370" s="103"/>
      <c r="E370" s="77"/>
      <c r="F370" s="74" t="s">
        <v>865</v>
      </c>
      <c r="G370" s="74" t="s">
        <v>1405</v>
      </c>
      <c r="H370" s="74" t="s">
        <v>1406</v>
      </c>
      <c r="I370" s="39"/>
      <c r="J370" s="39"/>
      <c r="K370" s="39"/>
      <c r="L370" s="39"/>
      <c r="M370" s="39"/>
      <c r="N370" s="39"/>
      <c r="O370" s="39"/>
      <c r="P370" s="39"/>
      <c r="Q370" s="39"/>
      <c r="R370" s="40"/>
      <c r="S370" s="40"/>
      <c r="T370" s="41"/>
      <c r="U370" s="42"/>
      <c r="V370" s="42"/>
      <c r="W370" s="43"/>
      <c r="X370" s="44"/>
      <c r="Y370" s="4"/>
      <c r="Z370" s="45"/>
      <c r="AA370" s="45"/>
      <c r="AB370" s="4"/>
    </row>
    <row r="371" spans="1:28" ht="89.25" x14ac:dyDescent="0.25">
      <c r="A371" s="78" t="s">
        <v>1407</v>
      </c>
      <c r="B371" s="74" t="s">
        <v>1408</v>
      </c>
      <c r="C371" s="74" t="s">
        <v>1409</v>
      </c>
      <c r="D371" s="74" t="s">
        <v>1386</v>
      </c>
      <c r="E371" s="74"/>
      <c r="F371" s="74" t="s">
        <v>860</v>
      </c>
      <c r="G371" s="74" t="s">
        <v>422</v>
      </c>
      <c r="H371" s="74" t="s">
        <v>423</v>
      </c>
      <c r="I371" s="39"/>
      <c r="J371" s="39"/>
      <c r="K371" s="39"/>
      <c r="L371" s="39"/>
      <c r="M371" s="39"/>
      <c r="N371" s="39"/>
      <c r="O371" s="39"/>
      <c r="P371" s="39"/>
      <c r="Q371" s="39"/>
      <c r="R371" s="40"/>
      <c r="S371" s="40"/>
      <c r="T371" s="41">
        <v>1</v>
      </c>
      <c r="U371" s="42"/>
      <c r="V371" s="42"/>
      <c r="W371" s="43"/>
      <c r="X371" s="44"/>
      <c r="Y371" s="4"/>
      <c r="Z371" s="45"/>
      <c r="AA371" s="45"/>
      <c r="AB371" s="4"/>
    </row>
    <row r="372" spans="1:28" ht="89.25" x14ac:dyDescent="0.25">
      <c r="A372" s="78" t="s">
        <v>1410</v>
      </c>
      <c r="B372" s="74" t="s">
        <v>1411</v>
      </c>
      <c r="C372" s="74" t="s">
        <v>1409</v>
      </c>
      <c r="D372" s="74" t="s">
        <v>1386</v>
      </c>
      <c r="E372" s="74"/>
      <c r="F372" s="74" t="s">
        <v>860</v>
      </c>
      <c r="G372" s="74" t="s">
        <v>422</v>
      </c>
      <c r="H372" s="74" t="s">
        <v>423</v>
      </c>
      <c r="I372" s="39"/>
      <c r="J372" s="39"/>
      <c r="K372" s="39"/>
      <c r="L372" s="39"/>
      <c r="M372" s="39"/>
      <c r="N372" s="39"/>
      <c r="O372" s="39"/>
      <c r="P372" s="39"/>
      <c r="Q372" s="39"/>
      <c r="R372" s="40"/>
      <c r="S372" s="40"/>
      <c r="T372" s="41">
        <v>1</v>
      </c>
      <c r="U372" s="42"/>
      <c r="V372" s="42"/>
      <c r="W372" s="43"/>
      <c r="X372" s="44"/>
      <c r="Y372" s="4"/>
      <c r="Z372" s="45"/>
      <c r="AA372" s="45"/>
      <c r="AB372" s="4"/>
    </row>
    <row r="373" spans="1:28" ht="89.25" x14ac:dyDescent="0.25">
      <c r="A373" s="78" t="s">
        <v>1412</v>
      </c>
      <c r="B373" s="74" t="s">
        <v>1413</v>
      </c>
      <c r="C373" s="74" t="s">
        <v>1385</v>
      </c>
      <c r="D373" s="74" t="s">
        <v>1386</v>
      </c>
      <c r="E373" s="74"/>
      <c r="F373" s="74" t="s">
        <v>860</v>
      </c>
      <c r="G373" s="74" t="s">
        <v>422</v>
      </c>
      <c r="H373" s="74" t="s">
        <v>423</v>
      </c>
      <c r="I373" s="39"/>
      <c r="J373" s="39"/>
      <c r="K373" s="39"/>
      <c r="L373" s="39"/>
      <c r="M373" s="39"/>
      <c r="N373" s="39"/>
      <c r="O373" s="39"/>
      <c r="P373" s="39"/>
      <c r="Q373" s="39"/>
      <c r="R373" s="40"/>
      <c r="S373" s="40"/>
      <c r="T373" s="41">
        <v>1</v>
      </c>
      <c r="U373" s="42"/>
      <c r="V373" s="42"/>
      <c r="W373" s="43"/>
      <c r="X373" s="44"/>
      <c r="Y373" s="4"/>
      <c r="Z373" s="45"/>
      <c r="AA373" s="45"/>
      <c r="AB373" s="4"/>
    </row>
    <row r="374" spans="1:28" ht="76.5" x14ac:dyDescent="0.25">
      <c r="A374" s="78" t="s">
        <v>1414</v>
      </c>
      <c r="B374" s="101" t="s">
        <v>1415</v>
      </c>
      <c r="C374" s="101" t="s">
        <v>788</v>
      </c>
      <c r="D374" s="101" t="s">
        <v>1416</v>
      </c>
      <c r="E374" s="75"/>
      <c r="F374" s="74" t="s">
        <v>860</v>
      </c>
      <c r="G374" s="74" t="s">
        <v>795</v>
      </c>
      <c r="H374" s="74" t="s">
        <v>796</v>
      </c>
      <c r="I374" s="39"/>
      <c r="J374" s="39"/>
      <c r="K374" s="39"/>
      <c r="L374" s="39"/>
      <c r="M374" s="39"/>
      <c r="N374" s="39"/>
      <c r="O374" s="39"/>
      <c r="P374" s="39"/>
      <c r="Q374" s="39"/>
      <c r="R374" s="40"/>
      <c r="S374" s="40"/>
      <c r="T374" s="111"/>
      <c r="U374" s="42"/>
      <c r="V374" s="42"/>
      <c r="W374" s="43"/>
      <c r="X374" s="44"/>
      <c r="Y374" s="4"/>
      <c r="Z374" s="45"/>
      <c r="AA374" s="45"/>
      <c r="AB374" s="4"/>
    </row>
    <row r="375" spans="1:28" ht="51" x14ac:dyDescent="0.25">
      <c r="A375" s="78" t="s">
        <v>1414</v>
      </c>
      <c r="B375" s="102"/>
      <c r="C375" s="102"/>
      <c r="D375" s="102"/>
      <c r="E375" s="76"/>
      <c r="F375" s="74" t="s">
        <v>863</v>
      </c>
      <c r="G375" s="74" t="s">
        <v>1417</v>
      </c>
      <c r="H375" s="74" t="s">
        <v>793</v>
      </c>
      <c r="I375" s="39"/>
      <c r="J375" s="39"/>
      <c r="K375" s="39"/>
      <c r="L375" s="39"/>
      <c r="M375" s="39"/>
      <c r="N375" s="39"/>
      <c r="O375" s="39"/>
      <c r="P375" s="39"/>
      <c r="Q375" s="39"/>
      <c r="R375" s="40"/>
      <c r="S375" s="40"/>
      <c r="T375" s="111"/>
      <c r="U375" s="42"/>
      <c r="V375" s="42"/>
      <c r="W375" s="43"/>
      <c r="X375" s="44"/>
      <c r="Y375" s="4"/>
      <c r="Z375" s="45"/>
      <c r="AA375" s="45"/>
      <c r="AB375" s="4"/>
    </row>
    <row r="376" spans="1:28" ht="63.75" x14ac:dyDescent="0.25">
      <c r="A376" s="78" t="s">
        <v>1414</v>
      </c>
      <c r="B376" s="103"/>
      <c r="C376" s="103"/>
      <c r="D376" s="103"/>
      <c r="E376" s="77"/>
      <c r="F376" s="74" t="s">
        <v>865</v>
      </c>
      <c r="G376" s="74" t="s">
        <v>790</v>
      </c>
      <c r="H376" s="74" t="s">
        <v>791</v>
      </c>
      <c r="I376" s="39"/>
      <c r="J376" s="39"/>
      <c r="K376" s="39"/>
      <c r="L376" s="39"/>
      <c r="M376" s="39"/>
      <c r="N376" s="39"/>
      <c r="O376" s="39"/>
      <c r="P376" s="39"/>
      <c r="Q376" s="39"/>
      <c r="R376" s="40"/>
      <c r="S376" s="40"/>
      <c r="T376" s="111"/>
      <c r="U376" s="42"/>
      <c r="V376" s="42"/>
      <c r="W376" s="43"/>
      <c r="X376" s="44"/>
      <c r="Y376" s="4"/>
      <c r="Z376" s="45"/>
      <c r="AA376" s="45"/>
      <c r="AB376" s="4"/>
    </row>
    <row r="377" spans="1:28" ht="76.5" x14ac:dyDescent="0.25">
      <c r="A377" s="78" t="s">
        <v>1418</v>
      </c>
      <c r="B377" s="98" t="s">
        <v>1419</v>
      </c>
      <c r="C377" s="74" t="s">
        <v>1420</v>
      </c>
      <c r="D377" s="101" t="s">
        <v>1421</v>
      </c>
      <c r="E377" s="75"/>
      <c r="F377" s="74" t="s">
        <v>860</v>
      </c>
      <c r="G377" s="74" t="s">
        <v>795</v>
      </c>
      <c r="H377" s="74" t="s">
        <v>796</v>
      </c>
      <c r="I377" s="39"/>
      <c r="J377" s="39"/>
      <c r="K377" s="39"/>
      <c r="L377" s="39"/>
      <c r="M377" s="39"/>
      <c r="N377" s="39"/>
      <c r="O377" s="39"/>
      <c r="P377" s="39"/>
      <c r="Q377" s="39"/>
      <c r="R377" s="40"/>
      <c r="S377" s="40"/>
      <c r="T377" s="111">
        <v>0.33</v>
      </c>
      <c r="U377" s="42" t="s">
        <v>1422</v>
      </c>
      <c r="V377" s="42"/>
      <c r="W377" s="43"/>
      <c r="X377" s="44"/>
      <c r="Y377" s="4"/>
      <c r="Z377" s="45"/>
      <c r="AA377" s="45"/>
      <c r="AB377" s="4"/>
    </row>
    <row r="378" spans="1:28" ht="63.75" x14ac:dyDescent="0.25">
      <c r="A378" s="78" t="s">
        <v>1418</v>
      </c>
      <c r="B378" s="99"/>
      <c r="C378" s="74" t="s">
        <v>1420</v>
      </c>
      <c r="D378" s="102"/>
      <c r="E378" s="76"/>
      <c r="F378" s="74" t="s">
        <v>863</v>
      </c>
      <c r="G378" s="74" t="s">
        <v>790</v>
      </c>
      <c r="H378" s="74" t="s">
        <v>791</v>
      </c>
      <c r="I378" s="39"/>
      <c r="J378" s="39"/>
      <c r="K378" s="39"/>
      <c r="L378" s="39"/>
      <c r="M378" s="39"/>
      <c r="N378" s="39"/>
      <c r="O378" s="39"/>
      <c r="P378" s="39"/>
      <c r="Q378" s="39"/>
      <c r="R378" s="40"/>
      <c r="S378" s="40"/>
      <c r="T378" s="111"/>
      <c r="U378" s="42"/>
      <c r="V378" s="42"/>
      <c r="W378" s="43"/>
      <c r="X378" s="44"/>
      <c r="Y378" s="4"/>
      <c r="Z378" s="45"/>
      <c r="AA378" s="45"/>
      <c r="AB378" s="4"/>
    </row>
    <row r="379" spans="1:28" ht="51" x14ac:dyDescent="0.25">
      <c r="A379" s="78" t="s">
        <v>1418</v>
      </c>
      <c r="B379" s="100"/>
      <c r="C379" s="74" t="s">
        <v>1420</v>
      </c>
      <c r="D379" s="103"/>
      <c r="E379" s="77"/>
      <c r="F379" s="74" t="s">
        <v>865</v>
      </c>
      <c r="G379" s="74" t="s">
        <v>1423</v>
      </c>
      <c r="H379" s="74" t="s">
        <v>793</v>
      </c>
      <c r="I379" s="39"/>
      <c r="J379" s="39"/>
      <c r="K379" s="39"/>
      <c r="L379" s="39"/>
      <c r="M379" s="39"/>
      <c r="N379" s="39"/>
      <c r="O379" s="39"/>
      <c r="P379" s="39"/>
      <c r="Q379" s="39"/>
      <c r="R379" s="40"/>
      <c r="S379" s="40"/>
      <c r="T379" s="111"/>
      <c r="U379" s="42"/>
      <c r="V379" s="42"/>
      <c r="W379" s="43"/>
      <c r="X379" s="44"/>
      <c r="Y379" s="4"/>
      <c r="Z379" s="45"/>
      <c r="AA379" s="45"/>
      <c r="AB379" s="4"/>
    </row>
    <row r="380" spans="1:28" ht="75" x14ac:dyDescent="0.25">
      <c r="A380" s="78" t="s">
        <v>1424</v>
      </c>
      <c r="B380" s="98" t="s">
        <v>1425</v>
      </c>
      <c r="C380" s="74" t="s">
        <v>1420</v>
      </c>
      <c r="D380" s="101" t="s">
        <v>1426</v>
      </c>
      <c r="E380" s="75"/>
      <c r="F380" s="74" t="s">
        <v>860</v>
      </c>
      <c r="G380" s="74" t="s">
        <v>790</v>
      </c>
      <c r="H380" s="74" t="s">
        <v>791</v>
      </c>
      <c r="I380" s="39"/>
      <c r="J380" s="39"/>
      <c r="K380" s="39"/>
      <c r="L380" s="39"/>
      <c r="M380" s="39"/>
      <c r="N380" s="39"/>
      <c r="O380" s="39"/>
      <c r="P380" s="39"/>
      <c r="Q380" s="39"/>
      <c r="R380" s="40"/>
      <c r="S380" s="40"/>
      <c r="T380" s="111">
        <v>0.33</v>
      </c>
      <c r="U380" s="42" t="s">
        <v>1427</v>
      </c>
      <c r="V380" s="42"/>
      <c r="W380" s="43"/>
      <c r="X380" s="44"/>
      <c r="Y380" s="4"/>
      <c r="Z380" s="45"/>
      <c r="AA380" s="45"/>
      <c r="AB380" s="4"/>
    </row>
    <row r="381" spans="1:28" ht="51" x14ac:dyDescent="0.25">
      <c r="A381" s="78" t="s">
        <v>1424</v>
      </c>
      <c r="B381" s="99"/>
      <c r="C381" s="74" t="s">
        <v>1420</v>
      </c>
      <c r="D381" s="102"/>
      <c r="E381" s="76"/>
      <c r="F381" s="74" t="s">
        <v>863</v>
      </c>
      <c r="G381" s="74" t="s">
        <v>1428</v>
      </c>
      <c r="H381" s="74" t="s">
        <v>793</v>
      </c>
      <c r="I381" s="39"/>
      <c r="J381" s="39"/>
      <c r="K381" s="39"/>
      <c r="L381" s="39"/>
      <c r="M381" s="39"/>
      <c r="N381" s="39"/>
      <c r="O381" s="39"/>
      <c r="P381" s="39"/>
      <c r="Q381" s="39"/>
      <c r="R381" s="40"/>
      <c r="S381" s="40"/>
      <c r="T381" s="111"/>
      <c r="U381" s="42"/>
      <c r="V381" s="42"/>
      <c r="W381" s="43"/>
      <c r="X381" s="44"/>
      <c r="Y381" s="4"/>
      <c r="Z381" s="45"/>
      <c r="AA381" s="45"/>
      <c r="AB381" s="4"/>
    </row>
    <row r="382" spans="1:28" ht="76.5" x14ac:dyDescent="0.25">
      <c r="A382" s="78" t="s">
        <v>1424</v>
      </c>
      <c r="B382" s="100"/>
      <c r="C382" s="74" t="s">
        <v>1420</v>
      </c>
      <c r="D382" s="103"/>
      <c r="E382" s="77"/>
      <c r="F382" s="74" t="s">
        <v>865</v>
      </c>
      <c r="G382" s="74" t="s">
        <v>795</v>
      </c>
      <c r="H382" s="74" t="s">
        <v>796</v>
      </c>
      <c r="I382" s="39"/>
      <c r="J382" s="39"/>
      <c r="K382" s="39"/>
      <c r="L382" s="39"/>
      <c r="M382" s="39"/>
      <c r="N382" s="39"/>
      <c r="O382" s="39"/>
      <c r="P382" s="39"/>
      <c r="Q382" s="39"/>
      <c r="R382" s="40"/>
      <c r="S382" s="40"/>
      <c r="T382" s="111"/>
      <c r="U382" s="42"/>
      <c r="V382" s="42"/>
      <c r="W382" s="43"/>
      <c r="X382" s="44"/>
      <c r="Y382" s="4"/>
      <c r="Z382" s="45"/>
      <c r="AA382" s="45"/>
      <c r="AB382" s="4"/>
    </row>
    <row r="383" spans="1:28" ht="75" x14ac:dyDescent="0.25">
      <c r="A383" s="78" t="s">
        <v>1429</v>
      </c>
      <c r="B383" s="98" t="s">
        <v>1430</v>
      </c>
      <c r="C383" s="74" t="s">
        <v>1420</v>
      </c>
      <c r="D383" s="101" t="s">
        <v>1431</v>
      </c>
      <c r="E383" s="75"/>
      <c r="F383" s="74" t="s">
        <v>860</v>
      </c>
      <c r="G383" s="74" t="s">
        <v>1432</v>
      </c>
      <c r="H383" s="74" t="s">
        <v>793</v>
      </c>
      <c r="I383" s="39"/>
      <c r="J383" s="39"/>
      <c r="K383" s="39"/>
      <c r="L383" s="39"/>
      <c r="M383" s="39"/>
      <c r="N383" s="39"/>
      <c r="O383" s="39"/>
      <c r="P383" s="39"/>
      <c r="Q383" s="39"/>
      <c r="R383" s="40"/>
      <c r="S383" s="40"/>
      <c r="T383" s="111">
        <v>0.33</v>
      </c>
      <c r="U383" s="42" t="s">
        <v>1433</v>
      </c>
      <c r="V383" s="42"/>
      <c r="W383" s="43"/>
      <c r="X383" s="44"/>
      <c r="Y383" s="4"/>
      <c r="Z383" s="45"/>
      <c r="AA383" s="45"/>
      <c r="AB383" s="4"/>
    </row>
    <row r="384" spans="1:28" ht="76.5" x14ac:dyDescent="0.25">
      <c r="A384" s="78" t="s">
        <v>1429</v>
      </c>
      <c r="B384" s="99"/>
      <c r="C384" s="74" t="s">
        <v>1420</v>
      </c>
      <c r="D384" s="102"/>
      <c r="E384" s="76"/>
      <c r="F384" s="74" t="s">
        <v>863</v>
      </c>
      <c r="G384" s="74" t="s">
        <v>795</v>
      </c>
      <c r="H384" s="74" t="s">
        <v>796</v>
      </c>
      <c r="I384" s="39"/>
      <c r="J384" s="39"/>
      <c r="K384" s="39"/>
      <c r="L384" s="39"/>
      <c r="M384" s="39"/>
      <c r="N384" s="39"/>
      <c r="O384" s="39"/>
      <c r="P384" s="39"/>
      <c r="Q384" s="39"/>
      <c r="R384" s="40"/>
      <c r="S384" s="40"/>
      <c r="T384" s="111"/>
      <c r="U384" s="42"/>
      <c r="V384" s="42"/>
      <c r="W384" s="43"/>
      <c r="X384" s="44"/>
      <c r="Y384" s="4"/>
      <c r="Z384" s="45"/>
      <c r="AA384" s="45"/>
      <c r="AB384" s="4"/>
    </row>
    <row r="385" spans="1:28" ht="63.75" x14ac:dyDescent="0.25">
      <c r="A385" s="78" t="s">
        <v>1429</v>
      </c>
      <c r="B385" s="100"/>
      <c r="C385" s="74" t="s">
        <v>1420</v>
      </c>
      <c r="D385" s="103"/>
      <c r="E385" s="77"/>
      <c r="F385" s="74" t="s">
        <v>865</v>
      </c>
      <c r="G385" s="74" t="s">
        <v>790</v>
      </c>
      <c r="H385" s="74" t="s">
        <v>791</v>
      </c>
      <c r="I385" s="39"/>
      <c r="J385" s="39"/>
      <c r="K385" s="39"/>
      <c r="L385" s="39"/>
      <c r="M385" s="39"/>
      <c r="N385" s="39"/>
      <c r="O385" s="39"/>
      <c r="P385" s="39"/>
      <c r="Q385" s="39"/>
      <c r="R385" s="40"/>
      <c r="S385" s="40"/>
      <c r="T385" s="111"/>
      <c r="U385" s="42"/>
      <c r="V385" s="42"/>
      <c r="W385" s="43"/>
      <c r="X385" s="44"/>
      <c r="Y385" s="4"/>
      <c r="Z385" s="45"/>
      <c r="AA385" s="45"/>
      <c r="AB385" s="4"/>
    </row>
    <row r="386" spans="1:28" ht="89.25" x14ac:dyDescent="0.25">
      <c r="A386" s="78" t="s">
        <v>1434</v>
      </c>
      <c r="B386" s="98" t="s">
        <v>1435</v>
      </c>
      <c r="C386" s="74" t="s">
        <v>788</v>
      </c>
      <c r="D386" s="101" t="s">
        <v>1436</v>
      </c>
      <c r="E386" s="75"/>
      <c r="F386" s="74" t="s">
        <v>860</v>
      </c>
      <c r="G386" s="74" t="s">
        <v>790</v>
      </c>
      <c r="H386" s="74" t="s">
        <v>791</v>
      </c>
      <c r="I386" s="39"/>
      <c r="J386" s="39"/>
      <c r="K386" s="39"/>
      <c r="L386" s="39"/>
      <c r="M386" s="39"/>
      <c r="N386" s="39"/>
      <c r="O386" s="39"/>
      <c r="P386" s="39"/>
      <c r="Q386" s="39"/>
      <c r="R386" s="40"/>
      <c r="S386" s="40"/>
      <c r="T386" s="111"/>
      <c r="U386" s="42"/>
      <c r="V386" s="42"/>
      <c r="W386" s="43"/>
      <c r="X386" s="44"/>
      <c r="Y386" s="4"/>
      <c r="Z386" s="45"/>
      <c r="AA386" s="45"/>
      <c r="AB386" s="4"/>
    </row>
    <row r="387" spans="1:28" ht="89.25" x14ac:dyDescent="0.25">
      <c r="A387" s="78" t="s">
        <v>1434</v>
      </c>
      <c r="B387" s="99"/>
      <c r="C387" s="74" t="s">
        <v>788</v>
      </c>
      <c r="D387" s="102"/>
      <c r="E387" s="76"/>
      <c r="F387" s="74" t="s">
        <v>863</v>
      </c>
      <c r="G387" s="74" t="s">
        <v>795</v>
      </c>
      <c r="H387" s="74" t="s">
        <v>796</v>
      </c>
      <c r="I387" s="39"/>
      <c r="J387" s="39"/>
      <c r="K387" s="39"/>
      <c r="L387" s="39"/>
      <c r="M387" s="39"/>
      <c r="N387" s="39"/>
      <c r="O387" s="39"/>
      <c r="P387" s="39"/>
      <c r="Q387" s="39"/>
      <c r="R387" s="40"/>
      <c r="S387" s="40"/>
      <c r="T387" s="111"/>
      <c r="U387" s="42"/>
      <c r="V387" s="42"/>
      <c r="W387" s="43"/>
      <c r="X387" s="44"/>
      <c r="Y387" s="4"/>
      <c r="Z387" s="45"/>
      <c r="AA387" s="45"/>
      <c r="AB387" s="4"/>
    </row>
    <row r="388" spans="1:28" ht="89.25" x14ac:dyDescent="0.25">
      <c r="A388" s="78" t="s">
        <v>1434</v>
      </c>
      <c r="B388" s="100"/>
      <c r="C388" s="74" t="s">
        <v>788</v>
      </c>
      <c r="D388" s="103"/>
      <c r="E388" s="77"/>
      <c r="F388" s="74" t="s">
        <v>865</v>
      </c>
      <c r="G388" s="74" t="s">
        <v>1437</v>
      </c>
      <c r="H388" s="74" t="s">
        <v>793</v>
      </c>
      <c r="I388" s="39"/>
      <c r="J388" s="39"/>
      <c r="K388" s="39"/>
      <c r="L388" s="39"/>
      <c r="M388" s="39"/>
      <c r="N388" s="39"/>
      <c r="O388" s="39"/>
      <c r="P388" s="39"/>
      <c r="Q388" s="39"/>
      <c r="R388" s="40"/>
      <c r="S388" s="40"/>
      <c r="T388" s="111"/>
      <c r="U388" s="42"/>
      <c r="V388" s="42"/>
      <c r="W388" s="43"/>
      <c r="X388" s="44"/>
      <c r="Y388" s="4"/>
      <c r="Z388" s="45"/>
      <c r="AA388" s="45"/>
      <c r="AB388" s="4"/>
    </row>
    <row r="389" spans="1:28" ht="89.25" x14ac:dyDescent="0.25">
      <c r="A389" s="78" t="s">
        <v>1438</v>
      </c>
      <c r="B389" s="98" t="s">
        <v>1439</v>
      </c>
      <c r="C389" s="74" t="s">
        <v>788</v>
      </c>
      <c r="D389" s="101" t="s">
        <v>1440</v>
      </c>
      <c r="E389" s="75"/>
      <c r="F389" s="74" t="s">
        <v>860</v>
      </c>
      <c r="G389" s="74" t="s">
        <v>795</v>
      </c>
      <c r="H389" s="74" t="s">
        <v>796</v>
      </c>
      <c r="I389" s="39"/>
      <c r="J389" s="39"/>
      <c r="K389" s="39"/>
      <c r="L389" s="39"/>
      <c r="M389" s="39"/>
      <c r="N389" s="39"/>
      <c r="O389" s="39"/>
      <c r="P389" s="39"/>
      <c r="Q389" s="39"/>
      <c r="R389" s="40"/>
      <c r="S389" s="40"/>
      <c r="T389" s="111"/>
      <c r="U389" s="42"/>
      <c r="V389" s="42"/>
      <c r="W389" s="43"/>
      <c r="X389" s="44"/>
      <c r="Y389" s="4"/>
      <c r="Z389" s="45"/>
      <c r="AA389" s="45"/>
      <c r="AB389" s="4"/>
    </row>
    <row r="390" spans="1:28" ht="89.25" x14ac:dyDescent="0.25">
      <c r="A390" s="78" t="s">
        <v>1438</v>
      </c>
      <c r="B390" s="99"/>
      <c r="C390" s="74" t="s">
        <v>788</v>
      </c>
      <c r="D390" s="102"/>
      <c r="E390" s="76"/>
      <c r="F390" s="74" t="s">
        <v>863</v>
      </c>
      <c r="G390" s="74" t="s">
        <v>1441</v>
      </c>
      <c r="H390" s="74" t="s">
        <v>793</v>
      </c>
      <c r="I390" s="39"/>
      <c r="J390" s="39"/>
      <c r="K390" s="39"/>
      <c r="L390" s="39"/>
      <c r="M390" s="39"/>
      <c r="N390" s="39"/>
      <c r="O390" s="39"/>
      <c r="P390" s="39"/>
      <c r="Q390" s="39"/>
      <c r="R390" s="40"/>
      <c r="S390" s="40"/>
      <c r="T390" s="111"/>
      <c r="U390" s="42"/>
      <c r="V390" s="42"/>
      <c r="W390" s="43"/>
      <c r="X390" s="44"/>
      <c r="Y390" s="4"/>
      <c r="Z390" s="45"/>
      <c r="AA390" s="45"/>
      <c r="AB390" s="4"/>
    </row>
    <row r="391" spans="1:28" ht="89.25" x14ac:dyDescent="0.25">
      <c r="A391" s="78" t="s">
        <v>1438</v>
      </c>
      <c r="B391" s="100"/>
      <c r="C391" s="74" t="s">
        <v>788</v>
      </c>
      <c r="D391" s="103"/>
      <c r="E391" s="77"/>
      <c r="F391" s="74" t="s">
        <v>865</v>
      </c>
      <c r="G391" s="74" t="s">
        <v>790</v>
      </c>
      <c r="H391" s="74" t="s">
        <v>791</v>
      </c>
      <c r="I391" s="39"/>
      <c r="J391" s="39"/>
      <c r="K391" s="39"/>
      <c r="L391" s="39"/>
      <c r="M391" s="39"/>
      <c r="N391" s="39"/>
      <c r="O391" s="39"/>
      <c r="P391" s="39"/>
      <c r="Q391" s="39"/>
      <c r="R391" s="40"/>
      <c r="S391" s="40"/>
      <c r="T391" s="111"/>
      <c r="U391" s="42"/>
      <c r="V391" s="42"/>
      <c r="W391" s="43"/>
      <c r="X391" s="44"/>
      <c r="Y391" s="4"/>
      <c r="Z391" s="45"/>
      <c r="AA391" s="45"/>
      <c r="AB391" s="4"/>
    </row>
    <row r="392" spans="1:28" ht="89.25" x14ac:dyDescent="0.25">
      <c r="A392" s="78" t="s">
        <v>1442</v>
      </c>
      <c r="B392" s="98" t="s">
        <v>1443</v>
      </c>
      <c r="C392" s="74" t="s">
        <v>1444</v>
      </c>
      <c r="D392" s="101" t="s">
        <v>1445</v>
      </c>
      <c r="E392" s="75"/>
      <c r="F392" s="74" t="s">
        <v>860</v>
      </c>
      <c r="G392" s="74" t="s">
        <v>1446</v>
      </c>
      <c r="H392" s="74" t="s">
        <v>793</v>
      </c>
      <c r="I392" s="39"/>
      <c r="J392" s="39"/>
      <c r="K392" s="39"/>
      <c r="L392" s="39"/>
      <c r="M392" s="39"/>
      <c r="N392" s="39"/>
      <c r="O392" s="39"/>
      <c r="P392" s="39"/>
      <c r="Q392" s="39"/>
      <c r="R392" s="40"/>
      <c r="S392" s="40"/>
      <c r="T392" s="41"/>
      <c r="U392" s="42"/>
      <c r="V392" s="42"/>
      <c r="W392" s="43"/>
      <c r="X392" s="44"/>
      <c r="Y392" s="4"/>
      <c r="Z392" s="45"/>
      <c r="AA392" s="45"/>
      <c r="AB392" s="4"/>
    </row>
    <row r="393" spans="1:28" ht="89.25" x14ac:dyDescent="0.25">
      <c r="A393" s="78" t="s">
        <v>1442</v>
      </c>
      <c r="B393" s="99"/>
      <c r="C393" s="74" t="s">
        <v>1444</v>
      </c>
      <c r="D393" s="102"/>
      <c r="E393" s="76"/>
      <c r="F393" s="74" t="s">
        <v>863</v>
      </c>
      <c r="G393" s="74" t="s">
        <v>795</v>
      </c>
      <c r="H393" s="74" t="s">
        <v>796</v>
      </c>
      <c r="I393" s="39"/>
      <c r="J393" s="39"/>
      <c r="K393" s="39"/>
      <c r="L393" s="39"/>
      <c r="M393" s="39"/>
      <c r="N393" s="39"/>
      <c r="O393" s="39"/>
      <c r="P393" s="39"/>
      <c r="Q393" s="39"/>
      <c r="R393" s="40"/>
      <c r="S393" s="40"/>
      <c r="T393" s="41"/>
      <c r="U393" s="42"/>
      <c r="V393" s="42"/>
      <c r="W393" s="43"/>
      <c r="X393" s="44"/>
      <c r="Y393" s="4"/>
      <c r="Z393" s="45"/>
      <c r="AA393" s="45"/>
      <c r="AB393" s="4"/>
    </row>
    <row r="394" spans="1:28" ht="89.25" x14ac:dyDescent="0.25">
      <c r="A394" s="78" t="s">
        <v>1442</v>
      </c>
      <c r="B394" s="100"/>
      <c r="C394" s="74" t="s">
        <v>1444</v>
      </c>
      <c r="D394" s="103"/>
      <c r="E394" s="77"/>
      <c r="F394" s="74" t="s">
        <v>865</v>
      </c>
      <c r="G394" s="74" t="s">
        <v>790</v>
      </c>
      <c r="H394" s="74" t="s">
        <v>791</v>
      </c>
      <c r="I394" s="39"/>
      <c r="J394" s="39"/>
      <c r="K394" s="39"/>
      <c r="L394" s="39"/>
      <c r="M394" s="39"/>
      <c r="N394" s="39"/>
      <c r="O394" s="39"/>
      <c r="P394" s="39"/>
      <c r="Q394" s="39"/>
      <c r="R394" s="40"/>
      <c r="S394" s="40"/>
      <c r="T394" s="41"/>
      <c r="U394" s="42"/>
      <c r="V394" s="42"/>
      <c r="W394" s="43"/>
      <c r="X394" s="44"/>
      <c r="Y394" s="4"/>
      <c r="Z394" s="45"/>
      <c r="AA394" s="45"/>
      <c r="AB394" s="4"/>
    </row>
    <row r="395" spans="1:28" ht="89.25" x14ac:dyDescent="0.25">
      <c r="A395" s="78" t="s">
        <v>1447</v>
      </c>
      <c r="B395" s="74" t="s">
        <v>1448</v>
      </c>
      <c r="C395" s="74" t="s">
        <v>1449</v>
      </c>
      <c r="D395" s="74" t="s">
        <v>1450</v>
      </c>
      <c r="E395" s="74"/>
      <c r="F395" s="74" t="s">
        <v>860</v>
      </c>
      <c r="G395" s="74" t="s">
        <v>422</v>
      </c>
      <c r="H395" s="74" t="s">
        <v>423</v>
      </c>
      <c r="I395" s="39"/>
      <c r="J395" s="39"/>
      <c r="K395" s="39"/>
      <c r="L395" s="39"/>
      <c r="M395" s="39"/>
      <c r="N395" s="39"/>
      <c r="O395" s="39"/>
      <c r="P395" s="39"/>
      <c r="Q395" s="39"/>
      <c r="R395" s="40"/>
      <c r="S395" s="40"/>
      <c r="T395" s="41"/>
      <c r="U395" s="42"/>
      <c r="V395" s="42"/>
      <c r="W395" s="43"/>
      <c r="X395" s="44"/>
      <c r="Y395" s="4"/>
      <c r="Z395" s="45"/>
      <c r="AA395" s="45"/>
      <c r="AB395" s="4"/>
    </row>
    <row r="396" spans="1:28" ht="165.75" x14ac:dyDescent="0.25">
      <c r="A396" s="78" t="s">
        <v>1451</v>
      </c>
      <c r="B396" s="74" t="s">
        <v>1452</v>
      </c>
      <c r="C396" s="74" t="s">
        <v>1453</v>
      </c>
      <c r="D396" s="74" t="s">
        <v>1454</v>
      </c>
      <c r="E396" s="74"/>
      <c r="F396" s="74" t="s">
        <v>860</v>
      </c>
      <c r="G396" s="74" t="s">
        <v>1455</v>
      </c>
      <c r="H396" s="74" t="s">
        <v>1456</v>
      </c>
      <c r="I396" s="39"/>
      <c r="J396" s="39"/>
      <c r="K396" s="39"/>
      <c r="L396" s="39"/>
      <c r="M396" s="39"/>
      <c r="N396" s="39"/>
      <c r="O396" s="39"/>
      <c r="P396" s="39"/>
      <c r="Q396" s="39"/>
      <c r="R396" s="40"/>
      <c r="S396" s="40"/>
      <c r="T396" s="41"/>
      <c r="U396" s="42"/>
      <c r="V396" s="42"/>
      <c r="W396" s="43"/>
      <c r="X396" s="44"/>
      <c r="Y396" s="4"/>
      <c r="Z396" s="45"/>
      <c r="AA396" s="45"/>
      <c r="AB396" s="4"/>
    </row>
    <row r="397" spans="1:28" ht="409.5" x14ac:dyDescent="0.25">
      <c r="A397" s="78" t="s">
        <v>1457</v>
      </c>
      <c r="B397" s="98" t="s">
        <v>1458</v>
      </c>
      <c r="C397" s="101" t="s">
        <v>1459</v>
      </c>
      <c r="D397" s="101" t="s">
        <v>1460</v>
      </c>
      <c r="E397" s="75"/>
      <c r="F397" s="74" t="s">
        <v>860</v>
      </c>
      <c r="G397" s="74" t="s">
        <v>1461</v>
      </c>
      <c r="H397" s="74" t="s">
        <v>1462</v>
      </c>
      <c r="I397" s="39"/>
      <c r="J397" s="39"/>
      <c r="K397" s="39"/>
      <c r="L397" s="39"/>
      <c r="M397" s="39"/>
      <c r="N397" s="39"/>
      <c r="O397" s="39"/>
      <c r="P397" s="39"/>
      <c r="Q397" s="39"/>
      <c r="R397" s="40"/>
      <c r="S397" s="40"/>
      <c r="T397" s="111"/>
      <c r="U397" s="42"/>
      <c r="V397" s="42"/>
      <c r="W397" s="43"/>
      <c r="X397" s="44"/>
      <c r="Y397" s="4"/>
      <c r="Z397" s="45"/>
      <c r="AA397" s="45"/>
      <c r="AB397" s="4"/>
    </row>
    <row r="398" spans="1:28" ht="25.5" x14ac:dyDescent="0.25">
      <c r="A398" s="78" t="s">
        <v>1457</v>
      </c>
      <c r="B398" s="100"/>
      <c r="C398" s="103"/>
      <c r="D398" s="103"/>
      <c r="E398" s="77"/>
      <c r="F398" s="74" t="s">
        <v>863</v>
      </c>
      <c r="G398" s="74" t="s">
        <v>1463</v>
      </c>
      <c r="H398" s="74" t="s">
        <v>1464</v>
      </c>
      <c r="I398" s="39"/>
      <c r="J398" s="39"/>
      <c r="K398" s="39"/>
      <c r="L398" s="39"/>
      <c r="M398" s="39"/>
      <c r="N398" s="39"/>
      <c r="O398" s="39"/>
      <c r="P398" s="39"/>
      <c r="Q398" s="39"/>
      <c r="R398" s="40"/>
      <c r="S398" s="40"/>
      <c r="T398" s="111"/>
      <c r="U398" s="42"/>
      <c r="V398" s="42"/>
      <c r="W398" s="43"/>
      <c r="X398" s="44"/>
      <c r="Y398" s="4"/>
      <c r="Z398" s="45"/>
      <c r="AA398" s="45"/>
      <c r="AB398" s="4"/>
    </row>
    <row r="399" spans="1:28" ht="51" x14ac:dyDescent="0.25">
      <c r="A399" s="78" t="s">
        <v>1465</v>
      </c>
      <c r="B399" s="98" t="s">
        <v>1466</v>
      </c>
      <c r="C399" s="101" t="s">
        <v>815</v>
      </c>
      <c r="D399" s="101" t="s">
        <v>816</v>
      </c>
      <c r="E399" s="75"/>
      <c r="F399" s="74" t="s">
        <v>860</v>
      </c>
      <c r="G399" s="74" t="s">
        <v>823</v>
      </c>
      <c r="H399" s="74" t="s">
        <v>818</v>
      </c>
      <c r="I399" s="39"/>
      <c r="J399" s="39"/>
      <c r="K399" s="39"/>
      <c r="L399" s="39"/>
      <c r="M399" s="39"/>
      <c r="N399" s="39"/>
      <c r="O399" s="39"/>
      <c r="P399" s="39"/>
      <c r="Q399" s="39"/>
      <c r="R399" s="40"/>
      <c r="S399" s="40"/>
      <c r="T399" s="111"/>
      <c r="U399" s="42"/>
      <c r="V399" s="42"/>
      <c r="W399" s="43"/>
      <c r="X399" s="44"/>
      <c r="Y399" s="4"/>
      <c r="Z399" s="45"/>
      <c r="AA399" s="45"/>
      <c r="AB399" s="4"/>
    </row>
    <row r="400" spans="1:28" ht="51" x14ac:dyDescent="0.25">
      <c r="A400" s="78" t="s">
        <v>1465</v>
      </c>
      <c r="B400" s="99"/>
      <c r="C400" s="102"/>
      <c r="D400" s="102"/>
      <c r="E400" s="76"/>
      <c r="F400" s="74" t="s">
        <v>863</v>
      </c>
      <c r="G400" s="74" t="s">
        <v>819</v>
      </c>
      <c r="H400" s="74" t="s">
        <v>818</v>
      </c>
      <c r="I400" s="39"/>
      <c r="J400" s="39"/>
      <c r="K400" s="39"/>
      <c r="L400" s="39"/>
      <c r="M400" s="39"/>
      <c r="N400" s="39"/>
      <c r="O400" s="39"/>
      <c r="P400" s="39"/>
      <c r="Q400" s="39"/>
      <c r="R400" s="40"/>
      <c r="S400" s="40"/>
      <c r="T400" s="111"/>
      <c r="U400" s="42"/>
      <c r="V400" s="42"/>
      <c r="W400" s="43"/>
      <c r="X400" s="44"/>
      <c r="Y400" s="4"/>
      <c r="Z400" s="45"/>
      <c r="AA400" s="45"/>
      <c r="AB400" s="4"/>
    </row>
    <row r="401" spans="1:28" ht="51" x14ac:dyDescent="0.25">
      <c r="A401" s="78" t="s">
        <v>1465</v>
      </c>
      <c r="B401" s="99"/>
      <c r="C401" s="102"/>
      <c r="D401" s="102"/>
      <c r="E401" s="76"/>
      <c r="F401" s="74" t="s">
        <v>865</v>
      </c>
      <c r="G401" s="74" t="s">
        <v>821</v>
      </c>
      <c r="H401" s="74" t="s">
        <v>818</v>
      </c>
      <c r="I401" s="39"/>
      <c r="J401" s="39"/>
      <c r="K401" s="39"/>
      <c r="L401" s="39"/>
      <c r="M401" s="39"/>
      <c r="N401" s="39"/>
      <c r="O401" s="39"/>
      <c r="P401" s="39"/>
      <c r="Q401" s="39"/>
      <c r="R401" s="40"/>
      <c r="S401" s="40"/>
      <c r="T401" s="111"/>
      <c r="U401" s="42"/>
      <c r="V401" s="42"/>
      <c r="W401" s="43"/>
      <c r="X401" s="44"/>
      <c r="Y401" s="4"/>
      <c r="Z401" s="45"/>
      <c r="AA401" s="45"/>
      <c r="AB401" s="4"/>
    </row>
    <row r="402" spans="1:28" ht="51" x14ac:dyDescent="0.25">
      <c r="A402" s="78" t="s">
        <v>1465</v>
      </c>
      <c r="B402" s="100"/>
      <c r="C402" s="103"/>
      <c r="D402" s="103"/>
      <c r="E402" s="77"/>
      <c r="F402" s="74" t="s">
        <v>867</v>
      </c>
      <c r="G402" s="74" t="s">
        <v>817</v>
      </c>
      <c r="H402" s="74" t="s">
        <v>818</v>
      </c>
      <c r="I402" s="39"/>
      <c r="J402" s="39"/>
      <c r="K402" s="39"/>
      <c r="L402" s="39"/>
      <c r="M402" s="39"/>
      <c r="N402" s="39"/>
      <c r="O402" s="39"/>
      <c r="P402" s="39"/>
      <c r="Q402" s="39"/>
      <c r="R402" s="40"/>
      <c r="S402" s="40"/>
      <c r="T402" s="111"/>
      <c r="U402" s="42"/>
      <c r="V402" s="42"/>
      <c r="W402" s="43"/>
      <c r="X402" s="44"/>
      <c r="Y402" s="4"/>
      <c r="Z402" s="45"/>
      <c r="AA402" s="45"/>
      <c r="AB402" s="4"/>
    </row>
    <row r="403" spans="1:28" ht="75" x14ac:dyDescent="0.25">
      <c r="A403" s="78" t="s">
        <v>1467</v>
      </c>
      <c r="B403" s="98" t="s">
        <v>1468</v>
      </c>
      <c r="C403" s="101" t="s">
        <v>1420</v>
      </c>
      <c r="D403" s="101" t="s">
        <v>1469</v>
      </c>
      <c r="E403" s="75"/>
      <c r="F403" s="74" t="s">
        <v>860</v>
      </c>
      <c r="G403" s="74" t="s">
        <v>790</v>
      </c>
      <c r="H403" s="74" t="s">
        <v>791</v>
      </c>
      <c r="I403" s="39"/>
      <c r="J403" s="39"/>
      <c r="K403" s="39"/>
      <c r="L403" s="39"/>
      <c r="M403" s="39"/>
      <c r="N403" s="39"/>
      <c r="O403" s="39"/>
      <c r="P403" s="39"/>
      <c r="Q403" s="39"/>
      <c r="R403" s="40"/>
      <c r="S403" s="40"/>
      <c r="T403" s="111">
        <v>0.33</v>
      </c>
      <c r="U403" s="42" t="s">
        <v>1470</v>
      </c>
      <c r="V403" s="42"/>
      <c r="W403" s="43"/>
      <c r="X403" s="44"/>
      <c r="Y403" s="4"/>
      <c r="Z403" s="45"/>
      <c r="AA403" s="45"/>
      <c r="AB403" s="4"/>
    </row>
    <row r="404" spans="1:28" ht="76.5" x14ac:dyDescent="0.25">
      <c r="A404" s="78" t="s">
        <v>1467</v>
      </c>
      <c r="B404" s="99"/>
      <c r="C404" s="102"/>
      <c r="D404" s="102"/>
      <c r="E404" s="76"/>
      <c r="F404" s="74" t="s">
        <v>863</v>
      </c>
      <c r="G404" s="74" t="s">
        <v>795</v>
      </c>
      <c r="H404" s="74" t="s">
        <v>796</v>
      </c>
      <c r="I404" s="39"/>
      <c r="J404" s="39"/>
      <c r="K404" s="39"/>
      <c r="L404" s="39"/>
      <c r="M404" s="39"/>
      <c r="N404" s="39"/>
      <c r="O404" s="39"/>
      <c r="P404" s="39"/>
      <c r="Q404" s="39"/>
      <c r="R404" s="40"/>
      <c r="S404" s="40"/>
      <c r="T404" s="111"/>
      <c r="U404" s="42"/>
      <c r="V404" s="42"/>
      <c r="W404" s="43"/>
      <c r="X404" s="44"/>
      <c r="Y404" s="4"/>
      <c r="Z404" s="45"/>
      <c r="AA404" s="45"/>
      <c r="AB404" s="4"/>
    </row>
    <row r="405" spans="1:28" ht="51" x14ac:dyDescent="0.25">
      <c r="A405" s="78" t="s">
        <v>1467</v>
      </c>
      <c r="B405" s="100"/>
      <c r="C405" s="103"/>
      <c r="D405" s="103"/>
      <c r="E405" s="77"/>
      <c r="F405" s="74" t="s">
        <v>865</v>
      </c>
      <c r="G405" s="74" t="s">
        <v>1471</v>
      </c>
      <c r="H405" s="74" t="s">
        <v>793</v>
      </c>
      <c r="I405" s="39"/>
      <c r="J405" s="39"/>
      <c r="K405" s="39"/>
      <c r="L405" s="39"/>
      <c r="M405" s="39"/>
      <c r="N405" s="39"/>
      <c r="O405" s="39"/>
      <c r="P405" s="39"/>
      <c r="Q405" s="39"/>
      <c r="R405" s="40"/>
      <c r="S405" s="40"/>
      <c r="T405" s="111"/>
      <c r="U405" s="42"/>
      <c r="V405" s="42"/>
      <c r="W405" s="43"/>
      <c r="X405" s="44"/>
      <c r="Y405" s="4"/>
      <c r="Z405" s="45"/>
      <c r="AA405" s="45"/>
      <c r="AB405" s="4"/>
    </row>
    <row r="406" spans="1:28" ht="191.25" x14ac:dyDescent="0.25">
      <c r="A406" s="78" t="s">
        <v>1472</v>
      </c>
      <c r="B406" s="98" t="s">
        <v>1473</v>
      </c>
      <c r="C406" s="101" t="s">
        <v>1474</v>
      </c>
      <c r="D406" s="74" t="s">
        <v>1475</v>
      </c>
      <c r="E406" s="74"/>
      <c r="F406" s="74" t="s">
        <v>860</v>
      </c>
      <c r="G406" s="74" t="s">
        <v>1476</v>
      </c>
      <c r="H406" s="74" t="s">
        <v>793</v>
      </c>
      <c r="I406" s="39"/>
      <c r="J406" s="39"/>
      <c r="K406" s="39"/>
      <c r="L406" s="39"/>
      <c r="M406" s="39"/>
      <c r="N406" s="39"/>
      <c r="O406" s="39"/>
      <c r="P406" s="39"/>
      <c r="Q406" s="39"/>
      <c r="R406" s="40"/>
      <c r="S406" s="40"/>
      <c r="T406" s="111"/>
      <c r="U406" s="42"/>
      <c r="V406" s="42"/>
      <c r="W406" s="43"/>
      <c r="X406" s="44"/>
      <c r="Y406" s="4"/>
      <c r="Z406" s="45"/>
      <c r="AA406" s="45"/>
      <c r="AB406" s="4"/>
    </row>
    <row r="407" spans="1:28" ht="191.25" x14ac:dyDescent="0.25">
      <c r="A407" s="78" t="s">
        <v>1472</v>
      </c>
      <c r="B407" s="99"/>
      <c r="C407" s="102"/>
      <c r="D407" s="74" t="s">
        <v>1475</v>
      </c>
      <c r="E407" s="74"/>
      <c r="F407" s="74" t="s">
        <v>863</v>
      </c>
      <c r="G407" s="74" t="s">
        <v>795</v>
      </c>
      <c r="H407" s="74" t="s">
        <v>796</v>
      </c>
      <c r="I407" s="39"/>
      <c r="J407" s="39"/>
      <c r="K407" s="39"/>
      <c r="L407" s="39"/>
      <c r="M407" s="39"/>
      <c r="N407" s="39"/>
      <c r="O407" s="39"/>
      <c r="P407" s="39"/>
      <c r="Q407" s="39"/>
      <c r="R407" s="40"/>
      <c r="S407" s="40"/>
      <c r="T407" s="111"/>
      <c r="U407" s="42"/>
      <c r="V407" s="42"/>
      <c r="W407" s="43"/>
      <c r="X407" s="44"/>
      <c r="Y407" s="4"/>
      <c r="Z407" s="45"/>
      <c r="AA407" s="45"/>
      <c r="AB407" s="4"/>
    </row>
    <row r="408" spans="1:28" ht="191.25" x14ac:dyDescent="0.25">
      <c r="A408" s="78" t="s">
        <v>1472</v>
      </c>
      <c r="B408" s="100"/>
      <c r="C408" s="103"/>
      <c r="D408" s="74" t="s">
        <v>1475</v>
      </c>
      <c r="E408" s="74"/>
      <c r="F408" s="74" t="s">
        <v>865</v>
      </c>
      <c r="G408" s="74" t="s">
        <v>790</v>
      </c>
      <c r="H408" s="74" t="s">
        <v>791</v>
      </c>
      <c r="I408" s="39"/>
      <c r="J408" s="39"/>
      <c r="K408" s="39"/>
      <c r="L408" s="39"/>
      <c r="M408" s="39"/>
      <c r="N408" s="39"/>
      <c r="O408" s="39"/>
      <c r="P408" s="39"/>
      <c r="Q408" s="39"/>
      <c r="R408" s="40"/>
      <c r="S408" s="40"/>
      <c r="T408" s="111"/>
      <c r="U408" s="42"/>
      <c r="V408" s="42"/>
      <c r="W408" s="43"/>
      <c r="X408" s="44"/>
      <c r="Y408" s="4"/>
      <c r="Z408" s="45"/>
      <c r="AA408" s="45"/>
      <c r="AB408" s="4"/>
    </row>
    <row r="409" spans="1:28" ht="51" x14ac:dyDescent="0.25">
      <c r="A409" s="78" t="s">
        <v>1477</v>
      </c>
      <c r="B409" s="98" t="s">
        <v>1478</v>
      </c>
      <c r="C409" s="101" t="s">
        <v>788</v>
      </c>
      <c r="D409" s="101" t="s">
        <v>1479</v>
      </c>
      <c r="E409" s="75"/>
      <c r="F409" s="74" t="s">
        <v>860</v>
      </c>
      <c r="G409" s="74" t="s">
        <v>1480</v>
      </c>
      <c r="H409" s="74" t="s">
        <v>793</v>
      </c>
      <c r="I409" s="39"/>
      <c r="J409" s="39"/>
      <c r="K409" s="39"/>
      <c r="L409" s="39"/>
      <c r="M409" s="39"/>
      <c r="N409" s="39"/>
      <c r="O409" s="39"/>
      <c r="P409" s="39"/>
      <c r="Q409" s="39"/>
      <c r="R409" s="40"/>
      <c r="S409" s="40"/>
      <c r="T409" s="41"/>
      <c r="U409" s="42"/>
      <c r="V409" s="42"/>
      <c r="W409" s="43"/>
      <c r="X409" s="44"/>
      <c r="Y409" s="4"/>
      <c r="Z409" s="45"/>
      <c r="AA409" s="45"/>
      <c r="AB409" s="4"/>
    </row>
    <row r="410" spans="1:28" ht="63.75" x14ac:dyDescent="0.25">
      <c r="A410" s="78" t="s">
        <v>1477</v>
      </c>
      <c r="B410" s="99"/>
      <c r="C410" s="102"/>
      <c r="D410" s="102"/>
      <c r="E410" s="76"/>
      <c r="F410" s="74" t="s">
        <v>863</v>
      </c>
      <c r="G410" s="74" t="s">
        <v>790</v>
      </c>
      <c r="H410" s="74" t="s">
        <v>791</v>
      </c>
      <c r="I410" s="39"/>
      <c r="J410" s="39"/>
      <c r="K410" s="39"/>
      <c r="L410" s="39"/>
      <c r="M410" s="39"/>
      <c r="N410" s="39"/>
      <c r="O410" s="39"/>
      <c r="P410" s="39"/>
      <c r="Q410" s="39"/>
      <c r="R410" s="40"/>
      <c r="S410" s="40"/>
      <c r="T410" s="41"/>
      <c r="U410" s="42"/>
      <c r="V410" s="42"/>
      <c r="W410" s="43"/>
      <c r="X410" s="44"/>
      <c r="Y410" s="4"/>
      <c r="Z410" s="45"/>
      <c r="AA410" s="45"/>
      <c r="AB410" s="4"/>
    </row>
    <row r="411" spans="1:28" ht="76.5" x14ac:dyDescent="0.25">
      <c r="A411" s="78" t="s">
        <v>1477</v>
      </c>
      <c r="B411" s="100"/>
      <c r="C411" s="103"/>
      <c r="D411" s="103"/>
      <c r="E411" s="77"/>
      <c r="F411" s="74" t="s">
        <v>865</v>
      </c>
      <c r="G411" s="74" t="s">
        <v>795</v>
      </c>
      <c r="H411" s="74" t="s">
        <v>796</v>
      </c>
      <c r="I411" s="39"/>
      <c r="J411" s="39"/>
      <c r="K411" s="39"/>
      <c r="L411" s="39"/>
      <c r="M411" s="39"/>
      <c r="N411" s="39"/>
      <c r="O411" s="39"/>
      <c r="P411" s="39"/>
      <c r="Q411" s="39"/>
      <c r="R411" s="40"/>
      <c r="S411" s="40"/>
      <c r="T411" s="41"/>
      <c r="U411" s="42"/>
      <c r="V411" s="42"/>
      <c r="W411" s="43"/>
      <c r="X411" s="44"/>
      <c r="Y411" s="4"/>
      <c r="Z411" s="45"/>
      <c r="AA411" s="45"/>
      <c r="AB411" s="4"/>
    </row>
    <row r="412" spans="1:28" ht="60" x14ac:dyDescent="0.25">
      <c r="A412" s="78" t="s">
        <v>1481</v>
      </c>
      <c r="B412" s="98" t="s">
        <v>1482</v>
      </c>
      <c r="C412" s="101" t="s">
        <v>1483</v>
      </c>
      <c r="D412" s="101" t="s">
        <v>1484</v>
      </c>
      <c r="E412" s="75"/>
      <c r="F412" s="74" t="s">
        <v>860</v>
      </c>
      <c r="G412" s="74" t="s">
        <v>630</v>
      </c>
      <c r="H412" s="74" t="s">
        <v>631</v>
      </c>
      <c r="I412" s="39"/>
      <c r="J412" s="39"/>
      <c r="K412" s="39"/>
      <c r="L412" s="39"/>
      <c r="M412" s="39"/>
      <c r="N412" s="39"/>
      <c r="O412" s="39"/>
      <c r="P412" s="39"/>
      <c r="Q412" s="39"/>
      <c r="R412" s="40"/>
      <c r="S412" s="40"/>
      <c r="T412" s="41">
        <v>0.8</v>
      </c>
      <c r="U412" s="42" t="s">
        <v>1485</v>
      </c>
      <c r="V412" s="42"/>
      <c r="W412" s="43"/>
      <c r="X412" s="44"/>
      <c r="Y412" s="4"/>
      <c r="Z412" s="45"/>
      <c r="AA412" s="45"/>
      <c r="AB412" s="4"/>
    </row>
    <row r="413" spans="1:28" ht="76.5" x14ac:dyDescent="0.25">
      <c r="A413" s="78" t="s">
        <v>1481</v>
      </c>
      <c r="B413" s="100"/>
      <c r="C413" s="103"/>
      <c r="D413" s="103"/>
      <c r="E413" s="77"/>
      <c r="F413" s="74" t="s">
        <v>863</v>
      </c>
      <c r="G413" s="74" t="s">
        <v>772</v>
      </c>
      <c r="H413" s="74" t="s">
        <v>668</v>
      </c>
      <c r="I413" s="39"/>
      <c r="J413" s="39"/>
      <c r="K413" s="39"/>
      <c r="L413" s="39"/>
      <c r="M413" s="39"/>
      <c r="N413" s="39"/>
      <c r="O413" s="39"/>
      <c r="P413" s="39"/>
      <c r="Q413" s="39"/>
      <c r="R413" s="40"/>
      <c r="S413" s="40"/>
      <c r="T413" s="41"/>
      <c r="U413" s="42"/>
      <c r="V413" s="42"/>
      <c r="W413" s="43"/>
      <c r="X413" s="44"/>
      <c r="Y413" s="4"/>
      <c r="Z413" s="45"/>
      <c r="AA413" s="45"/>
      <c r="AB413" s="4"/>
    </row>
    <row r="414" spans="1:28" ht="60" x14ac:dyDescent="0.25">
      <c r="A414" s="78" t="s">
        <v>1486</v>
      </c>
      <c r="B414" s="104" t="s">
        <v>1487</v>
      </c>
      <c r="C414" s="107" t="s">
        <v>1483</v>
      </c>
      <c r="D414" s="107" t="s">
        <v>1484</v>
      </c>
      <c r="E414" s="82"/>
      <c r="F414" s="83" t="s">
        <v>860</v>
      </c>
      <c r="G414" s="83" t="s">
        <v>630</v>
      </c>
      <c r="H414" s="83" t="s">
        <v>631</v>
      </c>
      <c r="I414" s="39"/>
      <c r="J414" s="39"/>
      <c r="K414" s="39"/>
      <c r="L414" s="39"/>
      <c r="M414" s="39"/>
      <c r="N414" s="39"/>
      <c r="O414" s="39"/>
      <c r="P414" s="39"/>
      <c r="Q414" s="39"/>
      <c r="R414" s="40"/>
      <c r="S414" s="40"/>
      <c r="T414" s="41">
        <v>0.8</v>
      </c>
      <c r="U414" s="42" t="s">
        <v>1485</v>
      </c>
      <c r="V414" s="42"/>
      <c r="W414" s="43"/>
      <c r="X414" s="44"/>
      <c r="Y414" s="4"/>
      <c r="Z414" s="45"/>
      <c r="AA414" s="45"/>
      <c r="AB414" s="4"/>
    </row>
    <row r="415" spans="1:28" ht="76.5" x14ac:dyDescent="0.25">
      <c r="A415" s="78" t="s">
        <v>1486</v>
      </c>
      <c r="B415" s="106"/>
      <c r="C415" s="109"/>
      <c r="D415" s="109"/>
      <c r="E415" s="84"/>
      <c r="F415" s="83" t="s">
        <v>863</v>
      </c>
      <c r="G415" s="83" t="s">
        <v>772</v>
      </c>
      <c r="H415" s="83" t="s">
        <v>668</v>
      </c>
      <c r="I415" s="39"/>
      <c r="J415" s="39"/>
      <c r="K415" s="39"/>
      <c r="L415" s="39"/>
      <c r="M415" s="39"/>
      <c r="N415" s="39"/>
      <c r="O415" s="39"/>
      <c r="P415" s="39"/>
      <c r="Q415" s="39"/>
      <c r="R415" s="40"/>
      <c r="S415" s="40"/>
      <c r="T415" s="41"/>
      <c r="U415" s="42"/>
      <c r="V415" s="42"/>
      <c r="W415" s="43"/>
      <c r="X415" s="44"/>
      <c r="Y415" s="4"/>
      <c r="Z415" s="45"/>
      <c r="AA415" s="45"/>
      <c r="AB415" s="4"/>
    </row>
    <row r="416" spans="1:28" ht="63.75" x14ac:dyDescent="0.25">
      <c r="A416" s="78" t="s">
        <v>1488</v>
      </c>
      <c r="B416" s="98" t="s">
        <v>1489</v>
      </c>
      <c r="C416" s="101" t="s">
        <v>1444</v>
      </c>
      <c r="D416" s="101" t="s">
        <v>1490</v>
      </c>
      <c r="E416" s="75"/>
      <c r="F416" s="74" t="s">
        <v>860</v>
      </c>
      <c r="G416" s="74" t="s">
        <v>790</v>
      </c>
      <c r="H416" s="74" t="s">
        <v>791</v>
      </c>
      <c r="I416" s="39"/>
      <c r="J416" s="39"/>
      <c r="K416" s="39"/>
      <c r="L416" s="39"/>
      <c r="M416" s="39"/>
      <c r="N416" s="39"/>
      <c r="O416" s="39"/>
      <c r="P416" s="39"/>
      <c r="Q416" s="39"/>
      <c r="R416" s="40"/>
      <c r="S416" s="40"/>
      <c r="T416" s="41"/>
      <c r="U416" s="42"/>
      <c r="V416" s="42"/>
      <c r="W416" s="43"/>
      <c r="X416" s="44"/>
      <c r="Y416" s="4"/>
      <c r="Z416" s="45"/>
      <c r="AA416" s="45"/>
      <c r="AB416" s="4"/>
    </row>
    <row r="417" spans="1:28" ht="76.5" x14ac:dyDescent="0.25">
      <c r="A417" s="78" t="s">
        <v>1488</v>
      </c>
      <c r="B417" s="99"/>
      <c r="C417" s="102"/>
      <c r="D417" s="102"/>
      <c r="E417" s="76"/>
      <c r="F417" s="74" t="s">
        <v>863</v>
      </c>
      <c r="G417" s="74" t="s">
        <v>795</v>
      </c>
      <c r="H417" s="74" t="s">
        <v>796</v>
      </c>
      <c r="I417" s="39"/>
      <c r="J417" s="39"/>
      <c r="K417" s="39"/>
      <c r="L417" s="39"/>
      <c r="M417" s="39"/>
      <c r="N417" s="39"/>
      <c r="O417" s="39"/>
      <c r="P417" s="39"/>
      <c r="Q417" s="39"/>
      <c r="R417" s="40"/>
      <c r="S417" s="40"/>
      <c r="T417" s="41"/>
      <c r="U417" s="42"/>
      <c r="V417" s="42"/>
      <c r="W417" s="43"/>
      <c r="X417" s="44"/>
      <c r="Y417" s="4"/>
      <c r="Z417" s="45"/>
      <c r="AA417" s="45"/>
      <c r="AB417" s="4"/>
    </row>
    <row r="418" spans="1:28" ht="51" x14ac:dyDescent="0.25">
      <c r="A418" s="78" t="s">
        <v>1488</v>
      </c>
      <c r="B418" s="100"/>
      <c r="C418" s="103"/>
      <c r="D418" s="103"/>
      <c r="E418" s="77"/>
      <c r="F418" s="74" t="s">
        <v>865</v>
      </c>
      <c r="G418" s="74" t="s">
        <v>1491</v>
      </c>
      <c r="H418" s="74" t="s">
        <v>793</v>
      </c>
      <c r="I418" s="39"/>
      <c r="J418" s="39"/>
      <c r="K418" s="39"/>
      <c r="L418" s="39"/>
      <c r="M418" s="39"/>
      <c r="N418" s="39"/>
      <c r="O418" s="39"/>
      <c r="P418" s="39"/>
      <c r="Q418" s="39"/>
      <c r="R418" s="40"/>
      <c r="S418" s="40"/>
      <c r="T418" s="41"/>
      <c r="U418" s="42"/>
      <c r="V418" s="42"/>
      <c r="W418" s="43"/>
      <c r="X418" s="44"/>
      <c r="Y418" s="4"/>
      <c r="Z418" s="45"/>
      <c r="AA418" s="45"/>
      <c r="AB418" s="4"/>
    </row>
    <row r="419" spans="1:28" ht="191.25" x14ac:dyDescent="0.25">
      <c r="A419" s="78" t="s">
        <v>1492</v>
      </c>
      <c r="B419" s="104" t="s">
        <v>1493</v>
      </c>
      <c r="C419" s="107" t="s">
        <v>1483</v>
      </c>
      <c r="D419" s="83" t="s">
        <v>1484</v>
      </c>
      <c r="E419" s="83"/>
      <c r="F419" s="83" t="s">
        <v>860</v>
      </c>
      <c r="G419" s="83" t="s">
        <v>630</v>
      </c>
      <c r="H419" s="83" t="s">
        <v>631</v>
      </c>
      <c r="I419" s="39"/>
      <c r="J419" s="39"/>
      <c r="K419" s="39"/>
      <c r="L419" s="39"/>
      <c r="M419" s="39"/>
      <c r="N419" s="39"/>
      <c r="O419" s="39"/>
      <c r="P419" s="39"/>
      <c r="Q419" s="39"/>
      <c r="R419" s="40"/>
      <c r="S419" s="40"/>
      <c r="T419" s="41"/>
      <c r="U419" s="42"/>
      <c r="V419" s="42"/>
      <c r="W419" s="43"/>
      <c r="X419" s="44"/>
      <c r="Y419" s="4"/>
      <c r="Z419" s="45"/>
      <c r="AA419" s="45"/>
      <c r="AB419" s="4"/>
    </row>
    <row r="420" spans="1:28" ht="191.25" x14ac:dyDescent="0.25">
      <c r="A420" s="78" t="s">
        <v>1492</v>
      </c>
      <c r="B420" s="106"/>
      <c r="C420" s="109"/>
      <c r="D420" s="83" t="s">
        <v>1484</v>
      </c>
      <c r="E420" s="83"/>
      <c r="F420" s="83" t="s">
        <v>863</v>
      </c>
      <c r="G420" s="83" t="s">
        <v>772</v>
      </c>
      <c r="H420" s="83" t="s">
        <v>668</v>
      </c>
      <c r="I420" s="39"/>
      <c r="J420" s="39"/>
      <c r="K420" s="39"/>
      <c r="L420" s="39"/>
      <c r="M420" s="39"/>
      <c r="N420" s="39"/>
      <c r="O420" s="39"/>
      <c r="P420" s="39"/>
      <c r="Q420" s="39"/>
      <c r="R420" s="40"/>
      <c r="S420" s="40"/>
      <c r="T420" s="41"/>
      <c r="U420" s="42"/>
      <c r="V420" s="42"/>
      <c r="W420" s="43"/>
      <c r="X420" s="44"/>
      <c r="Y420" s="4"/>
      <c r="Z420" s="45"/>
      <c r="AA420" s="45"/>
      <c r="AB420" s="4"/>
    </row>
    <row r="421" spans="1:28" ht="140.25" x14ac:dyDescent="0.25">
      <c r="A421" s="78" t="s">
        <v>1494</v>
      </c>
      <c r="B421" s="98" t="s">
        <v>1495</v>
      </c>
      <c r="C421" s="101" t="s">
        <v>1420</v>
      </c>
      <c r="D421" s="74" t="s">
        <v>1496</v>
      </c>
      <c r="E421" s="74"/>
      <c r="F421" s="74" t="s">
        <v>860</v>
      </c>
      <c r="G421" s="74" t="s">
        <v>795</v>
      </c>
      <c r="H421" s="74" t="s">
        <v>796</v>
      </c>
      <c r="I421" s="39"/>
      <c r="J421" s="39"/>
      <c r="K421" s="39"/>
      <c r="L421" s="39"/>
      <c r="M421" s="39"/>
      <c r="N421" s="39"/>
      <c r="O421" s="39"/>
      <c r="P421" s="39"/>
      <c r="Q421" s="39"/>
      <c r="R421" s="40"/>
      <c r="S421" s="40"/>
      <c r="T421" s="41">
        <v>0.33</v>
      </c>
      <c r="U421" s="42" t="s">
        <v>1497</v>
      </c>
      <c r="V421" s="42"/>
      <c r="W421" s="43"/>
      <c r="X421" s="44"/>
      <c r="Y421" s="4"/>
      <c r="Z421" s="45"/>
      <c r="AA421" s="45"/>
      <c r="AB421" s="4"/>
    </row>
    <row r="422" spans="1:28" ht="140.25" x14ac:dyDescent="0.25">
      <c r="A422" s="78" t="s">
        <v>1494</v>
      </c>
      <c r="B422" s="99"/>
      <c r="C422" s="102"/>
      <c r="D422" s="74" t="s">
        <v>1496</v>
      </c>
      <c r="E422" s="74"/>
      <c r="F422" s="74" t="s">
        <v>863</v>
      </c>
      <c r="G422" s="74" t="s">
        <v>790</v>
      </c>
      <c r="H422" s="74" t="s">
        <v>791</v>
      </c>
      <c r="I422" s="39"/>
      <c r="J422" s="39"/>
      <c r="K422" s="39"/>
      <c r="L422" s="39"/>
      <c r="M422" s="39"/>
      <c r="N422" s="39"/>
      <c r="O422" s="39"/>
      <c r="P422" s="39"/>
      <c r="Q422" s="39"/>
      <c r="R422" s="40"/>
      <c r="S422" s="40"/>
      <c r="T422" s="41"/>
      <c r="U422" s="42"/>
      <c r="V422" s="42"/>
      <c r="W422" s="43"/>
      <c r="X422" s="44"/>
      <c r="Y422" s="4"/>
      <c r="Z422" s="45"/>
      <c r="AA422" s="45"/>
      <c r="AB422" s="4"/>
    </row>
    <row r="423" spans="1:28" ht="140.25" x14ac:dyDescent="0.25">
      <c r="A423" s="78" t="s">
        <v>1494</v>
      </c>
      <c r="B423" s="100"/>
      <c r="C423" s="103"/>
      <c r="D423" s="74" t="s">
        <v>1496</v>
      </c>
      <c r="E423" s="74"/>
      <c r="F423" s="74" t="s">
        <v>865</v>
      </c>
      <c r="G423" s="74" t="s">
        <v>1498</v>
      </c>
      <c r="H423" s="74" t="s">
        <v>793</v>
      </c>
      <c r="I423" s="39"/>
      <c r="J423" s="39"/>
      <c r="K423" s="39"/>
      <c r="L423" s="39"/>
      <c r="M423" s="39"/>
      <c r="N423" s="39"/>
      <c r="O423" s="39"/>
      <c r="P423" s="39"/>
      <c r="Q423" s="39"/>
      <c r="R423" s="40"/>
      <c r="S423" s="40"/>
      <c r="T423" s="41"/>
      <c r="U423" s="42"/>
      <c r="V423" s="42"/>
      <c r="W423" s="43"/>
      <c r="X423" s="44"/>
      <c r="Y423" s="4"/>
      <c r="Z423" s="45"/>
      <c r="AA423" s="45"/>
      <c r="AB423" s="4"/>
    </row>
    <row r="424" spans="1:28" ht="63.75" x14ac:dyDescent="0.25">
      <c r="A424" s="78" t="s">
        <v>1499</v>
      </c>
      <c r="B424" s="98" t="s">
        <v>1500</v>
      </c>
      <c r="C424" s="101" t="s">
        <v>788</v>
      </c>
      <c r="D424" s="101" t="s">
        <v>1501</v>
      </c>
      <c r="E424" s="75"/>
      <c r="F424" s="74" t="s">
        <v>860</v>
      </c>
      <c r="G424" s="74" t="s">
        <v>790</v>
      </c>
      <c r="H424" s="74" t="s">
        <v>791</v>
      </c>
      <c r="I424" s="39"/>
      <c r="J424" s="39"/>
      <c r="K424" s="39"/>
      <c r="L424" s="39"/>
      <c r="M424" s="39"/>
      <c r="N424" s="39"/>
      <c r="O424" s="39"/>
      <c r="P424" s="39"/>
      <c r="Q424" s="39"/>
      <c r="R424" s="40"/>
      <c r="S424" s="40"/>
      <c r="T424" s="41"/>
      <c r="U424" s="42"/>
      <c r="V424" s="42"/>
      <c r="W424" s="43"/>
      <c r="X424" s="44"/>
      <c r="Y424" s="4"/>
      <c r="Z424" s="45"/>
      <c r="AA424" s="45"/>
      <c r="AB424" s="4"/>
    </row>
    <row r="425" spans="1:28" ht="51" x14ac:dyDescent="0.25">
      <c r="A425" s="78" t="s">
        <v>1499</v>
      </c>
      <c r="B425" s="99"/>
      <c r="C425" s="102"/>
      <c r="D425" s="102"/>
      <c r="E425" s="76"/>
      <c r="F425" s="74" t="s">
        <v>863</v>
      </c>
      <c r="G425" s="74" t="s">
        <v>1502</v>
      </c>
      <c r="H425" s="74" t="s">
        <v>793</v>
      </c>
      <c r="I425" s="39"/>
      <c r="J425" s="39"/>
      <c r="K425" s="39"/>
      <c r="L425" s="39"/>
      <c r="M425" s="39"/>
      <c r="N425" s="39"/>
      <c r="O425" s="39"/>
      <c r="P425" s="39"/>
      <c r="Q425" s="39"/>
      <c r="R425" s="40"/>
      <c r="S425" s="40"/>
      <c r="T425" s="41"/>
      <c r="U425" s="42"/>
      <c r="V425" s="42"/>
      <c r="W425" s="43"/>
      <c r="X425" s="44"/>
      <c r="Y425" s="4"/>
      <c r="Z425" s="45"/>
      <c r="AA425" s="45"/>
      <c r="AB425" s="4"/>
    </row>
    <row r="426" spans="1:28" ht="76.5" x14ac:dyDescent="0.25">
      <c r="A426" s="78" t="s">
        <v>1499</v>
      </c>
      <c r="B426" s="100"/>
      <c r="C426" s="103"/>
      <c r="D426" s="103"/>
      <c r="E426" s="77"/>
      <c r="F426" s="74" t="s">
        <v>865</v>
      </c>
      <c r="G426" s="74" t="s">
        <v>795</v>
      </c>
      <c r="H426" s="74" t="s">
        <v>796</v>
      </c>
      <c r="I426" s="39"/>
      <c r="J426" s="39"/>
      <c r="K426" s="39"/>
      <c r="L426" s="39"/>
      <c r="M426" s="39"/>
      <c r="N426" s="39"/>
      <c r="O426" s="39"/>
      <c r="P426" s="39"/>
      <c r="Q426" s="39"/>
      <c r="R426" s="40"/>
      <c r="S426" s="40"/>
      <c r="T426" s="41"/>
      <c r="U426" s="42"/>
      <c r="V426" s="42"/>
      <c r="W426" s="43"/>
      <c r="X426" s="44"/>
      <c r="Y426" s="4"/>
      <c r="Z426" s="45"/>
      <c r="AA426" s="45"/>
      <c r="AB426" s="4"/>
    </row>
    <row r="427" spans="1:28" ht="318.75" x14ac:dyDescent="0.25">
      <c r="A427" s="78" t="s">
        <v>1503</v>
      </c>
      <c r="B427" s="98" t="s">
        <v>1504</v>
      </c>
      <c r="C427" s="101" t="s">
        <v>788</v>
      </c>
      <c r="D427" s="74" t="s">
        <v>1505</v>
      </c>
      <c r="E427" s="74"/>
      <c r="F427" s="74" t="s">
        <v>860</v>
      </c>
      <c r="G427" s="74" t="s">
        <v>795</v>
      </c>
      <c r="H427" s="74" t="s">
        <v>796</v>
      </c>
      <c r="I427" s="39"/>
      <c r="J427" s="39"/>
      <c r="K427" s="39"/>
      <c r="L427" s="39"/>
      <c r="M427" s="39"/>
      <c r="N427" s="39"/>
      <c r="O427" s="39"/>
      <c r="P427" s="39"/>
      <c r="Q427" s="39"/>
      <c r="R427" s="40"/>
      <c r="S427" s="40"/>
      <c r="T427" s="41"/>
      <c r="U427" s="42"/>
      <c r="V427" s="42"/>
      <c r="W427" s="43"/>
      <c r="X427" s="44"/>
      <c r="Y427" s="4"/>
      <c r="Z427" s="45"/>
      <c r="AA427" s="45"/>
      <c r="AB427" s="4"/>
    </row>
    <row r="428" spans="1:28" ht="318.75" x14ac:dyDescent="0.25">
      <c r="A428" s="78" t="s">
        <v>1503</v>
      </c>
      <c r="B428" s="99"/>
      <c r="C428" s="102"/>
      <c r="D428" s="74" t="s">
        <v>1505</v>
      </c>
      <c r="E428" s="74"/>
      <c r="F428" s="74" t="s">
        <v>863</v>
      </c>
      <c r="G428" s="74" t="s">
        <v>790</v>
      </c>
      <c r="H428" s="74" t="s">
        <v>791</v>
      </c>
      <c r="I428" s="39"/>
      <c r="J428" s="39"/>
      <c r="K428" s="39"/>
      <c r="L428" s="39"/>
      <c r="M428" s="39"/>
      <c r="N428" s="39"/>
      <c r="O428" s="39"/>
      <c r="P428" s="39"/>
      <c r="Q428" s="39"/>
      <c r="R428" s="40"/>
      <c r="S428" s="40"/>
      <c r="T428" s="41"/>
      <c r="U428" s="42"/>
      <c r="V428" s="42"/>
      <c r="W428" s="43"/>
      <c r="X428" s="44"/>
      <c r="Y428" s="4"/>
      <c r="Z428" s="45"/>
      <c r="AA428" s="45"/>
      <c r="AB428" s="4"/>
    </row>
    <row r="429" spans="1:28" ht="318.75" x14ac:dyDescent="0.25">
      <c r="A429" s="78" t="s">
        <v>1503</v>
      </c>
      <c r="B429" s="100"/>
      <c r="C429" s="103"/>
      <c r="D429" s="74" t="s">
        <v>1505</v>
      </c>
      <c r="E429" s="74"/>
      <c r="F429" s="74" t="s">
        <v>865</v>
      </c>
      <c r="G429" s="74" t="s">
        <v>1506</v>
      </c>
      <c r="H429" s="74" t="s">
        <v>793</v>
      </c>
      <c r="I429" s="39"/>
      <c r="J429" s="39"/>
      <c r="K429" s="39"/>
      <c r="L429" s="39"/>
      <c r="M429" s="39"/>
      <c r="N429" s="39"/>
      <c r="O429" s="39"/>
      <c r="P429" s="39"/>
      <c r="Q429" s="39"/>
      <c r="R429" s="40"/>
      <c r="S429" s="40"/>
      <c r="T429" s="41"/>
      <c r="U429" s="42"/>
      <c r="V429" s="42"/>
      <c r="W429" s="43"/>
      <c r="X429" s="44"/>
      <c r="Y429" s="4"/>
      <c r="Z429" s="45"/>
      <c r="AA429" s="45"/>
      <c r="AB429" s="4"/>
    </row>
    <row r="430" spans="1:28" ht="409.5" x14ac:dyDescent="0.25">
      <c r="A430" s="78" t="s">
        <v>1507</v>
      </c>
      <c r="B430" s="98" t="s">
        <v>1508</v>
      </c>
      <c r="C430" s="101" t="s">
        <v>1509</v>
      </c>
      <c r="D430" s="74" t="s">
        <v>1510</v>
      </c>
      <c r="E430" s="74"/>
      <c r="F430" s="74" t="s">
        <v>860</v>
      </c>
      <c r="G430" s="74" t="s">
        <v>1511</v>
      </c>
      <c r="H430" s="74" t="s">
        <v>1512</v>
      </c>
      <c r="I430" s="39"/>
      <c r="J430" s="39"/>
      <c r="K430" s="39"/>
      <c r="L430" s="39"/>
      <c r="M430" s="39"/>
      <c r="N430" s="39"/>
      <c r="O430" s="39"/>
      <c r="P430" s="39"/>
      <c r="Q430" s="39"/>
      <c r="R430" s="40"/>
      <c r="S430" s="40"/>
      <c r="T430" s="41"/>
      <c r="U430" s="42"/>
      <c r="V430" s="42"/>
      <c r="W430" s="43"/>
      <c r="X430" s="44"/>
      <c r="Y430" s="4"/>
      <c r="Z430" s="45"/>
      <c r="AA430" s="45"/>
      <c r="AB430" s="4"/>
    </row>
    <row r="431" spans="1:28" ht="409.5" x14ac:dyDescent="0.25">
      <c r="A431" s="78" t="s">
        <v>1507</v>
      </c>
      <c r="B431" s="100"/>
      <c r="C431" s="103"/>
      <c r="D431" s="74" t="s">
        <v>1510</v>
      </c>
      <c r="E431" s="74"/>
      <c r="F431" s="74" t="s">
        <v>863</v>
      </c>
      <c r="G431" s="74" t="s">
        <v>1513</v>
      </c>
      <c r="H431" s="74" t="s">
        <v>1512</v>
      </c>
      <c r="I431" s="39"/>
      <c r="J431" s="39"/>
      <c r="K431" s="39"/>
      <c r="L431" s="39"/>
      <c r="M431" s="39"/>
      <c r="N431" s="39"/>
      <c r="O431" s="39"/>
      <c r="P431" s="39"/>
      <c r="Q431" s="39"/>
      <c r="R431" s="40"/>
      <c r="S431" s="40"/>
      <c r="T431" s="41"/>
      <c r="U431" s="42"/>
      <c r="V431" s="42"/>
      <c r="W431" s="43"/>
      <c r="X431" s="44"/>
      <c r="Y431" s="4"/>
      <c r="Z431" s="45"/>
      <c r="AA431" s="45"/>
      <c r="AB431" s="4"/>
    </row>
    <row r="432" spans="1:28" ht="409.5" x14ac:dyDescent="0.25">
      <c r="A432" s="78" t="s">
        <v>1514</v>
      </c>
      <c r="B432" s="98" t="s">
        <v>1515</v>
      </c>
      <c r="C432" s="101" t="s">
        <v>1516</v>
      </c>
      <c r="D432" s="74" t="s">
        <v>1517</v>
      </c>
      <c r="E432" s="74"/>
      <c r="F432" s="74" t="s">
        <v>860</v>
      </c>
      <c r="G432" s="74" t="s">
        <v>1518</v>
      </c>
      <c r="H432" s="74" t="s">
        <v>1519</v>
      </c>
      <c r="I432" s="39"/>
      <c r="J432" s="39"/>
      <c r="K432" s="39"/>
      <c r="L432" s="39"/>
      <c r="M432" s="39"/>
      <c r="N432" s="39"/>
      <c r="O432" s="39"/>
      <c r="P432" s="39"/>
      <c r="Q432" s="39"/>
      <c r="R432" s="40"/>
      <c r="S432" s="40"/>
      <c r="T432" s="41"/>
      <c r="U432" s="42"/>
      <c r="V432" s="42"/>
      <c r="W432" s="43"/>
      <c r="X432" s="44"/>
      <c r="Y432" s="4"/>
      <c r="Z432" s="45"/>
      <c r="AA432" s="45"/>
      <c r="AB432" s="4"/>
    </row>
    <row r="433" spans="1:28" ht="409.5" x14ac:dyDescent="0.25">
      <c r="A433" s="78" t="s">
        <v>1514</v>
      </c>
      <c r="B433" s="99"/>
      <c r="C433" s="102"/>
      <c r="D433" s="74" t="s">
        <v>1517</v>
      </c>
      <c r="E433" s="74"/>
      <c r="F433" s="74" t="s">
        <v>863</v>
      </c>
      <c r="G433" s="74" t="s">
        <v>1520</v>
      </c>
      <c r="H433" s="74" t="s">
        <v>1521</v>
      </c>
      <c r="I433" s="39"/>
      <c r="J433" s="39"/>
      <c r="K433" s="39"/>
      <c r="L433" s="39"/>
      <c r="M433" s="39"/>
      <c r="N433" s="39"/>
      <c r="O433" s="39"/>
      <c r="P433" s="39"/>
      <c r="Q433" s="39"/>
      <c r="R433" s="40"/>
      <c r="S433" s="40"/>
      <c r="T433" s="41"/>
      <c r="U433" s="42"/>
      <c r="V433" s="42"/>
      <c r="W433" s="43"/>
      <c r="X433" s="44"/>
      <c r="Y433" s="4"/>
      <c r="Z433" s="45"/>
      <c r="AA433" s="45"/>
      <c r="AB433" s="4"/>
    </row>
    <row r="434" spans="1:28" ht="409.5" x14ac:dyDescent="0.25">
      <c r="A434" s="78" t="s">
        <v>1514</v>
      </c>
      <c r="B434" s="100"/>
      <c r="C434" s="103"/>
      <c r="D434" s="74" t="s">
        <v>1517</v>
      </c>
      <c r="E434" s="74"/>
      <c r="F434" s="74" t="s">
        <v>865</v>
      </c>
      <c r="G434" s="74" t="s">
        <v>1522</v>
      </c>
      <c r="H434" s="74" t="s">
        <v>1523</v>
      </c>
      <c r="I434" s="39"/>
      <c r="J434" s="39"/>
      <c r="K434" s="39"/>
      <c r="L434" s="39"/>
      <c r="M434" s="39"/>
      <c r="N434" s="39"/>
      <c r="O434" s="39"/>
      <c r="P434" s="39"/>
      <c r="Q434" s="39"/>
      <c r="R434" s="40"/>
      <c r="S434" s="40"/>
      <c r="T434" s="41"/>
      <c r="U434" s="42"/>
      <c r="V434" s="42"/>
      <c r="W434" s="43"/>
      <c r="X434" s="44"/>
      <c r="Y434" s="4"/>
      <c r="Z434" s="45"/>
      <c r="AA434" s="45"/>
      <c r="AB434" s="4"/>
    </row>
    <row r="435" spans="1:28" ht="114.75" x14ac:dyDescent="0.25">
      <c r="A435" s="78" t="s">
        <v>1524</v>
      </c>
      <c r="B435" s="98" t="s">
        <v>1525</v>
      </c>
      <c r="C435" s="101" t="s">
        <v>1526</v>
      </c>
      <c r="D435" s="74" t="s">
        <v>1527</v>
      </c>
      <c r="E435" s="74"/>
      <c r="F435" s="74" t="s">
        <v>860</v>
      </c>
      <c r="G435" s="74" t="s">
        <v>1528</v>
      </c>
      <c r="H435" s="74" t="s">
        <v>1529</v>
      </c>
      <c r="I435" s="39"/>
      <c r="J435" s="39"/>
      <c r="K435" s="39"/>
      <c r="L435" s="39"/>
      <c r="M435" s="39"/>
      <c r="N435" s="39"/>
      <c r="O435" s="39"/>
      <c r="P435" s="39"/>
      <c r="Q435" s="39"/>
      <c r="R435" s="40"/>
      <c r="S435" s="40"/>
      <c r="T435" s="41"/>
      <c r="U435" s="42"/>
      <c r="V435" s="42"/>
      <c r="W435" s="43"/>
      <c r="X435" s="44"/>
      <c r="Y435" s="4"/>
      <c r="Z435" s="45"/>
      <c r="AA435" s="45"/>
      <c r="AB435" s="4"/>
    </row>
    <row r="436" spans="1:28" ht="25.5" x14ac:dyDescent="0.25">
      <c r="A436" s="78" t="s">
        <v>1524</v>
      </c>
      <c r="B436" s="99"/>
      <c r="C436" s="102"/>
      <c r="D436" s="74"/>
      <c r="E436" s="74"/>
      <c r="F436" s="74" t="s">
        <v>863</v>
      </c>
      <c r="G436" s="74" t="s">
        <v>1530</v>
      </c>
      <c r="H436" s="74" t="s">
        <v>1531</v>
      </c>
      <c r="I436" s="39"/>
      <c r="J436" s="39"/>
      <c r="K436" s="39"/>
      <c r="L436" s="39"/>
      <c r="M436" s="39"/>
      <c r="N436" s="39"/>
      <c r="O436" s="39"/>
      <c r="P436" s="39"/>
      <c r="Q436" s="39"/>
      <c r="R436" s="40"/>
      <c r="S436" s="40"/>
      <c r="T436" s="41"/>
      <c r="U436" s="42"/>
      <c r="V436" s="42"/>
      <c r="W436" s="43"/>
      <c r="X436" s="44"/>
      <c r="Y436" s="4"/>
      <c r="Z436" s="45"/>
      <c r="AA436" s="45"/>
      <c r="AB436" s="4"/>
    </row>
    <row r="437" spans="1:28" ht="25.5" x14ac:dyDescent="0.25">
      <c r="A437" s="78" t="s">
        <v>1524</v>
      </c>
      <c r="B437" s="99"/>
      <c r="C437" s="102"/>
      <c r="D437" s="74"/>
      <c r="E437" s="74"/>
      <c r="F437" s="74" t="s">
        <v>865</v>
      </c>
      <c r="G437" s="74" t="s">
        <v>1532</v>
      </c>
      <c r="H437" s="74" t="s">
        <v>1533</v>
      </c>
      <c r="I437" s="39"/>
      <c r="J437" s="39"/>
      <c r="K437" s="39"/>
      <c r="L437" s="39"/>
      <c r="M437" s="39"/>
      <c r="N437" s="39"/>
      <c r="O437" s="39"/>
      <c r="P437" s="39"/>
      <c r="Q437" s="39"/>
      <c r="R437" s="40"/>
      <c r="S437" s="40"/>
      <c r="T437" s="41"/>
      <c r="U437" s="42"/>
      <c r="V437" s="42"/>
      <c r="W437" s="43"/>
      <c r="X437" s="44"/>
      <c r="Y437" s="4"/>
      <c r="Z437" s="45"/>
      <c r="AA437" s="45"/>
      <c r="AB437" s="4"/>
    </row>
    <row r="438" spans="1:28" x14ac:dyDescent="0.25">
      <c r="A438" s="78" t="s">
        <v>1524</v>
      </c>
      <c r="B438" s="100"/>
      <c r="C438" s="103"/>
      <c r="D438" s="74"/>
      <c r="E438" s="74"/>
      <c r="F438" s="74" t="s">
        <v>867</v>
      </c>
      <c r="G438" s="74" t="s">
        <v>1534</v>
      </c>
      <c r="H438" s="74" t="s">
        <v>1535</v>
      </c>
      <c r="I438" s="39"/>
      <c r="J438" s="39"/>
      <c r="K438" s="39"/>
      <c r="L438" s="39"/>
      <c r="M438" s="39"/>
      <c r="N438" s="39"/>
      <c r="O438" s="39"/>
      <c r="P438" s="39"/>
      <c r="Q438" s="39"/>
      <c r="R438" s="40"/>
      <c r="S438" s="40"/>
      <c r="T438" s="41"/>
      <c r="U438" s="42"/>
      <c r="V438" s="42"/>
      <c r="W438" s="43"/>
      <c r="X438" s="44"/>
      <c r="Y438" s="4"/>
      <c r="Z438" s="45"/>
      <c r="AA438" s="45"/>
      <c r="AB438" s="4"/>
    </row>
    <row r="439" spans="1:28" ht="127.5" x14ac:dyDescent="0.25">
      <c r="A439" s="78" t="s">
        <v>1536</v>
      </c>
      <c r="B439" s="101" t="s">
        <v>1537</v>
      </c>
      <c r="C439" s="101" t="s">
        <v>1538</v>
      </c>
      <c r="D439" s="74" t="s">
        <v>1539</v>
      </c>
      <c r="E439" s="74"/>
      <c r="F439" s="74" t="s">
        <v>860</v>
      </c>
      <c r="G439" s="74" t="s">
        <v>1540</v>
      </c>
      <c r="H439" s="74" t="s">
        <v>1541</v>
      </c>
      <c r="I439" s="39"/>
      <c r="J439" s="39"/>
      <c r="K439" s="39"/>
      <c r="L439" s="39"/>
      <c r="M439" s="39"/>
      <c r="N439" s="39"/>
      <c r="O439" s="39"/>
      <c r="P439" s="39"/>
      <c r="Q439" s="39"/>
      <c r="R439" s="40"/>
      <c r="S439" s="40"/>
      <c r="T439" s="41">
        <v>0</v>
      </c>
      <c r="U439" s="42"/>
      <c r="V439" s="42"/>
      <c r="W439" s="43"/>
      <c r="X439" s="44"/>
      <c r="Y439" s="4"/>
      <c r="Z439" s="45"/>
      <c r="AA439" s="45"/>
      <c r="AB439" s="4"/>
    </row>
    <row r="440" spans="1:28" ht="25.5" x14ac:dyDescent="0.25">
      <c r="A440" s="78" t="s">
        <v>1536</v>
      </c>
      <c r="B440" s="102"/>
      <c r="C440" s="102"/>
      <c r="D440" s="74"/>
      <c r="E440" s="74"/>
      <c r="F440" s="74" t="s">
        <v>863</v>
      </c>
      <c r="G440" s="74" t="s">
        <v>1542</v>
      </c>
      <c r="H440" s="74" t="s">
        <v>1543</v>
      </c>
      <c r="I440" s="39"/>
      <c r="J440" s="39"/>
      <c r="K440" s="39"/>
      <c r="L440" s="39"/>
      <c r="M440" s="39"/>
      <c r="N440" s="39"/>
      <c r="O440" s="39"/>
      <c r="P440" s="39"/>
      <c r="Q440" s="39"/>
      <c r="R440" s="40"/>
      <c r="S440" s="40"/>
      <c r="T440" s="41"/>
      <c r="U440" s="42"/>
      <c r="V440" s="42"/>
      <c r="W440" s="43"/>
      <c r="X440" s="44"/>
      <c r="Y440" s="4"/>
      <c r="Z440" s="45"/>
      <c r="AA440" s="45"/>
      <c r="AB440" s="4"/>
    </row>
    <row r="441" spans="1:28" x14ac:dyDescent="0.25">
      <c r="A441" s="78" t="s">
        <v>1536</v>
      </c>
      <c r="B441" s="102"/>
      <c r="C441" s="102"/>
      <c r="D441" s="74"/>
      <c r="E441" s="74"/>
      <c r="F441" s="74" t="s">
        <v>865</v>
      </c>
      <c r="G441" s="74" t="s">
        <v>1534</v>
      </c>
      <c r="H441" s="74" t="s">
        <v>1535</v>
      </c>
      <c r="I441" s="39"/>
      <c r="J441" s="39"/>
      <c r="K441" s="39"/>
      <c r="L441" s="39"/>
      <c r="M441" s="39"/>
      <c r="N441" s="39"/>
      <c r="O441" s="39"/>
      <c r="P441" s="39"/>
      <c r="Q441" s="39"/>
      <c r="R441" s="40"/>
      <c r="S441" s="40"/>
      <c r="T441" s="41"/>
      <c r="U441" s="42"/>
      <c r="V441" s="42"/>
      <c r="W441" s="43"/>
      <c r="X441" s="44"/>
      <c r="Y441" s="4"/>
      <c r="Z441" s="45"/>
      <c r="AA441" s="45"/>
      <c r="AB441" s="4"/>
    </row>
    <row r="442" spans="1:28" ht="25.5" x14ac:dyDescent="0.25">
      <c r="A442" s="78" t="s">
        <v>1536</v>
      </c>
      <c r="B442" s="103"/>
      <c r="C442" s="103"/>
      <c r="D442" s="74"/>
      <c r="E442" s="74"/>
      <c r="F442" s="74" t="s">
        <v>867</v>
      </c>
      <c r="G442" s="74" t="s">
        <v>1544</v>
      </c>
      <c r="H442" s="74" t="s">
        <v>1545</v>
      </c>
      <c r="I442" s="39"/>
      <c r="J442" s="39"/>
      <c r="K442" s="39"/>
      <c r="L442" s="39"/>
      <c r="M442" s="39"/>
      <c r="N442" s="39"/>
      <c r="O442" s="39"/>
      <c r="P442" s="39"/>
      <c r="Q442" s="39"/>
      <c r="R442" s="40"/>
      <c r="S442" s="40"/>
      <c r="T442" s="41"/>
      <c r="U442" s="42"/>
      <c r="V442" s="42"/>
      <c r="W442" s="43"/>
      <c r="X442" s="44"/>
      <c r="Y442" s="4"/>
      <c r="Z442" s="45"/>
      <c r="AA442" s="45"/>
      <c r="AB442" s="4"/>
    </row>
    <row r="443" spans="1:28" ht="25.5" x14ac:dyDescent="0.25">
      <c r="A443" s="78" t="s">
        <v>1546</v>
      </c>
      <c r="B443" s="101" t="s">
        <v>1547</v>
      </c>
      <c r="C443" s="101" t="s">
        <v>1548</v>
      </c>
      <c r="D443" s="101" t="s">
        <v>1549</v>
      </c>
      <c r="E443" s="75"/>
      <c r="F443" s="74" t="s">
        <v>860</v>
      </c>
      <c r="G443" s="74" t="s">
        <v>1550</v>
      </c>
      <c r="H443" s="74" t="s">
        <v>1551</v>
      </c>
      <c r="I443" s="39"/>
      <c r="J443" s="39"/>
      <c r="K443" s="39"/>
      <c r="L443" s="39"/>
      <c r="M443" s="39"/>
      <c r="N443" s="39"/>
      <c r="O443" s="39"/>
      <c r="P443" s="39"/>
      <c r="Q443" s="39"/>
      <c r="R443" s="40"/>
      <c r="S443" s="40"/>
      <c r="T443" s="41">
        <v>0</v>
      </c>
      <c r="U443" s="42"/>
      <c r="V443" s="42"/>
      <c r="W443" s="43"/>
      <c r="X443" s="44"/>
      <c r="Y443" s="4"/>
      <c r="Z443" s="45"/>
      <c r="AA443" s="45"/>
      <c r="AB443" s="4"/>
    </row>
    <row r="444" spans="1:28" ht="25.5" x14ac:dyDescent="0.25">
      <c r="A444" s="78" t="s">
        <v>1546</v>
      </c>
      <c r="B444" s="102"/>
      <c r="C444" s="102"/>
      <c r="D444" s="102"/>
      <c r="E444" s="76"/>
      <c r="F444" s="74" t="s">
        <v>863</v>
      </c>
      <c r="G444" s="74" t="s">
        <v>1552</v>
      </c>
      <c r="H444" s="74" t="s">
        <v>1551</v>
      </c>
      <c r="I444" s="39"/>
      <c r="J444" s="39"/>
      <c r="K444" s="39"/>
      <c r="L444" s="39"/>
      <c r="M444" s="39"/>
      <c r="N444" s="39"/>
      <c r="O444" s="39"/>
      <c r="P444" s="39"/>
      <c r="Q444" s="39"/>
      <c r="R444" s="40"/>
      <c r="S444" s="40"/>
      <c r="T444" s="41"/>
      <c r="U444" s="42"/>
      <c r="V444" s="42"/>
      <c r="W444" s="43"/>
      <c r="X444" s="44"/>
      <c r="Y444" s="4"/>
      <c r="Z444" s="45"/>
      <c r="AA444" s="45"/>
      <c r="AB444" s="4"/>
    </row>
    <row r="445" spans="1:28" ht="38.25" x14ac:dyDescent="0.25">
      <c r="A445" s="78" t="s">
        <v>1546</v>
      </c>
      <c r="B445" s="102"/>
      <c r="C445" s="102"/>
      <c r="D445" s="102"/>
      <c r="E445" s="76"/>
      <c r="F445" s="74" t="s">
        <v>865</v>
      </c>
      <c r="G445" s="74" t="s">
        <v>1553</v>
      </c>
      <c r="H445" s="74" t="s">
        <v>1554</v>
      </c>
      <c r="I445" s="39"/>
      <c r="J445" s="39"/>
      <c r="K445" s="39"/>
      <c r="L445" s="39"/>
      <c r="M445" s="39"/>
      <c r="N445" s="39"/>
      <c r="O445" s="39"/>
      <c r="P445" s="39"/>
      <c r="Q445" s="39"/>
      <c r="R445" s="40"/>
      <c r="S445" s="40"/>
      <c r="T445" s="41"/>
      <c r="U445" s="42"/>
      <c r="V445" s="42"/>
      <c r="W445" s="43"/>
      <c r="X445" s="44"/>
      <c r="Y445" s="4"/>
      <c r="Z445" s="45"/>
      <c r="AA445" s="45"/>
      <c r="AB445" s="4"/>
    </row>
    <row r="446" spans="1:28" ht="38.25" x14ac:dyDescent="0.25">
      <c r="A446" s="78" t="s">
        <v>1546</v>
      </c>
      <c r="B446" s="103"/>
      <c r="C446" s="103"/>
      <c r="D446" s="103"/>
      <c r="E446" s="77"/>
      <c r="F446" s="74" t="s">
        <v>867</v>
      </c>
      <c r="G446" s="74" t="s">
        <v>1555</v>
      </c>
      <c r="H446" s="74" t="s">
        <v>1554</v>
      </c>
      <c r="I446" s="39"/>
      <c r="J446" s="39"/>
      <c r="K446" s="39"/>
      <c r="L446" s="39"/>
      <c r="M446" s="39"/>
      <c r="N446" s="39"/>
      <c r="O446" s="39"/>
      <c r="P446" s="39"/>
      <c r="Q446" s="39"/>
      <c r="R446" s="40"/>
      <c r="S446" s="40"/>
      <c r="T446" s="41"/>
      <c r="U446" s="42"/>
      <c r="V446" s="42"/>
      <c r="W446" s="43"/>
      <c r="X446" s="44"/>
      <c r="Y446" s="4"/>
      <c r="Z446" s="45"/>
      <c r="AA446" s="45"/>
      <c r="AB446" s="4"/>
    </row>
    <row r="447" spans="1:28" ht="76.5" x14ac:dyDescent="0.25">
      <c r="A447" s="78" t="s">
        <v>1556</v>
      </c>
      <c r="B447" s="101" t="s">
        <v>1557</v>
      </c>
      <c r="C447" s="101" t="s">
        <v>599</v>
      </c>
      <c r="D447" s="101" t="s">
        <v>1558</v>
      </c>
      <c r="E447" s="75"/>
      <c r="F447" s="74" t="s">
        <v>860</v>
      </c>
      <c r="G447" s="74" t="s">
        <v>441</v>
      </c>
      <c r="H447" s="74" t="s">
        <v>442</v>
      </c>
      <c r="I447" s="39"/>
      <c r="J447" s="39"/>
      <c r="K447" s="39"/>
      <c r="L447" s="39"/>
      <c r="M447" s="39"/>
      <c r="N447" s="39"/>
      <c r="O447" s="39"/>
      <c r="P447" s="39"/>
      <c r="Q447" s="39"/>
      <c r="R447" s="40"/>
      <c r="S447" s="40"/>
      <c r="T447" s="41"/>
      <c r="U447" s="42"/>
      <c r="V447" s="42"/>
      <c r="W447" s="43"/>
      <c r="X447" s="44"/>
      <c r="Y447" s="4"/>
      <c r="Z447" s="45"/>
      <c r="AA447" s="45"/>
      <c r="AB447" s="4"/>
    </row>
    <row r="448" spans="1:28" ht="51" x14ac:dyDescent="0.25">
      <c r="A448" s="78" t="s">
        <v>1556</v>
      </c>
      <c r="B448" s="103"/>
      <c r="C448" s="103"/>
      <c r="D448" s="103"/>
      <c r="E448" s="77"/>
      <c r="F448" s="74" t="s">
        <v>863</v>
      </c>
      <c r="G448" s="74" t="s">
        <v>1244</v>
      </c>
      <c r="H448" s="74" t="s">
        <v>604</v>
      </c>
      <c r="I448" s="39"/>
      <c r="J448" s="39"/>
      <c r="K448" s="39"/>
      <c r="L448" s="39"/>
      <c r="M448" s="39"/>
      <c r="N448" s="39"/>
      <c r="O448" s="39"/>
      <c r="P448" s="39"/>
      <c r="Q448" s="39"/>
      <c r="R448" s="40"/>
      <c r="S448" s="40"/>
      <c r="T448" s="41"/>
      <c r="U448" s="42"/>
      <c r="V448" s="42"/>
      <c r="W448" s="43"/>
      <c r="X448" s="44"/>
      <c r="Y448" s="4"/>
      <c r="Z448" s="45"/>
      <c r="AA448" s="45"/>
      <c r="AB448" s="4"/>
    </row>
    <row r="449" spans="1:28" ht="89.25" x14ac:dyDescent="0.25">
      <c r="A449" s="78" t="s">
        <v>1559</v>
      </c>
      <c r="B449" s="74" t="s">
        <v>1560</v>
      </c>
      <c r="C449" s="74" t="s">
        <v>1449</v>
      </c>
      <c r="D449" s="74" t="s">
        <v>1450</v>
      </c>
      <c r="E449" s="74"/>
      <c r="F449" s="74" t="s">
        <v>860</v>
      </c>
      <c r="G449" s="74" t="s">
        <v>422</v>
      </c>
      <c r="H449" s="74" t="s">
        <v>423</v>
      </c>
      <c r="I449" s="39"/>
      <c r="J449" s="39"/>
      <c r="K449" s="39"/>
      <c r="L449" s="39"/>
      <c r="M449" s="39"/>
      <c r="N449" s="39"/>
      <c r="O449" s="39"/>
      <c r="P449" s="39"/>
      <c r="Q449" s="39"/>
      <c r="R449" s="40"/>
      <c r="S449" s="40"/>
      <c r="T449" s="41"/>
      <c r="U449" s="42"/>
      <c r="V449" s="42"/>
      <c r="W449" s="43"/>
      <c r="X449" s="44"/>
      <c r="Y449" s="4"/>
      <c r="Z449" s="45"/>
      <c r="AA449" s="45"/>
      <c r="AB449" s="4"/>
    </row>
    <row r="450" spans="1:28" ht="409.5" x14ac:dyDescent="0.25">
      <c r="A450" s="78" t="s">
        <v>1561</v>
      </c>
      <c r="B450" s="101" t="s">
        <v>1562</v>
      </c>
      <c r="C450" s="101" t="s">
        <v>804</v>
      </c>
      <c r="D450" s="74" t="s">
        <v>805</v>
      </c>
      <c r="E450" s="74"/>
      <c r="F450" s="74" t="s">
        <v>860</v>
      </c>
      <c r="G450" s="74" t="s">
        <v>807</v>
      </c>
      <c r="H450" s="74" t="s">
        <v>808</v>
      </c>
      <c r="I450" s="39"/>
      <c r="J450" s="39"/>
      <c r="K450" s="39"/>
      <c r="L450" s="39"/>
      <c r="M450" s="39"/>
      <c r="N450" s="39"/>
      <c r="O450" s="39"/>
      <c r="P450" s="39"/>
      <c r="Q450" s="39"/>
      <c r="R450" s="40"/>
      <c r="S450" s="40"/>
      <c r="T450" s="41"/>
      <c r="U450" s="42"/>
      <c r="V450" s="42"/>
      <c r="W450" s="43"/>
      <c r="X450" s="44"/>
      <c r="Y450" s="4"/>
      <c r="Z450" s="45"/>
      <c r="AA450" s="45"/>
      <c r="AB450" s="4"/>
    </row>
    <row r="451" spans="1:28" ht="409.5" x14ac:dyDescent="0.25">
      <c r="A451" s="78" t="s">
        <v>1561</v>
      </c>
      <c r="B451" s="103"/>
      <c r="C451" s="103"/>
      <c r="D451" s="74" t="s">
        <v>805</v>
      </c>
      <c r="E451" s="74"/>
      <c r="F451" s="74" t="s">
        <v>863</v>
      </c>
      <c r="G451" s="74" t="s">
        <v>811</v>
      </c>
      <c r="H451" s="74" t="s">
        <v>812</v>
      </c>
      <c r="I451" s="39"/>
      <c r="J451" s="39"/>
      <c r="K451" s="39"/>
      <c r="L451" s="39"/>
      <c r="M451" s="39"/>
      <c r="N451" s="39"/>
      <c r="O451" s="39"/>
      <c r="P451" s="39"/>
      <c r="Q451" s="39"/>
      <c r="R451" s="40"/>
      <c r="S451" s="40"/>
      <c r="T451" s="41"/>
      <c r="U451" s="42"/>
      <c r="V451" s="42"/>
      <c r="W451" s="43"/>
      <c r="X451" s="44"/>
      <c r="Y451" s="4"/>
      <c r="Z451" s="45"/>
      <c r="AA451" s="45"/>
      <c r="AB451" s="4"/>
    </row>
    <row r="452" spans="1:28" ht="229.5" x14ac:dyDescent="0.25">
      <c r="A452" s="78" t="s">
        <v>1563</v>
      </c>
      <c r="B452" s="98" t="s">
        <v>1564</v>
      </c>
      <c r="C452" s="101" t="s">
        <v>1565</v>
      </c>
      <c r="D452" s="74" t="s">
        <v>1566</v>
      </c>
      <c r="E452" s="74"/>
      <c r="F452" s="74" t="s">
        <v>860</v>
      </c>
      <c r="G452" s="74" t="s">
        <v>257</v>
      </c>
      <c r="H452" s="74" t="s">
        <v>258</v>
      </c>
      <c r="I452" s="39"/>
      <c r="J452" s="39"/>
      <c r="K452" s="39"/>
      <c r="L452" s="39"/>
      <c r="M452" s="39"/>
      <c r="N452" s="39"/>
      <c r="O452" s="39"/>
      <c r="P452" s="39"/>
      <c r="Q452" s="39"/>
      <c r="R452" s="40"/>
      <c r="S452" s="40"/>
      <c r="T452" s="111">
        <v>1</v>
      </c>
      <c r="U452" s="42"/>
      <c r="V452" s="42"/>
      <c r="W452" s="43"/>
      <c r="X452" s="44"/>
      <c r="Y452" s="4"/>
      <c r="Z452" s="45"/>
      <c r="AA452" s="45"/>
      <c r="AB452" s="4"/>
    </row>
    <row r="453" spans="1:28" ht="229.5" x14ac:dyDescent="0.25">
      <c r="A453" s="78" t="s">
        <v>1563</v>
      </c>
      <c r="B453" s="100"/>
      <c r="C453" s="103"/>
      <c r="D453" s="74" t="s">
        <v>1566</v>
      </c>
      <c r="E453" s="74"/>
      <c r="F453" s="74" t="s">
        <v>863</v>
      </c>
      <c r="G453" s="74" t="s">
        <v>253</v>
      </c>
      <c r="H453" s="74" t="s">
        <v>254</v>
      </c>
      <c r="I453" s="39"/>
      <c r="J453" s="39"/>
      <c r="K453" s="39"/>
      <c r="L453" s="39"/>
      <c r="M453" s="39"/>
      <c r="N453" s="39"/>
      <c r="O453" s="39"/>
      <c r="P453" s="39"/>
      <c r="Q453" s="39"/>
      <c r="R453" s="40"/>
      <c r="S453" s="40"/>
      <c r="T453" s="111"/>
      <c r="U453" s="42"/>
      <c r="V453" s="42"/>
      <c r="W453" s="43"/>
      <c r="X453" s="44"/>
      <c r="Y453" s="4"/>
      <c r="Z453" s="45"/>
      <c r="AA453" s="45"/>
      <c r="AB453" s="4"/>
    </row>
    <row r="454" spans="1:28" ht="267.75" x14ac:dyDescent="0.25">
      <c r="A454" s="78" t="s">
        <v>1567</v>
      </c>
      <c r="B454" s="98" t="s">
        <v>1568</v>
      </c>
      <c r="C454" s="101" t="s">
        <v>1569</v>
      </c>
      <c r="D454" s="74" t="s">
        <v>1570</v>
      </c>
      <c r="E454" s="74"/>
      <c r="F454" s="74" t="s">
        <v>860</v>
      </c>
      <c r="G454" s="74" t="s">
        <v>257</v>
      </c>
      <c r="H454" s="74" t="s">
        <v>258</v>
      </c>
      <c r="I454" s="39"/>
      <c r="J454" s="39"/>
      <c r="K454" s="39"/>
      <c r="L454" s="39"/>
      <c r="M454" s="39"/>
      <c r="N454" s="39"/>
      <c r="O454" s="39"/>
      <c r="P454" s="39"/>
      <c r="Q454" s="39"/>
      <c r="R454" s="40"/>
      <c r="S454" s="40"/>
      <c r="T454" s="41"/>
      <c r="U454" s="42"/>
      <c r="V454" s="42"/>
      <c r="W454" s="43"/>
      <c r="X454" s="44"/>
      <c r="Y454" s="4"/>
      <c r="Z454" s="45"/>
      <c r="AA454" s="45"/>
      <c r="AB454" s="4"/>
    </row>
    <row r="455" spans="1:28" ht="267.75" x14ac:dyDescent="0.25">
      <c r="A455" s="78" t="s">
        <v>1567</v>
      </c>
      <c r="B455" s="100"/>
      <c r="C455" s="103"/>
      <c r="D455" s="74" t="s">
        <v>1570</v>
      </c>
      <c r="E455" s="74"/>
      <c r="F455" s="74" t="s">
        <v>863</v>
      </c>
      <c r="G455" s="74" t="s">
        <v>253</v>
      </c>
      <c r="H455" s="74" t="s">
        <v>254</v>
      </c>
      <c r="I455" s="39"/>
      <c r="J455" s="39"/>
      <c r="K455" s="39"/>
      <c r="L455" s="39"/>
      <c r="M455" s="39"/>
      <c r="N455" s="39"/>
      <c r="O455" s="39"/>
      <c r="P455" s="39"/>
      <c r="Q455" s="39"/>
      <c r="R455" s="40"/>
      <c r="S455" s="40"/>
      <c r="T455" s="41"/>
      <c r="U455" s="42"/>
      <c r="V455" s="42"/>
      <c r="W455" s="43"/>
      <c r="X455" s="44"/>
      <c r="Y455" s="4"/>
      <c r="Z455" s="45"/>
      <c r="AA455" s="45"/>
      <c r="AB455" s="4"/>
    </row>
    <row r="456" spans="1:28" ht="76.5" x14ac:dyDescent="0.25">
      <c r="A456" s="78" t="s">
        <v>1571</v>
      </c>
      <c r="B456" s="98" t="s">
        <v>1572</v>
      </c>
      <c r="C456" s="107" t="s">
        <v>1483</v>
      </c>
      <c r="D456" s="107" t="s">
        <v>1484</v>
      </c>
      <c r="E456" s="82"/>
      <c r="F456" s="83" t="s">
        <v>860</v>
      </c>
      <c r="G456" s="83" t="s">
        <v>772</v>
      </c>
      <c r="H456" s="83" t="s">
        <v>668</v>
      </c>
      <c r="I456" s="39"/>
      <c r="J456" s="39"/>
      <c r="K456" s="39"/>
      <c r="L456" s="39"/>
      <c r="M456" s="39"/>
      <c r="N456" s="39"/>
      <c r="O456" s="39"/>
      <c r="P456" s="39"/>
      <c r="Q456" s="39"/>
      <c r="R456" s="40"/>
      <c r="S456" s="40"/>
      <c r="T456" s="111">
        <v>1</v>
      </c>
      <c r="U456" s="42"/>
      <c r="V456" s="42"/>
      <c r="W456" s="43"/>
      <c r="X456" s="44"/>
      <c r="Y456" s="4"/>
      <c r="Z456" s="45"/>
      <c r="AA456" s="45"/>
      <c r="AB456" s="4"/>
    </row>
    <row r="457" spans="1:28" ht="38.25" x14ac:dyDescent="0.25">
      <c r="A457" s="78" t="s">
        <v>1571</v>
      </c>
      <c r="B457" s="100"/>
      <c r="C457" s="109"/>
      <c r="D457" s="109"/>
      <c r="E457" s="84"/>
      <c r="F457" s="83" t="s">
        <v>863</v>
      </c>
      <c r="G457" s="83" t="s">
        <v>630</v>
      </c>
      <c r="H457" s="83" t="s">
        <v>631</v>
      </c>
      <c r="I457" s="39"/>
      <c r="J457" s="39"/>
      <c r="K457" s="39"/>
      <c r="L457" s="39"/>
      <c r="M457" s="39"/>
      <c r="N457" s="39"/>
      <c r="O457" s="39"/>
      <c r="P457" s="39"/>
      <c r="Q457" s="39"/>
      <c r="R457" s="40"/>
      <c r="S457" s="40"/>
      <c r="T457" s="111"/>
      <c r="U457" s="42"/>
      <c r="V457" s="42"/>
      <c r="W457" s="43"/>
      <c r="X457" s="44"/>
      <c r="Y457" s="4"/>
      <c r="Z457" s="45"/>
      <c r="AA457" s="45"/>
      <c r="AB457" s="4"/>
    </row>
    <row r="458" spans="1:28" ht="76.5" x14ac:dyDescent="0.25">
      <c r="A458" s="78" t="s">
        <v>1573</v>
      </c>
      <c r="B458" s="98" t="s">
        <v>1574</v>
      </c>
      <c r="C458" s="107" t="s">
        <v>1483</v>
      </c>
      <c r="D458" s="107" t="s">
        <v>1484</v>
      </c>
      <c r="E458" s="82"/>
      <c r="F458" s="83" t="s">
        <v>860</v>
      </c>
      <c r="G458" s="83" t="s">
        <v>772</v>
      </c>
      <c r="H458" s="83" t="s">
        <v>668</v>
      </c>
      <c r="I458" s="39"/>
      <c r="J458" s="39"/>
      <c r="K458" s="39"/>
      <c r="L458" s="39"/>
      <c r="M458" s="39"/>
      <c r="N458" s="39"/>
      <c r="O458" s="39"/>
      <c r="P458" s="39"/>
      <c r="Q458" s="39"/>
      <c r="R458" s="40"/>
      <c r="S458" s="40"/>
      <c r="T458" s="41"/>
      <c r="U458" s="42"/>
      <c r="V458" s="42"/>
      <c r="W458" s="43"/>
      <c r="X458" s="44"/>
      <c r="Y458" s="4"/>
      <c r="Z458" s="45"/>
      <c r="AA458" s="45"/>
      <c r="AB458" s="4"/>
    </row>
    <row r="459" spans="1:28" ht="38.25" x14ac:dyDescent="0.25">
      <c r="A459" s="78" t="s">
        <v>1573</v>
      </c>
      <c r="B459" s="100"/>
      <c r="C459" s="109"/>
      <c r="D459" s="109"/>
      <c r="E459" s="84"/>
      <c r="F459" s="83" t="s">
        <v>863</v>
      </c>
      <c r="G459" s="83" t="s">
        <v>630</v>
      </c>
      <c r="H459" s="83" t="s">
        <v>631</v>
      </c>
      <c r="I459" s="39"/>
      <c r="J459" s="39"/>
      <c r="K459" s="39"/>
      <c r="L459" s="39"/>
      <c r="M459" s="39"/>
      <c r="N459" s="39"/>
      <c r="O459" s="39"/>
      <c r="P459" s="39"/>
      <c r="Q459" s="39"/>
      <c r="R459" s="40"/>
      <c r="S459" s="40"/>
      <c r="T459" s="41"/>
      <c r="U459" s="42"/>
      <c r="V459" s="42"/>
      <c r="W459" s="43"/>
      <c r="X459" s="44"/>
      <c r="Y459" s="4"/>
      <c r="Z459" s="45"/>
      <c r="AA459" s="45"/>
      <c r="AB459" s="4"/>
    </row>
    <row r="460" spans="1:28" ht="60" x14ac:dyDescent="0.25">
      <c r="A460" s="78" t="s">
        <v>1575</v>
      </c>
      <c r="B460" s="98" t="s">
        <v>1576</v>
      </c>
      <c r="C460" s="107" t="s">
        <v>1483</v>
      </c>
      <c r="D460" s="107" t="s">
        <v>1484</v>
      </c>
      <c r="E460" s="82"/>
      <c r="F460" s="83" t="s">
        <v>860</v>
      </c>
      <c r="G460" s="83" t="s">
        <v>630</v>
      </c>
      <c r="H460" s="83" t="s">
        <v>631</v>
      </c>
      <c r="I460" s="39"/>
      <c r="J460" s="39"/>
      <c r="K460" s="39"/>
      <c r="L460" s="39"/>
      <c r="M460" s="39"/>
      <c r="N460" s="39"/>
      <c r="O460" s="39"/>
      <c r="P460" s="39"/>
      <c r="Q460" s="39"/>
      <c r="R460" s="40"/>
      <c r="S460" s="40"/>
      <c r="T460" s="41">
        <v>0.8</v>
      </c>
      <c r="U460" s="42" t="s">
        <v>1485</v>
      </c>
      <c r="V460" s="42"/>
      <c r="W460" s="43"/>
      <c r="X460" s="44"/>
      <c r="Y460" s="4"/>
      <c r="Z460" s="45"/>
      <c r="AA460" s="45"/>
      <c r="AB460" s="4"/>
    </row>
    <row r="461" spans="1:28" ht="76.5" x14ac:dyDescent="0.25">
      <c r="A461" s="78" t="s">
        <v>1575</v>
      </c>
      <c r="B461" s="100"/>
      <c r="C461" s="109"/>
      <c r="D461" s="109"/>
      <c r="E461" s="84"/>
      <c r="F461" s="83" t="s">
        <v>863</v>
      </c>
      <c r="G461" s="83" t="s">
        <v>772</v>
      </c>
      <c r="H461" s="83" t="s">
        <v>668</v>
      </c>
      <c r="I461" s="39"/>
      <c r="J461" s="39"/>
      <c r="K461" s="39"/>
      <c r="L461" s="39"/>
      <c r="M461" s="39"/>
      <c r="N461" s="39"/>
      <c r="O461" s="39"/>
      <c r="P461" s="39"/>
      <c r="Q461" s="39"/>
      <c r="R461" s="40"/>
      <c r="S461" s="40"/>
      <c r="T461" s="41"/>
      <c r="U461" s="42"/>
      <c r="V461" s="42"/>
      <c r="W461" s="43"/>
      <c r="X461" s="44"/>
      <c r="Y461" s="4"/>
      <c r="Z461" s="45"/>
      <c r="AA461" s="45"/>
      <c r="AB461" s="4"/>
    </row>
    <row r="462" spans="1:28" ht="409.5" x14ac:dyDescent="0.25">
      <c r="A462" s="78" t="s">
        <v>1577</v>
      </c>
      <c r="B462" s="98" t="s">
        <v>1578</v>
      </c>
      <c r="C462" s="101" t="s">
        <v>1509</v>
      </c>
      <c r="D462" s="101" t="s">
        <v>1510</v>
      </c>
      <c r="E462" s="75"/>
      <c r="F462" s="74" t="s">
        <v>860</v>
      </c>
      <c r="G462" s="74" t="s">
        <v>1511</v>
      </c>
      <c r="H462" s="74" t="s">
        <v>1512</v>
      </c>
      <c r="I462" s="39"/>
      <c r="J462" s="39"/>
      <c r="K462" s="39"/>
      <c r="L462" s="39"/>
      <c r="M462" s="39"/>
      <c r="N462" s="39"/>
      <c r="O462" s="39"/>
      <c r="P462" s="39"/>
      <c r="Q462" s="39"/>
      <c r="R462" s="40"/>
      <c r="S462" s="40"/>
      <c r="T462" s="41"/>
      <c r="U462" s="42"/>
      <c r="V462" s="42"/>
      <c r="W462" s="43"/>
      <c r="X462" s="44"/>
      <c r="Y462" s="4"/>
      <c r="Z462" s="45"/>
      <c r="AA462" s="45"/>
      <c r="AB462" s="4"/>
    </row>
    <row r="463" spans="1:28" ht="409.5" x14ac:dyDescent="0.25">
      <c r="A463" s="78" t="s">
        <v>1577</v>
      </c>
      <c r="B463" s="100"/>
      <c r="C463" s="103"/>
      <c r="D463" s="103"/>
      <c r="E463" s="77"/>
      <c r="F463" s="74" t="s">
        <v>863</v>
      </c>
      <c r="G463" s="74" t="s">
        <v>1513</v>
      </c>
      <c r="H463" s="74" t="s">
        <v>1512</v>
      </c>
      <c r="I463" s="39"/>
      <c r="J463" s="39"/>
      <c r="K463" s="39"/>
      <c r="L463" s="39"/>
      <c r="M463" s="39"/>
      <c r="N463" s="39"/>
      <c r="O463" s="39"/>
      <c r="P463" s="39"/>
      <c r="Q463" s="39"/>
      <c r="R463" s="40"/>
      <c r="S463" s="40"/>
      <c r="T463" s="41"/>
      <c r="U463" s="42"/>
      <c r="V463" s="42"/>
      <c r="W463" s="43"/>
      <c r="X463" s="44"/>
      <c r="Y463" s="4"/>
      <c r="Z463" s="45"/>
      <c r="AA463" s="45"/>
      <c r="AB463" s="4"/>
    </row>
    <row r="464" spans="1:28" ht="25.5" x14ac:dyDescent="0.25">
      <c r="A464" s="78" t="s">
        <v>1579</v>
      </c>
      <c r="B464" s="101" t="s">
        <v>1580</v>
      </c>
      <c r="C464" s="101" t="s">
        <v>1581</v>
      </c>
      <c r="D464" s="101" t="s">
        <v>1582</v>
      </c>
      <c r="E464" s="75"/>
      <c r="F464" s="74" t="s">
        <v>860</v>
      </c>
      <c r="G464" s="74" t="s">
        <v>735</v>
      </c>
      <c r="H464" s="74" t="s">
        <v>736</v>
      </c>
      <c r="I464" s="39"/>
      <c r="J464" s="39"/>
      <c r="K464" s="39"/>
      <c r="L464" s="39"/>
      <c r="M464" s="39"/>
      <c r="N464" s="39"/>
      <c r="O464" s="39"/>
      <c r="P464" s="39"/>
      <c r="Q464" s="39"/>
      <c r="R464" s="40"/>
      <c r="S464" s="40"/>
      <c r="T464" s="41"/>
      <c r="U464" s="42"/>
      <c r="V464" s="42"/>
      <c r="W464" s="43"/>
      <c r="X464" s="44"/>
      <c r="Y464" s="4"/>
      <c r="Z464" s="45"/>
      <c r="AA464" s="45"/>
      <c r="AB464" s="4"/>
    </row>
    <row r="465" spans="1:28" ht="38.25" x14ac:dyDescent="0.25">
      <c r="A465" s="78" t="s">
        <v>1579</v>
      </c>
      <c r="B465" s="102"/>
      <c r="C465" s="102"/>
      <c r="D465" s="102"/>
      <c r="E465" s="76"/>
      <c r="F465" s="74" t="s">
        <v>863</v>
      </c>
      <c r="G465" s="74" t="s">
        <v>1583</v>
      </c>
      <c r="H465" s="74" t="s">
        <v>1584</v>
      </c>
      <c r="I465" s="39"/>
      <c r="J465" s="39"/>
      <c r="K465" s="39"/>
      <c r="L465" s="39"/>
      <c r="M465" s="39"/>
      <c r="N465" s="39"/>
      <c r="O465" s="39"/>
      <c r="P465" s="39"/>
      <c r="Q465" s="39"/>
      <c r="R465" s="40"/>
      <c r="S465" s="40"/>
      <c r="T465" s="41"/>
      <c r="U465" s="42"/>
      <c r="V465" s="42"/>
      <c r="W465" s="43"/>
      <c r="X465" s="44"/>
      <c r="Y465" s="4"/>
      <c r="Z465" s="45"/>
      <c r="AA465" s="45"/>
      <c r="AB465" s="4"/>
    </row>
    <row r="466" spans="1:28" ht="38.25" x14ac:dyDescent="0.25">
      <c r="A466" s="78" t="s">
        <v>1579</v>
      </c>
      <c r="B466" s="102"/>
      <c r="C466" s="102"/>
      <c r="D466" s="102"/>
      <c r="E466" s="76"/>
      <c r="F466" s="74" t="s">
        <v>865</v>
      </c>
      <c r="G466" s="74" t="s">
        <v>1585</v>
      </c>
      <c r="H466" s="74" t="s">
        <v>1586</v>
      </c>
      <c r="I466" s="39"/>
      <c r="J466" s="39"/>
      <c r="K466" s="39"/>
      <c r="L466" s="39"/>
      <c r="M466" s="39"/>
      <c r="N466" s="39"/>
      <c r="O466" s="39"/>
      <c r="P466" s="39"/>
      <c r="Q466" s="39"/>
      <c r="R466" s="40"/>
      <c r="S466" s="40"/>
      <c r="T466" s="41"/>
      <c r="U466" s="42"/>
      <c r="V466" s="42"/>
      <c r="W466" s="43"/>
      <c r="X466" s="44"/>
      <c r="Y466" s="4"/>
      <c r="Z466" s="45"/>
      <c r="AA466" s="45"/>
      <c r="AB466" s="4"/>
    </row>
    <row r="467" spans="1:28" ht="25.5" x14ac:dyDescent="0.25">
      <c r="A467" s="78" t="s">
        <v>1579</v>
      </c>
      <c r="B467" s="103"/>
      <c r="C467" s="103"/>
      <c r="D467" s="103"/>
      <c r="E467" s="77"/>
      <c r="F467" s="74" t="s">
        <v>867</v>
      </c>
      <c r="G467" s="74" t="s">
        <v>738</v>
      </c>
      <c r="H467" s="74" t="s">
        <v>739</v>
      </c>
      <c r="I467" s="39"/>
      <c r="J467" s="39"/>
      <c r="K467" s="39"/>
      <c r="L467" s="39"/>
      <c r="M467" s="39"/>
      <c r="N467" s="39"/>
      <c r="O467" s="39"/>
      <c r="P467" s="39"/>
      <c r="Q467" s="39"/>
      <c r="R467" s="40"/>
      <c r="S467" s="40"/>
      <c r="T467" s="41"/>
      <c r="U467" s="42"/>
      <c r="V467" s="42"/>
      <c r="W467" s="43"/>
      <c r="X467" s="44"/>
      <c r="Y467" s="4"/>
      <c r="Z467" s="45"/>
      <c r="AA467" s="45"/>
      <c r="AB467" s="4"/>
    </row>
    <row r="468" spans="1:28" ht="344.25" x14ac:dyDescent="0.25">
      <c r="A468" s="78" t="s">
        <v>1587</v>
      </c>
      <c r="B468" s="74" t="s">
        <v>1588</v>
      </c>
      <c r="C468" s="74" t="s">
        <v>1589</v>
      </c>
      <c r="D468" s="74" t="s">
        <v>1590</v>
      </c>
      <c r="E468" s="74"/>
      <c r="F468" s="74" t="s">
        <v>860</v>
      </c>
      <c r="G468" s="74" t="s">
        <v>1591</v>
      </c>
      <c r="H468" s="74" t="s">
        <v>1592</v>
      </c>
      <c r="I468" s="39"/>
      <c r="J468" s="39"/>
      <c r="K468" s="39"/>
      <c r="L468" s="39"/>
      <c r="M468" s="39"/>
      <c r="N468" s="39"/>
      <c r="O468" s="39"/>
      <c r="P468" s="39"/>
      <c r="Q468" s="39"/>
      <c r="R468" s="40"/>
      <c r="S468" s="40"/>
      <c r="T468" s="41"/>
      <c r="U468" s="42"/>
      <c r="V468" s="42"/>
      <c r="W468" s="43"/>
      <c r="X468" s="44"/>
      <c r="Y468" s="4"/>
      <c r="Z468" s="45"/>
      <c r="AA468" s="45"/>
      <c r="AB468" s="4"/>
    </row>
    <row r="469" spans="1:28" ht="216.75" x14ac:dyDescent="0.25">
      <c r="A469" s="78" t="s">
        <v>1593</v>
      </c>
      <c r="B469" s="101" t="s">
        <v>1594</v>
      </c>
      <c r="C469" s="101" t="s">
        <v>1595</v>
      </c>
      <c r="D469" s="101" t="s">
        <v>1596</v>
      </c>
      <c r="E469" s="75"/>
      <c r="F469" s="74" t="s">
        <v>860</v>
      </c>
      <c r="G469" s="74" t="s">
        <v>1596</v>
      </c>
      <c r="H469" s="74" t="s">
        <v>1595</v>
      </c>
      <c r="I469" s="39"/>
      <c r="J469" s="39"/>
      <c r="K469" s="39"/>
      <c r="L469" s="39"/>
      <c r="M469" s="39"/>
      <c r="N469" s="39"/>
      <c r="O469" s="39"/>
      <c r="P469" s="39"/>
      <c r="Q469" s="39"/>
      <c r="R469" s="40"/>
      <c r="S469" s="40"/>
      <c r="T469" s="41">
        <v>0</v>
      </c>
      <c r="U469" s="42"/>
      <c r="V469" s="42"/>
      <c r="W469" s="43"/>
      <c r="X469" s="44"/>
      <c r="Y469" s="4"/>
      <c r="Z469" s="45"/>
      <c r="AA469" s="45"/>
      <c r="AB469" s="4"/>
    </row>
    <row r="470" spans="1:28" ht="216.75" x14ac:dyDescent="0.25">
      <c r="A470" s="78" t="s">
        <v>1593</v>
      </c>
      <c r="B470" s="102"/>
      <c r="C470" s="102"/>
      <c r="D470" s="102"/>
      <c r="E470" s="76"/>
      <c r="F470" s="74" t="s">
        <v>863</v>
      </c>
      <c r="G470" s="74" t="s">
        <v>1596</v>
      </c>
      <c r="H470" s="74" t="s">
        <v>1595</v>
      </c>
      <c r="I470" s="39"/>
      <c r="J470" s="39"/>
      <c r="K470" s="39"/>
      <c r="L470" s="39"/>
      <c r="M470" s="39"/>
      <c r="N470" s="39"/>
      <c r="O470" s="39"/>
      <c r="P470" s="39"/>
      <c r="Q470" s="39"/>
      <c r="R470" s="40"/>
      <c r="S470" s="40"/>
      <c r="T470" s="41"/>
      <c r="U470" s="42"/>
      <c r="V470" s="42"/>
      <c r="W470" s="43"/>
      <c r="X470" s="44"/>
      <c r="Y470" s="4"/>
      <c r="Z470" s="45"/>
      <c r="AA470" s="45"/>
      <c r="AB470" s="4"/>
    </row>
    <row r="471" spans="1:28" ht="216.75" x14ac:dyDescent="0.25">
      <c r="A471" s="78" t="s">
        <v>1593</v>
      </c>
      <c r="B471" s="103"/>
      <c r="C471" s="103"/>
      <c r="D471" s="103"/>
      <c r="E471" s="77"/>
      <c r="F471" s="74" t="s">
        <v>865</v>
      </c>
      <c r="G471" s="74" t="s">
        <v>1597</v>
      </c>
      <c r="H471" s="74" t="s">
        <v>1595</v>
      </c>
      <c r="I471" s="39"/>
      <c r="J471" s="39"/>
      <c r="K471" s="39"/>
      <c r="L471" s="39"/>
      <c r="M471" s="39"/>
      <c r="N471" s="39"/>
      <c r="O471" s="39"/>
      <c r="P471" s="39"/>
      <c r="Q471" s="39"/>
      <c r="R471" s="40"/>
      <c r="S471" s="40"/>
      <c r="T471" s="41"/>
      <c r="U471" s="42"/>
      <c r="V471" s="42"/>
      <c r="W471" s="43"/>
      <c r="X471" s="44"/>
      <c r="Y471" s="4"/>
      <c r="Z471" s="45"/>
      <c r="AA471" s="45"/>
      <c r="AB471" s="4"/>
    </row>
    <row r="472" spans="1:28" ht="76.5" x14ac:dyDescent="0.25">
      <c r="A472" s="78" t="s">
        <v>1598</v>
      </c>
      <c r="B472" s="98" t="s">
        <v>1599</v>
      </c>
      <c r="C472" s="107" t="s">
        <v>1483</v>
      </c>
      <c r="D472" s="107" t="s">
        <v>1484</v>
      </c>
      <c r="E472" s="82"/>
      <c r="F472" s="83" t="s">
        <v>860</v>
      </c>
      <c r="G472" s="83" t="s">
        <v>772</v>
      </c>
      <c r="H472" s="83" t="s">
        <v>668</v>
      </c>
      <c r="I472" s="39"/>
      <c r="J472" s="39"/>
      <c r="K472" s="39"/>
      <c r="L472" s="39"/>
      <c r="M472" s="39"/>
      <c r="N472" s="39"/>
      <c r="O472" s="39"/>
      <c r="P472" s="39"/>
      <c r="Q472" s="39"/>
      <c r="R472" s="40"/>
      <c r="S472" s="40"/>
      <c r="T472" s="41"/>
      <c r="U472" s="42"/>
      <c r="V472" s="42"/>
      <c r="W472" s="43"/>
      <c r="X472" s="44"/>
      <c r="Y472" s="4"/>
      <c r="Z472" s="45"/>
      <c r="AA472" s="45"/>
      <c r="AB472" s="4"/>
    </row>
    <row r="473" spans="1:28" ht="38.25" x14ac:dyDescent="0.25">
      <c r="A473" s="78" t="s">
        <v>1598</v>
      </c>
      <c r="B473" s="100"/>
      <c r="C473" s="109"/>
      <c r="D473" s="109"/>
      <c r="E473" s="84"/>
      <c r="F473" s="83" t="s">
        <v>863</v>
      </c>
      <c r="G473" s="83" t="s">
        <v>630</v>
      </c>
      <c r="H473" s="83" t="s">
        <v>631</v>
      </c>
      <c r="I473" s="39"/>
      <c r="J473" s="39"/>
      <c r="K473" s="39"/>
      <c r="L473" s="39"/>
      <c r="M473" s="39"/>
      <c r="N473" s="39"/>
      <c r="O473" s="39"/>
      <c r="P473" s="39"/>
      <c r="Q473" s="39"/>
      <c r="R473" s="40"/>
      <c r="S473" s="40"/>
      <c r="T473" s="41"/>
      <c r="U473" s="42"/>
      <c r="V473" s="42"/>
      <c r="W473" s="43"/>
      <c r="X473" s="44"/>
      <c r="Y473" s="4"/>
      <c r="Z473" s="45"/>
      <c r="AA473" s="45"/>
      <c r="AB473" s="4"/>
    </row>
    <row r="474" spans="1:28" ht="76.5" x14ac:dyDescent="0.25">
      <c r="A474" s="78" t="s">
        <v>1600</v>
      </c>
      <c r="B474" s="98" t="s">
        <v>1601</v>
      </c>
      <c r="C474" s="107" t="s">
        <v>1483</v>
      </c>
      <c r="D474" s="107" t="s">
        <v>1484</v>
      </c>
      <c r="E474" s="82"/>
      <c r="F474" s="83" t="s">
        <v>860</v>
      </c>
      <c r="G474" s="83" t="s">
        <v>772</v>
      </c>
      <c r="H474" s="83" t="s">
        <v>668</v>
      </c>
      <c r="I474" s="39"/>
      <c r="J474" s="39"/>
      <c r="K474" s="39"/>
      <c r="L474" s="39"/>
      <c r="M474" s="39"/>
      <c r="N474" s="39"/>
      <c r="O474" s="39"/>
      <c r="P474" s="39"/>
      <c r="Q474" s="39"/>
      <c r="R474" s="40"/>
      <c r="S474" s="40"/>
      <c r="T474" s="41"/>
      <c r="U474" s="42"/>
      <c r="V474" s="42"/>
      <c r="W474" s="43"/>
      <c r="X474" s="44"/>
      <c r="Y474" s="4"/>
      <c r="Z474" s="45"/>
      <c r="AA474" s="45"/>
      <c r="AB474" s="4"/>
    </row>
    <row r="475" spans="1:28" ht="38.25" x14ac:dyDescent="0.25">
      <c r="A475" s="78" t="s">
        <v>1600</v>
      </c>
      <c r="B475" s="100"/>
      <c r="C475" s="109"/>
      <c r="D475" s="109"/>
      <c r="E475" s="84"/>
      <c r="F475" s="83" t="s">
        <v>863</v>
      </c>
      <c r="G475" s="83" t="s">
        <v>630</v>
      </c>
      <c r="H475" s="83" t="s">
        <v>631</v>
      </c>
      <c r="I475" s="39"/>
      <c r="J475" s="39"/>
      <c r="K475" s="39"/>
      <c r="L475" s="39"/>
      <c r="M475" s="39"/>
      <c r="N475" s="39"/>
      <c r="O475" s="39"/>
      <c r="P475" s="39"/>
      <c r="Q475" s="39"/>
      <c r="R475" s="40"/>
      <c r="S475" s="40"/>
      <c r="T475" s="41"/>
      <c r="U475" s="42"/>
      <c r="V475" s="42"/>
      <c r="W475" s="43"/>
      <c r="X475" s="44"/>
      <c r="Y475" s="4"/>
      <c r="Z475" s="45"/>
      <c r="AA475" s="45"/>
      <c r="AB475" s="4"/>
    </row>
    <row r="476" spans="1:28" ht="60" x14ac:dyDescent="0.25">
      <c r="A476" s="78" t="s">
        <v>1602</v>
      </c>
      <c r="B476" s="98" t="s">
        <v>1603</v>
      </c>
      <c r="C476" s="101" t="s">
        <v>1604</v>
      </c>
      <c r="D476" s="101" t="s">
        <v>1605</v>
      </c>
      <c r="E476" s="75"/>
      <c r="F476" s="74" t="s">
        <v>860</v>
      </c>
      <c r="G476" s="74" t="s">
        <v>1606</v>
      </c>
      <c r="H476" s="74" t="s">
        <v>1607</v>
      </c>
      <c r="I476" s="39"/>
      <c r="J476" s="39"/>
      <c r="K476" s="39"/>
      <c r="L476" s="39"/>
      <c r="M476" s="39"/>
      <c r="N476" s="39"/>
      <c r="O476" s="39"/>
      <c r="P476" s="39"/>
      <c r="Q476" s="39"/>
      <c r="R476" s="40"/>
      <c r="S476" s="40"/>
      <c r="T476" s="111">
        <v>0.33</v>
      </c>
      <c r="U476" s="42" t="s">
        <v>1608</v>
      </c>
      <c r="V476" s="42"/>
      <c r="W476" s="43"/>
      <c r="X476" s="44"/>
      <c r="Y476" s="4"/>
      <c r="Z476" s="45"/>
      <c r="AA476" s="45"/>
      <c r="AB476" s="4"/>
    </row>
    <row r="477" spans="1:28" ht="38.25" x14ac:dyDescent="0.25">
      <c r="A477" s="78" t="s">
        <v>1602</v>
      </c>
      <c r="B477" s="99"/>
      <c r="C477" s="102"/>
      <c r="D477" s="102"/>
      <c r="E477" s="76"/>
      <c r="F477" s="74" t="s">
        <v>863</v>
      </c>
      <c r="G477" s="74" t="s">
        <v>1609</v>
      </c>
      <c r="H477" s="74" t="s">
        <v>1607</v>
      </c>
      <c r="I477" s="39"/>
      <c r="J477" s="39"/>
      <c r="K477" s="39"/>
      <c r="L477" s="39"/>
      <c r="M477" s="39"/>
      <c r="N477" s="39"/>
      <c r="O477" s="39"/>
      <c r="P477" s="39"/>
      <c r="Q477" s="39"/>
      <c r="R477" s="40"/>
      <c r="S477" s="40"/>
      <c r="T477" s="111"/>
      <c r="U477" s="42"/>
      <c r="V477" s="42"/>
      <c r="W477" s="43"/>
      <c r="X477" s="44"/>
      <c r="Y477" s="4"/>
      <c r="Z477" s="45"/>
      <c r="AA477" s="45"/>
      <c r="AB477" s="4"/>
    </row>
    <row r="478" spans="1:28" ht="38.25" x14ac:dyDescent="0.25">
      <c r="A478" s="78" t="s">
        <v>1602</v>
      </c>
      <c r="B478" s="99"/>
      <c r="C478" s="102"/>
      <c r="D478" s="102"/>
      <c r="E478" s="76"/>
      <c r="F478" s="74" t="s">
        <v>865</v>
      </c>
      <c r="G478" s="74" t="s">
        <v>1610</v>
      </c>
      <c r="H478" s="74" t="s">
        <v>1607</v>
      </c>
      <c r="I478" s="39"/>
      <c r="J478" s="39"/>
      <c r="K478" s="39"/>
      <c r="L478" s="39"/>
      <c r="M478" s="39"/>
      <c r="N478" s="39"/>
      <c r="O478" s="39"/>
      <c r="P478" s="39"/>
      <c r="Q478" s="39"/>
      <c r="R478" s="40"/>
      <c r="S478" s="40"/>
      <c r="T478" s="111"/>
      <c r="U478" s="42"/>
      <c r="V478" s="42"/>
      <c r="W478" s="43"/>
      <c r="X478" s="44"/>
      <c r="Y478" s="4"/>
      <c r="Z478" s="45"/>
      <c r="AA478" s="45"/>
      <c r="AB478" s="4"/>
    </row>
    <row r="479" spans="1:28" ht="51" x14ac:dyDescent="0.25">
      <c r="A479" s="78" t="s">
        <v>1602</v>
      </c>
      <c r="B479" s="100"/>
      <c r="C479" s="103"/>
      <c r="D479" s="103"/>
      <c r="E479" s="77"/>
      <c r="F479" s="74" t="s">
        <v>867</v>
      </c>
      <c r="G479" s="74" t="s">
        <v>1611</v>
      </c>
      <c r="H479" s="74" t="s">
        <v>1607</v>
      </c>
      <c r="I479" s="39"/>
      <c r="J479" s="39"/>
      <c r="K479" s="39"/>
      <c r="L479" s="39"/>
      <c r="M479" s="39"/>
      <c r="N479" s="39"/>
      <c r="O479" s="39"/>
      <c r="P479" s="39"/>
      <c r="Q479" s="39"/>
      <c r="R479" s="40"/>
      <c r="S479" s="40"/>
      <c r="T479" s="111"/>
      <c r="U479" s="42"/>
      <c r="V479" s="42"/>
      <c r="W479" s="43"/>
      <c r="X479" s="44"/>
      <c r="Y479" s="4"/>
      <c r="Z479" s="45"/>
      <c r="AA479" s="45"/>
      <c r="AB479" s="4"/>
    </row>
    <row r="480" spans="1:28" ht="102" x14ac:dyDescent="0.25">
      <c r="A480" s="78" t="s">
        <v>1612</v>
      </c>
      <c r="B480" s="101" t="s">
        <v>1613</v>
      </c>
      <c r="C480" s="101" t="s">
        <v>1614</v>
      </c>
      <c r="D480" s="74" t="s">
        <v>1615</v>
      </c>
      <c r="E480" s="74"/>
      <c r="F480" s="74" t="s">
        <v>860</v>
      </c>
      <c r="G480" s="74" t="s">
        <v>1616</v>
      </c>
      <c r="H480" s="74" t="s">
        <v>1617</v>
      </c>
      <c r="I480" s="39"/>
      <c r="J480" s="39"/>
      <c r="K480" s="39"/>
      <c r="L480" s="39"/>
      <c r="M480" s="39"/>
      <c r="N480" s="39"/>
      <c r="O480" s="39"/>
      <c r="P480" s="39"/>
      <c r="Q480" s="39"/>
      <c r="R480" s="40"/>
      <c r="S480" s="40"/>
      <c r="T480" s="41" t="s">
        <v>293</v>
      </c>
      <c r="U480" s="42"/>
      <c r="V480" s="42"/>
      <c r="W480" s="43"/>
      <c r="X480" s="44"/>
      <c r="Y480" s="4"/>
      <c r="Z480" s="45"/>
      <c r="AA480" s="45"/>
      <c r="AB480" s="4"/>
    </row>
    <row r="481" spans="1:28" ht="102" x14ac:dyDescent="0.25">
      <c r="A481" s="78" t="s">
        <v>1612</v>
      </c>
      <c r="B481" s="102"/>
      <c r="C481" s="102"/>
      <c r="D481" s="74" t="s">
        <v>1615</v>
      </c>
      <c r="E481" s="74"/>
      <c r="F481" s="74" t="s">
        <v>863</v>
      </c>
      <c r="G481" s="74" t="s">
        <v>1618</v>
      </c>
      <c r="H481" s="74" t="s">
        <v>1617</v>
      </c>
      <c r="I481" s="39"/>
      <c r="J481" s="39"/>
      <c r="K481" s="39"/>
      <c r="L481" s="39"/>
      <c r="M481" s="39"/>
      <c r="N481" s="39"/>
      <c r="O481" s="39"/>
      <c r="P481" s="39"/>
      <c r="Q481" s="39"/>
      <c r="R481" s="40"/>
      <c r="S481" s="40"/>
      <c r="T481" s="41"/>
      <c r="U481" s="42"/>
      <c r="V481" s="42"/>
      <c r="W481" s="43"/>
      <c r="X481" s="44"/>
      <c r="Y481" s="4"/>
      <c r="Z481" s="45"/>
      <c r="AA481" s="45"/>
      <c r="AB481" s="4"/>
    </row>
    <row r="482" spans="1:28" ht="102" x14ac:dyDescent="0.25">
      <c r="A482" s="78" t="s">
        <v>1612</v>
      </c>
      <c r="B482" s="103"/>
      <c r="C482" s="103"/>
      <c r="D482" s="74" t="s">
        <v>1615</v>
      </c>
      <c r="E482" s="74"/>
      <c r="F482" s="74" t="s">
        <v>865</v>
      </c>
      <c r="G482" s="74" t="s">
        <v>1619</v>
      </c>
      <c r="H482" s="74" t="s">
        <v>1617</v>
      </c>
      <c r="I482" s="39"/>
      <c r="J482" s="39"/>
      <c r="K482" s="39"/>
      <c r="L482" s="39"/>
      <c r="M482" s="39"/>
      <c r="N482" s="39"/>
      <c r="O482" s="39"/>
      <c r="P482" s="39"/>
      <c r="Q482" s="39"/>
      <c r="R482" s="40"/>
      <c r="S482" s="40"/>
      <c r="T482" s="41"/>
      <c r="U482" s="42"/>
      <c r="V482" s="42"/>
      <c r="W482" s="43"/>
      <c r="X482" s="44"/>
      <c r="Y482" s="4"/>
      <c r="Z482" s="45"/>
      <c r="AA482" s="45"/>
      <c r="AB482" s="4"/>
    </row>
    <row r="483" spans="1:28" ht="76.5" x14ac:dyDescent="0.25">
      <c r="A483" s="78" t="s">
        <v>1620</v>
      </c>
      <c r="B483" s="101" t="s">
        <v>1621</v>
      </c>
      <c r="C483" s="101" t="s">
        <v>1622</v>
      </c>
      <c r="D483" s="101" t="s">
        <v>1623</v>
      </c>
      <c r="E483" s="75"/>
      <c r="F483" s="74" t="s">
        <v>860</v>
      </c>
      <c r="G483" s="74" t="s">
        <v>1624</v>
      </c>
      <c r="H483" s="74" t="s">
        <v>1625</v>
      </c>
      <c r="I483" s="39"/>
      <c r="J483" s="39"/>
      <c r="K483" s="39"/>
      <c r="L483" s="39"/>
      <c r="M483" s="39"/>
      <c r="N483" s="39"/>
      <c r="O483" s="39"/>
      <c r="P483" s="39"/>
      <c r="Q483" s="39"/>
      <c r="R483" s="40"/>
      <c r="S483" s="40"/>
      <c r="T483" s="111">
        <v>1</v>
      </c>
      <c r="U483" s="42"/>
      <c r="V483" s="42"/>
      <c r="W483" s="43"/>
      <c r="X483" s="44"/>
      <c r="Y483" s="4"/>
      <c r="Z483" s="45"/>
      <c r="AA483" s="45"/>
      <c r="AB483" s="4"/>
    </row>
    <row r="484" spans="1:28" ht="76.5" x14ac:dyDescent="0.25">
      <c r="A484" s="78" t="s">
        <v>1620</v>
      </c>
      <c r="B484" s="102"/>
      <c r="C484" s="102"/>
      <c r="D484" s="102"/>
      <c r="E484" s="76"/>
      <c r="F484" s="74" t="s">
        <v>863</v>
      </c>
      <c r="G484" s="74" t="s">
        <v>1626</v>
      </c>
      <c r="H484" s="74" t="s">
        <v>1627</v>
      </c>
      <c r="I484" s="39"/>
      <c r="J484" s="39"/>
      <c r="K484" s="39"/>
      <c r="L484" s="39"/>
      <c r="M484" s="39"/>
      <c r="N484" s="39"/>
      <c r="O484" s="39"/>
      <c r="P484" s="39"/>
      <c r="Q484" s="39"/>
      <c r="R484" s="40"/>
      <c r="S484" s="40"/>
      <c r="T484" s="111"/>
      <c r="U484" s="42"/>
      <c r="V484" s="42"/>
      <c r="W484" s="43"/>
      <c r="X484" s="44"/>
      <c r="Y484" s="4"/>
      <c r="Z484" s="45"/>
      <c r="AA484" s="45"/>
      <c r="AB484" s="4"/>
    </row>
    <row r="485" spans="1:28" ht="76.5" x14ac:dyDescent="0.25">
      <c r="A485" s="78" t="s">
        <v>1620</v>
      </c>
      <c r="B485" s="102"/>
      <c r="C485" s="102"/>
      <c r="D485" s="102"/>
      <c r="E485" s="76"/>
      <c r="F485" s="74" t="s">
        <v>865</v>
      </c>
      <c r="G485" s="74" t="s">
        <v>1628</v>
      </c>
      <c r="H485" s="74" t="s">
        <v>1629</v>
      </c>
      <c r="I485" s="39"/>
      <c r="J485" s="39"/>
      <c r="K485" s="39"/>
      <c r="L485" s="39"/>
      <c r="M485" s="39"/>
      <c r="N485" s="39"/>
      <c r="O485" s="39"/>
      <c r="P485" s="39"/>
      <c r="Q485" s="39"/>
      <c r="R485" s="40"/>
      <c r="S485" s="40"/>
      <c r="T485" s="111"/>
      <c r="U485" s="42"/>
      <c r="V485" s="42"/>
      <c r="W485" s="43"/>
      <c r="X485" s="44"/>
      <c r="Y485" s="4"/>
      <c r="Z485" s="45"/>
      <c r="AA485" s="45"/>
      <c r="AB485" s="4"/>
    </row>
    <row r="486" spans="1:28" ht="76.5" x14ac:dyDescent="0.25">
      <c r="A486" s="78" t="s">
        <v>1620</v>
      </c>
      <c r="B486" s="103"/>
      <c r="C486" s="103"/>
      <c r="D486" s="103"/>
      <c r="E486" s="77"/>
      <c r="F486" s="74" t="s">
        <v>867</v>
      </c>
      <c r="G486" s="74" t="s">
        <v>1630</v>
      </c>
      <c r="H486" s="74" t="s">
        <v>1631</v>
      </c>
      <c r="I486" s="39"/>
      <c r="J486" s="39"/>
      <c r="K486" s="39"/>
      <c r="L486" s="39"/>
      <c r="M486" s="39"/>
      <c r="N486" s="39"/>
      <c r="O486" s="39"/>
      <c r="P486" s="39"/>
      <c r="Q486" s="39"/>
      <c r="R486" s="40"/>
      <c r="S486" s="40"/>
      <c r="T486" s="111"/>
      <c r="U486" s="42"/>
      <c r="V486" s="42"/>
      <c r="W486" s="43"/>
      <c r="X486" s="44"/>
      <c r="Y486" s="4"/>
      <c r="Z486" s="45"/>
      <c r="AA486" s="45"/>
      <c r="AB486" s="4"/>
    </row>
    <row r="487" spans="1:28" ht="76.5" x14ac:dyDescent="0.25">
      <c r="A487" s="78" t="s">
        <v>1632</v>
      </c>
      <c r="B487" s="101" t="s">
        <v>1633</v>
      </c>
      <c r="C487" s="101" t="s">
        <v>1634</v>
      </c>
      <c r="D487" s="101" t="s">
        <v>1635</v>
      </c>
      <c r="E487" s="75"/>
      <c r="F487" s="74" t="s">
        <v>860</v>
      </c>
      <c r="G487" s="74" t="s">
        <v>1626</v>
      </c>
      <c r="H487" s="74" t="s">
        <v>1627</v>
      </c>
      <c r="I487" s="39"/>
      <c r="J487" s="39"/>
      <c r="K487" s="39"/>
      <c r="L487" s="39"/>
      <c r="M487" s="39"/>
      <c r="N487" s="39"/>
      <c r="O487" s="39"/>
      <c r="P487" s="39"/>
      <c r="Q487" s="39"/>
      <c r="R487" s="40"/>
      <c r="S487" s="40"/>
      <c r="T487" s="111">
        <v>1</v>
      </c>
      <c r="U487" s="42"/>
      <c r="V487" s="42"/>
      <c r="W487" s="43"/>
      <c r="X487" s="44"/>
      <c r="Y487" s="4"/>
      <c r="Z487" s="45"/>
      <c r="AA487" s="45"/>
      <c r="AB487" s="4"/>
    </row>
    <row r="488" spans="1:28" ht="76.5" x14ac:dyDescent="0.25">
      <c r="A488" s="78" t="s">
        <v>1632</v>
      </c>
      <c r="B488" s="102"/>
      <c r="C488" s="102"/>
      <c r="D488" s="102"/>
      <c r="E488" s="76"/>
      <c r="F488" s="74" t="s">
        <v>863</v>
      </c>
      <c r="G488" s="74" t="s">
        <v>1628</v>
      </c>
      <c r="H488" s="74" t="s">
        <v>1629</v>
      </c>
      <c r="I488" s="39"/>
      <c r="J488" s="39"/>
      <c r="K488" s="39"/>
      <c r="L488" s="39"/>
      <c r="M488" s="39"/>
      <c r="N488" s="39"/>
      <c r="O488" s="39"/>
      <c r="P488" s="39"/>
      <c r="Q488" s="39"/>
      <c r="R488" s="40"/>
      <c r="S488" s="40"/>
      <c r="T488" s="111"/>
      <c r="U488" s="42"/>
      <c r="V488" s="42"/>
      <c r="W488" s="43"/>
      <c r="X488" s="44"/>
      <c r="Y488" s="4"/>
      <c r="Z488" s="45"/>
      <c r="AA488" s="45"/>
      <c r="AB488" s="4"/>
    </row>
    <row r="489" spans="1:28" ht="76.5" x14ac:dyDescent="0.25">
      <c r="A489" s="78" t="s">
        <v>1632</v>
      </c>
      <c r="B489" s="102"/>
      <c r="C489" s="102"/>
      <c r="D489" s="102"/>
      <c r="E489" s="76"/>
      <c r="F489" s="74" t="s">
        <v>865</v>
      </c>
      <c r="G489" s="74" t="s">
        <v>1624</v>
      </c>
      <c r="H489" s="74" t="s">
        <v>1625</v>
      </c>
      <c r="I489" s="39"/>
      <c r="J489" s="39"/>
      <c r="K489" s="39"/>
      <c r="L489" s="39"/>
      <c r="M489" s="39"/>
      <c r="N489" s="39"/>
      <c r="O489" s="39"/>
      <c r="P489" s="39"/>
      <c r="Q489" s="39"/>
      <c r="R489" s="40"/>
      <c r="S489" s="40"/>
      <c r="T489" s="111"/>
      <c r="U489" s="42"/>
      <c r="V489" s="42"/>
      <c r="W489" s="43"/>
      <c r="X489" s="44"/>
      <c r="Y489" s="4"/>
      <c r="Z489" s="45"/>
      <c r="AA489" s="45"/>
      <c r="AB489" s="4"/>
    </row>
    <row r="490" spans="1:28" ht="76.5" x14ac:dyDescent="0.25">
      <c r="A490" s="78" t="s">
        <v>1632</v>
      </c>
      <c r="B490" s="103"/>
      <c r="C490" s="103"/>
      <c r="D490" s="103"/>
      <c r="E490" s="77"/>
      <c r="F490" s="74" t="s">
        <v>867</v>
      </c>
      <c r="G490" s="74" t="s">
        <v>1636</v>
      </c>
      <c r="H490" s="74" t="s">
        <v>1637</v>
      </c>
      <c r="I490" s="39"/>
      <c r="J490" s="39"/>
      <c r="K490" s="39"/>
      <c r="L490" s="39"/>
      <c r="M490" s="39"/>
      <c r="N490" s="39"/>
      <c r="O490" s="39"/>
      <c r="P490" s="39"/>
      <c r="Q490" s="39"/>
      <c r="R490" s="40"/>
      <c r="S490" s="40"/>
      <c r="T490" s="111"/>
      <c r="U490" s="42"/>
      <c r="V490" s="42"/>
      <c r="W490" s="43"/>
      <c r="X490" s="44"/>
      <c r="Y490" s="4"/>
      <c r="Z490" s="45"/>
      <c r="AA490" s="45"/>
      <c r="AB490" s="4"/>
    </row>
    <row r="491" spans="1:28" ht="409.5" x14ac:dyDescent="0.25">
      <c r="A491" s="78" t="s">
        <v>1638</v>
      </c>
      <c r="B491" s="98" t="s">
        <v>1639</v>
      </c>
      <c r="C491" s="101" t="s">
        <v>1640</v>
      </c>
      <c r="D491" s="74" t="s">
        <v>1641</v>
      </c>
      <c r="E491" s="74"/>
      <c r="F491" s="74" t="s">
        <v>860</v>
      </c>
      <c r="G491" s="74" t="s">
        <v>1626</v>
      </c>
      <c r="H491" s="74" t="s">
        <v>1627</v>
      </c>
      <c r="I491" s="39"/>
      <c r="J491" s="39"/>
      <c r="K491" s="39"/>
      <c r="L491" s="39"/>
      <c r="M491" s="39"/>
      <c r="N491" s="39"/>
      <c r="O491" s="39"/>
      <c r="P491" s="39"/>
      <c r="Q491" s="39"/>
      <c r="R491" s="40"/>
      <c r="S491" s="40"/>
      <c r="T491" s="111">
        <v>1</v>
      </c>
      <c r="U491" s="42"/>
      <c r="V491" s="42"/>
      <c r="W491" s="43"/>
      <c r="X491" s="44"/>
      <c r="Y491" s="4"/>
      <c r="Z491" s="45"/>
      <c r="AA491" s="45"/>
      <c r="AB491" s="4"/>
    </row>
    <row r="492" spans="1:28" ht="409.5" x14ac:dyDescent="0.25">
      <c r="A492" s="78" t="s">
        <v>1638</v>
      </c>
      <c r="B492" s="99"/>
      <c r="C492" s="102"/>
      <c r="D492" s="74" t="s">
        <v>1641</v>
      </c>
      <c r="E492" s="74"/>
      <c r="F492" s="74" t="s">
        <v>863</v>
      </c>
      <c r="G492" s="74" t="s">
        <v>1642</v>
      </c>
      <c r="H492" s="74" t="s">
        <v>1643</v>
      </c>
      <c r="I492" s="39"/>
      <c r="J492" s="39"/>
      <c r="K492" s="39"/>
      <c r="L492" s="39"/>
      <c r="M492" s="39"/>
      <c r="N492" s="39"/>
      <c r="O492" s="39"/>
      <c r="P492" s="39"/>
      <c r="Q492" s="39"/>
      <c r="R492" s="40"/>
      <c r="S492" s="40"/>
      <c r="T492" s="111"/>
      <c r="U492" s="42"/>
      <c r="V492" s="42"/>
      <c r="W492" s="43"/>
      <c r="X492" s="44"/>
      <c r="Y492" s="4"/>
      <c r="Z492" s="45"/>
      <c r="AA492" s="45"/>
      <c r="AB492" s="4"/>
    </row>
    <row r="493" spans="1:28" ht="409.5" x14ac:dyDescent="0.25">
      <c r="A493" s="78" t="s">
        <v>1638</v>
      </c>
      <c r="B493" s="99"/>
      <c r="C493" s="102"/>
      <c r="D493" s="74" t="s">
        <v>1641</v>
      </c>
      <c r="E493" s="74"/>
      <c r="F493" s="74" t="s">
        <v>865</v>
      </c>
      <c r="G493" s="74" t="s">
        <v>1628</v>
      </c>
      <c r="H493" s="74" t="s">
        <v>1629</v>
      </c>
      <c r="I493" s="39"/>
      <c r="J493" s="39"/>
      <c r="K493" s="39"/>
      <c r="L493" s="39"/>
      <c r="M493" s="39"/>
      <c r="N493" s="39"/>
      <c r="O493" s="39"/>
      <c r="P493" s="39"/>
      <c r="Q493" s="39"/>
      <c r="R493" s="40"/>
      <c r="S493" s="40"/>
      <c r="T493" s="111"/>
      <c r="U493" s="42"/>
      <c r="V493" s="42"/>
      <c r="W493" s="43"/>
      <c r="X493" s="44"/>
      <c r="Y493" s="4"/>
      <c r="Z493" s="45"/>
      <c r="AA493" s="45"/>
      <c r="AB493" s="4"/>
    </row>
    <row r="494" spans="1:28" ht="409.5" x14ac:dyDescent="0.25">
      <c r="A494" s="78" t="s">
        <v>1638</v>
      </c>
      <c r="B494" s="100"/>
      <c r="C494" s="103"/>
      <c r="D494" s="74" t="s">
        <v>1641</v>
      </c>
      <c r="E494" s="74"/>
      <c r="F494" s="74" t="s">
        <v>867</v>
      </c>
      <c r="G494" s="74" t="s">
        <v>1624</v>
      </c>
      <c r="H494" s="74" t="s">
        <v>1625</v>
      </c>
      <c r="I494" s="39"/>
      <c r="J494" s="39"/>
      <c r="K494" s="39"/>
      <c r="L494" s="39"/>
      <c r="M494" s="39"/>
      <c r="N494" s="39"/>
      <c r="O494" s="39"/>
      <c r="P494" s="39"/>
      <c r="Q494" s="39"/>
      <c r="R494" s="40"/>
      <c r="S494" s="40"/>
      <c r="T494" s="111"/>
      <c r="U494" s="42"/>
      <c r="V494" s="42"/>
      <c r="W494" s="43"/>
      <c r="X494" s="44"/>
      <c r="Y494" s="4"/>
      <c r="Z494" s="45"/>
      <c r="AA494" s="45"/>
      <c r="AB494" s="4"/>
    </row>
    <row r="495" spans="1:28" ht="216.75" x14ac:dyDescent="0.25">
      <c r="A495" s="78" t="s">
        <v>1644</v>
      </c>
      <c r="B495" s="101" t="s">
        <v>1645</v>
      </c>
      <c r="C495" s="107" t="s">
        <v>804</v>
      </c>
      <c r="D495" s="83" t="s">
        <v>1646</v>
      </c>
      <c r="E495" s="83"/>
      <c r="F495" s="83" t="s">
        <v>860</v>
      </c>
      <c r="G495" s="83" t="s">
        <v>807</v>
      </c>
      <c r="H495" s="83" t="s">
        <v>808</v>
      </c>
      <c r="I495" s="39"/>
      <c r="J495" s="39"/>
      <c r="K495" s="39"/>
      <c r="L495" s="39"/>
      <c r="M495" s="39"/>
      <c r="N495" s="39"/>
      <c r="O495" s="39"/>
      <c r="P495" s="39"/>
      <c r="Q495" s="39"/>
      <c r="R495" s="40"/>
      <c r="S495" s="40"/>
      <c r="T495" s="41"/>
      <c r="U495" s="42"/>
      <c r="V495" s="42"/>
      <c r="W495" s="43"/>
      <c r="X495" s="44"/>
      <c r="Y495" s="4"/>
      <c r="Z495" s="45"/>
      <c r="AA495" s="45"/>
      <c r="AB495" s="4"/>
    </row>
    <row r="496" spans="1:28" ht="216.75" x14ac:dyDescent="0.25">
      <c r="A496" s="78" t="s">
        <v>1644</v>
      </c>
      <c r="B496" s="103"/>
      <c r="C496" s="109"/>
      <c r="D496" s="83" t="s">
        <v>1646</v>
      </c>
      <c r="E496" s="83"/>
      <c r="F496" s="83" t="s">
        <v>863</v>
      </c>
      <c r="G496" s="83" t="s">
        <v>811</v>
      </c>
      <c r="H496" s="83" t="s">
        <v>812</v>
      </c>
      <c r="I496" s="39"/>
      <c r="J496" s="39"/>
      <c r="K496" s="39"/>
      <c r="L496" s="39"/>
      <c r="M496" s="39"/>
      <c r="N496" s="39"/>
      <c r="O496" s="39"/>
      <c r="P496" s="39"/>
      <c r="Q496" s="39"/>
      <c r="R496" s="40"/>
      <c r="S496" s="40"/>
      <c r="T496" s="41"/>
      <c r="U496" s="42"/>
      <c r="V496" s="42"/>
      <c r="W496" s="43"/>
      <c r="X496" s="44"/>
      <c r="Y496" s="4"/>
      <c r="Z496" s="45"/>
      <c r="AA496" s="45"/>
      <c r="AB496" s="4"/>
    </row>
    <row r="497" spans="1:28" ht="409.5" x14ac:dyDescent="0.25">
      <c r="A497" s="78" t="s">
        <v>1647</v>
      </c>
      <c r="B497" s="98" t="s">
        <v>1648</v>
      </c>
      <c r="C497" s="101" t="s">
        <v>804</v>
      </c>
      <c r="D497" s="74" t="s">
        <v>805</v>
      </c>
      <c r="E497" s="74"/>
      <c r="F497" s="74" t="s">
        <v>860</v>
      </c>
      <c r="G497" s="74" t="s">
        <v>811</v>
      </c>
      <c r="H497" s="74" t="s">
        <v>812</v>
      </c>
      <c r="I497" s="39"/>
      <c r="J497" s="39"/>
      <c r="K497" s="39"/>
      <c r="L497" s="39"/>
      <c r="M497" s="39"/>
      <c r="N497" s="39"/>
      <c r="O497" s="39"/>
      <c r="P497" s="39"/>
      <c r="Q497" s="39"/>
      <c r="R497" s="40"/>
      <c r="S497" s="40"/>
      <c r="T497" s="111">
        <v>0</v>
      </c>
      <c r="U497" s="42"/>
      <c r="V497" s="42"/>
      <c r="W497" s="43"/>
      <c r="X497" s="44"/>
      <c r="Y497" s="4"/>
      <c r="Z497" s="45"/>
      <c r="AA497" s="45"/>
      <c r="AB497" s="4"/>
    </row>
    <row r="498" spans="1:28" ht="409.5" x14ac:dyDescent="0.25">
      <c r="A498" s="78" t="s">
        <v>1647</v>
      </c>
      <c r="B498" s="100"/>
      <c r="C498" s="103"/>
      <c r="D498" s="74" t="s">
        <v>805</v>
      </c>
      <c r="E498" s="74"/>
      <c r="F498" s="74" t="s">
        <v>863</v>
      </c>
      <c r="G498" s="74" t="s">
        <v>807</v>
      </c>
      <c r="H498" s="74" t="s">
        <v>808</v>
      </c>
      <c r="I498" s="39"/>
      <c r="J498" s="39"/>
      <c r="K498" s="39"/>
      <c r="L498" s="39"/>
      <c r="M498" s="39"/>
      <c r="N498" s="39"/>
      <c r="O498" s="39"/>
      <c r="P498" s="39"/>
      <c r="Q498" s="39"/>
      <c r="R498" s="40"/>
      <c r="S498" s="40"/>
      <c r="T498" s="111"/>
      <c r="U498" s="42"/>
      <c r="V498" s="42"/>
      <c r="W498" s="43"/>
      <c r="X498" s="44"/>
      <c r="Y498" s="4"/>
      <c r="Z498" s="45"/>
      <c r="AA498" s="45"/>
      <c r="AB498" s="4"/>
    </row>
    <row r="499" spans="1:28" ht="409.5" x14ac:dyDescent="0.25">
      <c r="A499" s="78" t="s">
        <v>1649</v>
      </c>
      <c r="B499" s="98" t="s">
        <v>1650</v>
      </c>
      <c r="C499" s="107" t="s">
        <v>804</v>
      </c>
      <c r="D499" s="83" t="s">
        <v>805</v>
      </c>
      <c r="E499" s="83"/>
      <c r="F499" s="83" t="s">
        <v>860</v>
      </c>
      <c r="G499" s="83" t="s">
        <v>811</v>
      </c>
      <c r="H499" s="83" t="s">
        <v>812</v>
      </c>
      <c r="I499" s="39"/>
      <c r="J499" s="39"/>
      <c r="K499" s="39"/>
      <c r="L499" s="39"/>
      <c r="M499" s="39"/>
      <c r="N499" s="39"/>
      <c r="O499" s="39"/>
      <c r="P499" s="39"/>
      <c r="Q499" s="39"/>
      <c r="R499" s="40"/>
      <c r="S499" s="40"/>
      <c r="T499" s="41"/>
      <c r="U499" s="42"/>
      <c r="V499" s="42"/>
      <c r="W499" s="43"/>
      <c r="X499" s="44"/>
      <c r="Y499" s="4"/>
      <c r="Z499" s="45"/>
      <c r="AA499" s="45"/>
      <c r="AB499" s="4"/>
    </row>
    <row r="500" spans="1:28" ht="409.5" x14ac:dyDescent="0.25">
      <c r="A500" s="78" t="s">
        <v>1649</v>
      </c>
      <c r="B500" s="100"/>
      <c r="C500" s="109"/>
      <c r="D500" s="83" t="s">
        <v>805</v>
      </c>
      <c r="E500" s="83"/>
      <c r="F500" s="83" t="s">
        <v>863</v>
      </c>
      <c r="G500" s="83" t="s">
        <v>807</v>
      </c>
      <c r="H500" s="83" t="s">
        <v>808</v>
      </c>
      <c r="I500" s="39"/>
      <c r="J500" s="39"/>
      <c r="K500" s="39"/>
      <c r="L500" s="39"/>
      <c r="M500" s="39"/>
      <c r="N500" s="39"/>
      <c r="O500" s="39"/>
      <c r="P500" s="39"/>
      <c r="Q500" s="39"/>
      <c r="R500" s="40"/>
      <c r="S500" s="40"/>
      <c r="T500" s="41"/>
      <c r="U500" s="42"/>
      <c r="V500" s="42"/>
      <c r="W500" s="43"/>
      <c r="X500" s="44"/>
      <c r="Y500" s="4"/>
      <c r="Z500" s="45"/>
      <c r="AA500" s="45"/>
      <c r="AB500" s="4"/>
    </row>
    <row r="501" spans="1:28" ht="140.25" x14ac:dyDescent="0.25">
      <c r="A501" s="78" t="s">
        <v>1651</v>
      </c>
      <c r="B501" s="101" t="s">
        <v>1652</v>
      </c>
      <c r="C501" s="101" t="s">
        <v>1653</v>
      </c>
      <c r="D501" s="74" t="s">
        <v>1654</v>
      </c>
      <c r="E501" s="74"/>
      <c r="F501" s="74" t="s">
        <v>860</v>
      </c>
      <c r="G501" s="74" t="s">
        <v>1655</v>
      </c>
      <c r="H501" s="74" t="s">
        <v>1656</v>
      </c>
      <c r="I501" s="39"/>
      <c r="J501" s="39"/>
      <c r="K501" s="39"/>
      <c r="L501" s="39"/>
      <c r="M501" s="39"/>
      <c r="N501" s="39"/>
      <c r="O501" s="39"/>
      <c r="P501" s="39"/>
      <c r="Q501" s="39"/>
      <c r="R501" s="40"/>
      <c r="S501" s="40"/>
      <c r="T501" s="111"/>
      <c r="U501" s="42"/>
      <c r="V501" s="42"/>
      <c r="W501" s="43"/>
      <c r="X501" s="44"/>
      <c r="Y501" s="4"/>
      <c r="Z501" s="45"/>
      <c r="AA501" s="45"/>
      <c r="AB501" s="4"/>
    </row>
    <row r="502" spans="1:28" ht="318.75" x14ac:dyDescent="0.25">
      <c r="A502" s="78" t="s">
        <v>1651</v>
      </c>
      <c r="B502" s="102"/>
      <c r="C502" s="102"/>
      <c r="D502" s="74" t="s">
        <v>1654</v>
      </c>
      <c r="E502" s="74"/>
      <c r="F502" s="74" t="s">
        <v>863</v>
      </c>
      <c r="G502" s="74" t="s">
        <v>547</v>
      </c>
      <c r="H502" s="74" t="s">
        <v>1657</v>
      </c>
      <c r="I502" s="39"/>
      <c r="J502" s="39"/>
      <c r="K502" s="39"/>
      <c r="L502" s="39"/>
      <c r="M502" s="39"/>
      <c r="N502" s="39"/>
      <c r="O502" s="39"/>
      <c r="P502" s="39"/>
      <c r="Q502" s="39"/>
      <c r="R502" s="40"/>
      <c r="S502" s="40"/>
      <c r="T502" s="111"/>
      <c r="U502" s="42"/>
      <c r="V502" s="42"/>
      <c r="W502" s="43"/>
      <c r="X502" s="44"/>
      <c r="Y502" s="4"/>
      <c r="Z502" s="45"/>
      <c r="AA502" s="45"/>
      <c r="AB502" s="4"/>
    </row>
    <row r="503" spans="1:28" ht="140.25" x14ac:dyDescent="0.25">
      <c r="A503" s="78" t="s">
        <v>1651</v>
      </c>
      <c r="B503" s="103"/>
      <c r="C503" s="103"/>
      <c r="D503" s="74" t="s">
        <v>1654</v>
      </c>
      <c r="E503" s="74"/>
      <c r="F503" s="74" t="s">
        <v>865</v>
      </c>
      <c r="G503" s="74" t="s">
        <v>540</v>
      </c>
      <c r="H503" s="74" t="s">
        <v>1658</v>
      </c>
      <c r="I503" s="39"/>
      <c r="J503" s="39"/>
      <c r="K503" s="39"/>
      <c r="L503" s="39"/>
      <c r="M503" s="39"/>
      <c r="N503" s="39"/>
      <c r="O503" s="39"/>
      <c r="P503" s="39"/>
      <c r="Q503" s="39"/>
      <c r="R503" s="40"/>
      <c r="S503" s="40"/>
      <c r="T503" s="111"/>
      <c r="U503" s="42"/>
      <c r="V503" s="42"/>
      <c r="W503" s="43"/>
      <c r="X503" s="44"/>
      <c r="Y503" s="4"/>
      <c r="Z503" s="45"/>
      <c r="AA503" s="45"/>
      <c r="AB503" s="4"/>
    </row>
    <row r="504" spans="1:28" ht="409.5" x14ac:dyDescent="0.25">
      <c r="A504" s="78" t="s">
        <v>1659</v>
      </c>
      <c r="B504" s="98" t="s">
        <v>1660</v>
      </c>
      <c r="C504" s="98" t="s">
        <v>804</v>
      </c>
      <c r="D504" s="74" t="s">
        <v>805</v>
      </c>
      <c r="E504" s="74"/>
      <c r="F504" s="74" t="s">
        <v>860</v>
      </c>
      <c r="G504" s="74" t="s">
        <v>811</v>
      </c>
      <c r="H504" s="74" t="s">
        <v>812</v>
      </c>
      <c r="I504" s="39"/>
      <c r="J504" s="39"/>
      <c r="K504" s="39"/>
      <c r="L504" s="39"/>
      <c r="M504" s="39"/>
      <c r="N504" s="39"/>
      <c r="O504" s="39"/>
      <c r="P504" s="39"/>
      <c r="Q504" s="39"/>
      <c r="R504" s="40"/>
      <c r="S504" s="40"/>
      <c r="T504" s="111">
        <v>0</v>
      </c>
      <c r="U504" s="42"/>
      <c r="V504" s="42"/>
      <c r="W504" s="43"/>
      <c r="X504" s="44"/>
      <c r="Y504" s="4"/>
      <c r="Z504" s="45"/>
      <c r="AA504" s="45"/>
      <c r="AB504" s="4"/>
    </row>
    <row r="505" spans="1:28" ht="409.5" x14ac:dyDescent="0.25">
      <c r="A505" s="78" t="s">
        <v>1659</v>
      </c>
      <c r="B505" s="100"/>
      <c r="C505" s="100"/>
      <c r="D505" s="74" t="s">
        <v>805</v>
      </c>
      <c r="E505" s="74"/>
      <c r="F505" s="74" t="s">
        <v>863</v>
      </c>
      <c r="G505" s="74" t="s">
        <v>807</v>
      </c>
      <c r="H505" s="74" t="s">
        <v>808</v>
      </c>
      <c r="I505" s="39"/>
      <c r="J505" s="39"/>
      <c r="K505" s="39"/>
      <c r="L505" s="39"/>
      <c r="M505" s="39"/>
      <c r="N505" s="39"/>
      <c r="O505" s="39"/>
      <c r="P505" s="39"/>
      <c r="Q505" s="39"/>
      <c r="R505" s="40"/>
      <c r="S505" s="40"/>
      <c r="T505" s="111"/>
      <c r="U505" s="42"/>
      <c r="V505" s="42"/>
      <c r="W505" s="43"/>
      <c r="X505" s="44"/>
      <c r="Y505" s="4"/>
      <c r="Z505" s="45"/>
      <c r="AA505" s="45"/>
      <c r="AB505" s="4"/>
    </row>
    <row r="506" spans="1:28" ht="216.75" x14ac:dyDescent="0.25">
      <c r="A506" s="78" t="s">
        <v>1661</v>
      </c>
      <c r="B506" s="101" t="s">
        <v>1662</v>
      </c>
      <c r="C506" s="101" t="s">
        <v>815</v>
      </c>
      <c r="D506" s="74" t="s">
        <v>816</v>
      </c>
      <c r="E506" s="74"/>
      <c r="F506" s="74" t="s">
        <v>860</v>
      </c>
      <c r="G506" s="74" t="s">
        <v>821</v>
      </c>
      <c r="H506" s="74" t="s">
        <v>818</v>
      </c>
      <c r="I506" s="39"/>
      <c r="J506" s="39"/>
      <c r="K506" s="39"/>
      <c r="L506" s="39"/>
      <c r="M506" s="39"/>
      <c r="N506" s="39"/>
      <c r="O506" s="39"/>
      <c r="P506" s="39"/>
      <c r="Q506" s="39"/>
      <c r="R506" s="40"/>
      <c r="S506" s="40"/>
      <c r="T506" s="41"/>
      <c r="U506" s="42"/>
      <c r="V506" s="42"/>
      <c r="W506" s="43"/>
      <c r="X506" s="44"/>
      <c r="Y506" s="4"/>
      <c r="Z506" s="45"/>
      <c r="AA506" s="45"/>
      <c r="AB506" s="4"/>
    </row>
    <row r="507" spans="1:28" ht="216.75" x14ac:dyDescent="0.25">
      <c r="A507" s="78" t="s">
        <v>1661</v>
      </c>
      <c r="B507" s="102"/>
      <c r="C507" s="102"/>
      <c r="D507" s="74" t="s">
        <v>816</v>
      </c>
      <c r="E507" s="74"/>
      <c r="F507" s="74" t="s">
        <v>863</v>
      </c>
      <c r="G507" s="74" t="s">
        <v>817</v>
      </c>
      <c r="H507" s="74" t="s">
        <v>818</v>
      </c>
      <c r="I507" s="39"/>
      <c r="J507" s="39"/>
      <c r="K507" s="39"/>
      <c r="L507" s="39"/>
      <c r="M507" s="39"/>
      <c r="N507" s="39"/>
      <c r="O507" s="39"/>
      <c r="P507" s="39"/>
      <c r="Q507" s="39"/>
      <c r="R507" s="40"/>
      <c r="S507" s="40"/>
      <c r="T507" s="41"/>
      <c r="U507" s="42"/>
      <c r="V507" s="42"/>
      <c r="W507" s="43"/>
      <c r="X507" s="44"/>
      <c r="Y507" s="4"/>
      <c r="Z507" s="45"/>
      <c r="AA507" s="45"/>
      <c r="AB507" s="4"/>
    </row>
    <row r="508" spans="1:28" ht="216.75" x14ac:dyDescent="0.25">
      <c r="A508" s="78" t="s">
        <v>1661</v>
      </c>
      <c r="B508" s="102"/>
      <c r="C508" s="102"/>
      <c r="D508" s="74" t="s">
        <v>816</v>
      </c>
      <c r="E508" s="74"/>
      <c r="F508" s="74" t="s">
        <v>865</v>
      </c>
      <c r="G508" s="74" t="s">
        <v>819</v>
      </c>
      <c r="H508" s="74" t="s">
        <v>818</v>
      </c>
      <c r="I508" s="39"/>
      <c r="J508" s="39"/>
      <c r="K508" s="39"/>
      <c r="L508" s="39"/>
      <c r="M508" s="39"/>
      <c r="N508" s="39"/>
      <c r="O508" s="39"/>
      <c r="P508" s="39"/>
      <c r="Q508" s="39"/>
      <c r="R508" s="40"/>
      <c r="S508" s="40"/>
      <c r="T508" s="41"/>
      <c r="U508" s="42"/>
      <c r="V508" s="42"/>
      <c r="W508" s="43"/>
      <c r="X508" s="44"/>
      <c r="Y508" s="4"/>
      <c r="Z508" s="45"/>
      <c r="AA508" s="45"/>
      <c r="AB508" s="4"/>
    </row>
    <row r="509" spans="1:28" ht="216.75" x14ac:dyDescent="0.25">
      <c r="A509" s="78" t="s">
        <v>1661</v>
      </c>
      <c r="B509" s="103"/>
      <c r="C509" s="103"/>
      <c r="D509" s="74" t="s">
        <v>816</v>
      </c>
      <c r="E509" s="74"/>
      <c r="F509" s="74" t="s">
        <v>867</v>
      </c>
      <c r="G509" s="74" t="s">
        <v>823</v>
      </c>
      <c r="H509" s="74" t="s">
        <v>818</v>
      </c>
      <c r="I509" s="39"/>
      <c r="J509" s="39"/>
      <c r="K509" s="39"/>
      <c r="L509" s="39"/>
      <c r="M509" s="39"/>
      <c r="N509" s="39"/>
      <c r="O509" s="39"/>
      <c r="P509" s="39"/>
      <c r="Q509" s="39"/>
      <c r="R509" s="40"/>
      <c r="S509" s="40"/>
      <c r="T509" s="41"/>
      <c r="U509" s="42"/>
      <c r="V509" s="42"/>
      <c r="W509" s="43"/>
      <c r="X509" s="44"/>
      <c r="Y509" s="4"/>
      <c r="Z509" s="45"/>
      <c r="AA509" s="45"/>
      <c r="AB509" s="4"/>
    </row>
    <row r="510" spans="1:28" ht="216.75" x14ac:dyDescent="0.25">
      <c r="A510" s="78" t="s">
        <v>1663</v>
      </c>
      <c r="B510" s="101" t="s">
        <v>1664</v>
      </c>
      <c r="C510" s="101" t="s">
        <v>815</v>
      </c>
      <c r="D510" s="74" t="s">
        <v>816</v>
      </c>
      <c r="E510" s="74"/>
      <c r="F510" s="74" t="s">
        <v>860</v>
      </c>
      <c r="G510" s="74" t="s">
        <v>819</v>
      </c>
      <c r="H510" s="74" t="s">
        <v>818</v>
      </c>
      <c r="I510" s="39"/>
      <c r="J510" s="39"/>
      <c r="K510" s="39"/>
      <c r="L510" s="39"/>
      <c r="M510" s="39"/>
      <c r="N510" s="39"/>
      <c r="O510" s="39"/>
      <c r="P510" s="39"/>
      <c r="Q510" s="39"/>
      <c r="R510" s="40"/>
      <c r="S510" s="40"/>
      <c r="T510" s="111">
        <v>0.08</v>
      </c>
      <c r="U510" s="42" t="s">
        <v>1665</v>
      </c>
      <c r="V510" s="42"/>
      <c r="W510" s="43"/>
      <c r="X510" s="44"/>
      <c r="Y510" s="4"/>
      <c r="Z510" s="45"/>
      <c r="AA510" s="45"/>
      <c r="AB510" s="4"/>
    </row>
    <row r="511" spans="1:28" ht="216.75" x14ac:dyDescent="0.25">
      <c r="A511" s="78" t="s">
        <v>1663</v>
      </c>
      <c r="B511" s="102"/>
      <c r="C511" s="102"/>
      <c r="D511" s="74" t="s">
        <v>816</v>
      </c>
      <c r="E511" s="74"/>
      <c r="F511" s="74" t="s">
        <v>863</v>
      </c>
      <c r="G511" s="74" t="s">
        <v>821</v>
      </c>
      <c r="H511" s="74" t="s">
        <v>818</v>
      </c>
      <c r="I511" s="39"/>
      <c r="J511" s="39"/>
      <c r="K511" s="39"/>
      <c r="L511" s="39"/>
      <c r="M511" s="39"/>
      <c r="N511" s="39"/>
      <c r="O511" s="39"/>
      <c r="P511" s="39"/>
      <c r="Q511" s="39"/>
      <c r="R511" s="40"/>
      <c r="S511" s="40"/>
      <c r="T511" s="111"/>
      <c r="U511" s="42"/>
      <c r="V511" s="42"/>
      <c r="W511" s="43"/>
      <c r="X511" s="44"/>
      <c r="Y511" s="4"/>
      <c r="Z511" s="45"/>
      <c r="AA511" s="45"/>
      <c r="AB511" s="4"/>
    </row>
    <row r="512" spans="1:28" ht="216.75" x14ac:dyDescent="0.25">
      <c r="A512" s="78" t="s">
        <v>1663</v>
      </c>
      <c r="B512" s="102"/>
      <c r="C512" s="102"/>
      <c r="D512" s="74" t="s">
        <v>816</v>
      </c>
      <c r="E512" s="74"/>
      <c r="F512" s="74" t="s">
        <v>865</v>
      </c>
      <c r="G512" s="74" t="s">
        <v>823</v>
      </c>
      <c r="H512" s="74" t="s">
        <v>818</v>
      </c>
      <c r="I512" s="39"/>
      <c r="J512" s="39"/>
      <c r="K512" s="39"/>
      <c r="L512" s="39"/>
      <c r="M512" s="39"/>
      <c r="N512" s="39"/>
      <c r="O512" s="39"/>
      <c r="P512" s="39"/>
      <c r="Q512" s="39"/>
      <c r="R512" s="40"/>
      <c r="S512" s="40"/>
      <c r="T512" s="111"/>
      <c r="U512" s="42"/>
      <c r="V512" s="42"/>
      <c r="W512" s="43"/>
      <c r="X512" s="44"/>
      <c r="Y512" s="4"/>
      <c r="Z512" s="45"/>
      <c r="AA512" s="45"/>
      <c r="AB512" s="4"/>
    </row>
    <row r="513" spans="1:28" ht="216.75" x14ac:dyDescent="0.25">
      <c r="A513" s="78" t="s">
        <v>1663</v>
      </c>
      <c r="B513" s="103"/>
      <c r="C513" s="103"/>
      <c r="D513" s="74" t="s">
        <v>816</v>
      </c>
      <c r="E513" s="74"/>
      <c r="F513" s="74" t="s">
        <v>867</v>
      </c>
      <c r="G513" s="74" t="s">
        <v>817</v>
      </c>
      <c r="H513" s="74" t="s">
        <v>818</v>
      </c>
      <c r="I513" s="39"/>
      <c r="J513" s="39"/>
      <c r="K513" s="39"/>
      <c r="L513" s="39"/>
      <c r="M513" s="39"/>
      <c r="N513" s="39"/>
      <c r="O513" s="39"/>
      <c r="P513" s="39"/>
      <c r="Q513" s="39"/>
      <c r="R513" s="40"/>
      <c r="S513" s="40"/>
      <c r="T513" s="111"/>
      <c r="U513" s="42"/>
      <c r="V513" s="42"/>
      <c r="W513" s="43"/>
      <c r="X513" s="44"/>
      <c r="Y513" s="4"/>
      <c r="Z513" s="45"/>
      <c r="AA513" s="45"/>
      <c r="AB513" s="4"/>
    </row>
    <row r="514" spans="1:28" ht="114.75" x14ac:dyDescent="0.25">
      <c r="A514" s="78" t="s">
        <v>1666</v>
      </c>
      <c r="B514" s="74" t="s">
        <v>1667</v>
      </c>
      <c r="C514" s="74" t="s">
        <v>1668</v>
      </c>
      <c r="D514" s="74" t="s">
        <v>1669</v>
      </c>
      <c r="E514" s="74"/>
      <c r="F514" s="74" t="s">
        <v>860</v>
      </c>
      <c r="G514" s="74" t="s">
        <v>404</v>
      </c>
      <c r="H514" s="74" t="s">
        <v>405</v>
      </c>
      <c r="I514" s="39"/>
      <c r="J514" s="39"/>
      <c r="K514" s="39"/>
      <c r="L514" s="39"/>
      <c r="M514" s="39"/>
      <c r="N514" s="39"/>
      <c r="O514" s="39"/>
      <c r="P514" s="39"/>
      <c r="Q514" s="39"/>
      <c r="R514" s="40"/>
      <c r="S514" s="40"/>
      <c r="T514" s="41"/>
      <c r="U514" s="42"/>
      <c r="V514" s="42"/>
      <c r="W514" s="43"/>
      <c r="X514" s="44"/>
      <c r="Y514" s="4"/>
      <c r="Z514" s="45"/>
      <c r="AA514" s="45"/>
      <c r="AB514" s="4"/>
    </row>
    <row r="515" spans="1:28" ht="409.5" x14ac:dyDescent="0.25">
      <c r="A515" s="78" t="s">
        <v>1670</v>
      </c>
      <c r="B515" s="101" t="s">
        <v>1671</v>
      </c>
      <c r="C515" s="107" t="s">
        <v>804</v>
      </c>
      <c r="D515" s="83" t="s">
        <v>805</v>
      </c>
      <c r="E515" s="83"/>
      <c r="F515" s="83" t="s">
        <v>860</v>
      </c>
      <c r="G515" s="83" t="s">
        <v>807</v>
      </c>
      <c r="H515" s="83" t="s">
        <v>808</v>
      </c>
      <c r="I515" s="39"/>
      <c r="J515" s="39"/>
      <c r="K515" s="39"/>
      <c r="L515" s="39"/>
      <c r="M515" s="39"/>
      <c r="N515" s="39"/>
      <c r="O515" s="39"/>
      <c r="P515" s="39"/>
      <c r="Q515" s="39"/>
      <c r="R515" s="40"/>
      <c r="S515" s="40"/>
      <c r="T515" s="41"/>
      <c r="U515" s="42"/>
      <c r="V515" s="42"/>
      <c r="W515" s="43"/>
      <c r="X515" s="44"/>
      <c r="Y515" s="4"/>
      <c r="Z515" s="45"/>
      <c r="AA515" s="45"/>
      <c r="AB515" s="4"/>
    </row>
    <row r="516" spans="1:28" ht="409.5" x14ac:dyDescent="0.25">
      <c r="A516" s="78" t="s">
        <v>1670</v>
      </c>
      <c r="B516" s="103"/>
      <c r="C516" s="109"/>
      <c r="D516" s="83" t="s">
        <v>805</v>
      </c>
      <c r="E516" s="83"/>
      <c r="F516" s="83" t="s">
        <v>863</v>
      </c>
      <c r="G516" s="83" t="s">
        <v>811</v>
      </c>
      <c r="H516" s="83" t="s">
        <v>812</v>
      </c>
      <c r="I516" s="39"/>
      <c r="J516" s="39"/>
      <c r="K516" s="39"/>
      <c r="L516" s="39"/>
      <c r="M516" s="39"/>
      <c r="N516" s="39"/>
      <c r="O516" s="39"/>
      <c r="P516" s="39"/>
      <c r="Q516" s="39"/>
      <c r="R516" s="40"/>
      <c r="S516" s="40"/>
      <c r="T516" s="41"/>
      <c r="U516" s="42"/>
      <c r="V516" s="42"/>
      <c r="W516" s="43"/>
      <c r="X516" s="44"/>
      <c r="Y516" s="4"/>
      <c r="Z516" s="45"/>
      <c r="AA516" s="45"/>
      <c r="AB516" s="4"/>
    </row>
    <row r="517" spans="1:28" ht="216.75" x14ac:dyDescent="0.25">
      <c r="A517" s="78" t="s">
        <v>1672</v>
      </c>
      <c r="B517" s="98" t="s">
        <v>1673</v>
      </c>
      <c r="C517" s="98" t="s">
        <v>804</v>
      </c>
      <c r="D517" s="74" t="s">
        <v>1646</v>
      </c>
      <c r="E517" s="74"/>
      <c r="F517" s="74" t="s">
        <v>860</v>
      </c>
      <c r="G517" s="74" t="s">
        <v>811</v>
      </c>
      <c r="H517" s="74" t="s">
        <v>812</v>
      </c>
      <c r="I517" s="39"/>
      <c r="J517" s="39"/>
      <c r="K517" s="39"/>
      <c r="L517" s="39"/>
      <c r="M517" s="39"/>
      <c r="N517" s="39"/>
      <c r="O517" s="39"/>
      <c r="P517" s="39"/>
      <c r="Q517" s="39"/>
      <c r="R517" s="40"/>
      <c r="S517" s="40"/>
      <c r="T517" s="41"/>
      <c r="U517" s="42"/>
      <c r="V517" s="42"/>
      <c r="W517" s="43"/>
      <c r="X517" s="44"/>
      <c r="Y517" s="4"/>
      <c r="Z517" s="45"/>
      <c r="AA517" s="45"/>
      <c r="AB517" s="4"/>
    </row>
    <row r="518" spans="1:28" ht="216.75" x14ac:dyDescent="0.25">
      <c r="A518" s="78" t="s">
        <v>1672</v>
      </c>
      <c r="B518" s="100"/>
      <c r="C518" s="100"/>
      <c r="D518" s="74" t="s">
        <v>1646</v>
      </c>
      <c r="E518" s="74"/>
      <c r="F518" s="74" t="s">
        <v>863</v>
      </c>
      <c r="G518" s="74" t="s">
        <v>807</v>
      </c>
      <c r="H518" s="74" t="s">
        <v>808</v>
      </c>
      <c r="I518" s="39"/>
      <c r="J518" s="39"/>
      <c r="K518" s="39"/>
      <c r="L518" s="39"/>
      <c r="M518" s="39"/>
      <c r="N518" s="39"/>
      <c r="O518" s="39"/>
      <c r="P518" s="39"/>
      <c r="Q518" s="39"/>
      <c r="R518" s="40"/>
      <c r="S518" s="40"/>
      <c r="T518" s="41"/>
      <c r="U518" s="42"/>
      <c r="V518" s="42"/>
      <c r="W518" s="43"/>
      <c r="X518" s="44"/>
      <c r="Y518" s="4"/>
      <c r="Z518" s="45"/>
      <c r="AA518" s="45"/>
      <c r="AB518" s="4"/>
    </row>
    <row r="519" spans="1:28" ht="216.75" x14ac:dyDescent="0.25">
      <c r="A519" s="78" t="s">
        <v>1674</v>
      </c>
      <c r="B519" s="101" t="s">
        <v>1675</v>
      </c>
      <c r="C519" s="101" t="s">
        <v>815</v>
      </c>
      <c r="D519" s="74" t="s">
        <v>816</v>
      </c>
      <c r="E519" s="74"/>
      <c r="F519" s="74" t="s">
        <v>860</v>
      </c>
      <c r="G519" s="74" t="s">
        <v>817</v>
      </c>
      <c r="H519" s="74" t="s">
        <v>818</v>
      </c>
      <c r="I519" s="39"/>
      <c r="J519" s="39"/>
      <c r="K519" s="39"/>
      <c r="L519" s="39"/>
      <c r="M519" s="39"/>
      <c r="N519" s="39"/>
      <c r="O519" s="39"/>
      <c r="P519" s="39"/>
      <c r="Q519" s="39"/>
      <c r="R519" s="40"/>
      <c r="S519" s="40"/>
      <c r="T519" s="41">
        <v>0</v>
      </c>
      <c r="U519" s="42"/>
      <c r="V519" s="42"/>
      <c r="W519" s="43"/>
      <c r="X519" s="44"/>
      <c r="Y519" s="4"/>
      <c r="Z519" s="45"/>
      <c r="AA519" s="45"/>
      <c r="AB519" s="4"/>
    </row>
    <row r="520" spans="1:28" ht="216.75" x14ac:dyDescent="0.25">
      <c r="A520" s="78" t="s">
        <v>1674</v>
      </c>
      <c r="B520" s="102"/>
      <c r="C520" s="102"/>
      <c r="D520" s="74" t="s">
        <v>816</v>
      </c>
      <c r="E520" s="74"/>
      <c r="F520" s="74" t="s">
        <v>863</v>
      </c>
      <c r="G520" s="74" t="s">
        <v>819</v>
      </c>
      <c r="H520" s="74" t="s">
        <v>818</v>
      </c>
      <c r="I520" s="39"/>
      <c r="J520" s="39"/>
      <c r="K520" s="39"/>
      <c r="L520" s="39"/>
      <c r="M520" s="39"/>
      <c r="N520" s="39"/>
      <c r="O520" s="39"/>
      <c r="P520" s="39"/>
      <c r="Q520" s="39"/>
      <c r="R520" s="40"/>
      <c r="S520" s="40"/>
      <c r="T520" s="41"/>
      <c r="U520" s="42"/>
      <c r="V520" s="42"/>
      <c r="W520" s="43"/>
      <c r="X520" s="44"/>
      <c r="Y520" s="4"/>
      <c r="Z520" s="45"/>
      <c r="AA520" s="45"/>
      <c r="AB520" s="4"/>
    </row>
    <row r="521" spans="1:28" ht="216.75" x14ac:dyDescent="0.25">
      <c r="A521" s="78" t="s">
        <v>1674</v>
      </c>
      <c r="B521" s="102"/>
      <c r="C521" s="102"/>
      <c r="D521" s="74" t="s">
        <v>816</v>
      </c>
      <c r="E521" s="74"/>
      <c r="F521" s="74" t="s">
        <v>865</v>
      </c>
      <c r="G521" s="74" t="s">
        <v>821</v>
      </c>
      <c r="H521" s="74" t="s">
        <v>818</v>
      </c>
      <c r="I521" s="39"/>
      <c r="J521" s="39"/>
      <c r="K521" s="39"/>
      <c r="L521" s="39"/>
      <c r="M521" s="39"/>
      <c r="N521" s="39"/>
      <c r="O521" s="39"/>
      <c r="P521" s="39"/>
      <c r="Q521" s="39"/>
      <c r="R521" s="40"/>
      <c r="S521" s="40"/>
      <c r="T521" s="41"/>
      <c r="U521" s="42"/>
      <c r="V521" s="42"/>
      <c r="W521" s="43"/>
      <c r="X521" s="44"/>
      <c r="Y521" s="4"/>
      <c r="Z521" s="45"/>
      <c r="AA521" s="45"/>
      <c r="AB521" s="4"/>
    </row>
    <row r="522" spans="1:28" ht="216.75" x14ac:dyDescent="0.25">
      <c r="A522" s="78" t="s">
        <v>1674</v>
      </c>
      <c r="B522" s="103"/>
      <c r="C522" s="103"/>
      <c r="D522" s="74" t="s">
        <v>816</v>
      </c>
      <c r="E522" s="74"/>
      <c r="F522" s="74" t="s">
        <v>867</v>
      </c>
      <c r="G522" s="74" t="s">
        <v>823</v>
      </c>
      <c r="H522" s="74" t="s">
        <v>818</v>
      </c>
      <c r="I522" s="39"/>
      <c r="J522" s="39"/>
      <c r="K522" s="39"/>
      <c r="L522" s="39"/>
      <c r="M522" s="39"/>
      <c r="N522" s="39"/>
      <c r="O522" s="39"/>
      <c r="P522" s="39"/>
      <c r="Q522" s="39"/>
      <c r="R522" s="40"/>
      <c r="S522" s="40"/>
      <c r="T522" s="41"/>
      <c r="U522" s="42"/>
      <c r="V522" s="42"/>
      <c r="W522" s="43"/>
      <c r="X522" s="44"/>
      <c r="Y522" s="4"/>
      <c r="Z522" s="45"/>
      <c r="AA522" s="45"/>
      <c r="AB522" s="4"/>
    </row>
    <row r="523" spans="1:28" ht="216.75" x14ac:dyDescent="0.25">
      <c r="A523" s="78" t="s">
        <v>1676</v>
      </c>
      <c r="B523" s="101" t="s">
        <v>1677</v>
      </c>
      <c r="C523" s="107" t="s">
        <v>815</v>
      </c>
      <c r="D523" s="83" t="s">
        <v>816</v>
      </c>
      <c r="E523" s="83"/>
      <c r="F523" s="83" t="s">
        <v>860</v>
      </c>
      <c r="G523" s="83" t="s">
        <v>817</v>
      </c>
      <c r="H523" s="83" t="s">
        <v>818</v>
      </c>
      <c r="I523" s="39"/>
      <c r="J523" s="39"/>
      <c r="K523" s="39"/>
      <c r="L523" s="39"/>
      <c r="M523" s="39"/>
      <c r="N523" s="39"/>
      <c r="O523" s="39"/>
      <c r="P523" s="39"/>
      <c r="Q523" s="39"/>
      <c r="R523" s="40"/>
      <c r="S523" s="40"/>
      <c r="T523" s="41">
        <v>0</v>
      </c>
      <c r="U523" s="42"/>
      <c r="V523" s="42"/>
      <c r="W523" s="43"/>
      <c r="X523" s="44"/>
      <c r="Y523" s="4"/>
      <c r="Z523" s="45"/>
      <c r="AA523" s="45"/>
      <c r="AB523" s="4"/>
    </row>
    <row r="524" spans="1:28" ht="216.75" x14ac:dyDescent="0.25">
      <c r="A524" s="78" t="s">
        <v>1676</v>
      </c>
      <c r="B524" s="102"/>
      <c r="C524" s="108"/>
      <c r="D524" s="83" t="s">
        <v>816</v>
      </c>
      <c r="E524" s="83"/>
      <c r="F524" s="83" t="s">
        <v>863</v>
      </c>
      <c r="G524" s="83" t="s">
        <v>823</v>
      </c>
      <c r="H524" s="83" t="s">
        <v>818</v>
      </c>
      <c r="I524" s="39"/>
      <c r="J524" s="39"/>
      <c r="K524" s="39"/>
      <c r="L524" s="39"/>
      <c r="M524" s="39"/>
      <c r="N524" s="39"/>
      <c r="O524" s="39"/>
      <c r="P524" s="39"/>
      <c r="Q524" s="39"/>
      <c r="R524" s="40"/>
      <c r="S524" s="40"/>
      <c r="T524" s="41"/>
      <c r="U524" s="42"/>
      <c r="V524" s="42"/>
      <c r="W524" s="43"/>
      <c r="X524" s="44"/>
      <c r="Y524" s="4"/>
      <c r="Z524" s="45"/>
      <c r="AA524" s="45"/>
      <c r="AB524" s="4"/>
    </row>
    <row r="525" spans="1:28" ht="216.75" x14ac:dyDescent="0.25">
      <c r="A525" s="78" t="s">
        <v>1676</v>
      </c>
      <c r="B525" s="102"/>
      <c r="C525" s="108"/>
      <c r="D525" s="83" t="s">
        <v>816</v>
      </c>
      <c r="E525" s="83"/>
      <c r="F525" s="83" t="s">
        <v>865</v>
      </c>
      <c r="G525" s="83" t="s">
        <v>819</v>
      </c>
      <c r="H525" s="83" t="s">
        <v>818</v>
      </c>
      <c r="I525" s="39"/>
      <c r="J525" s="39"/>
      <c r="K525" s="39"/>
      <c r="L525" s="39"/>
      <c r="M525" s="39"/>
      <c r="N525" s="39"/>
      <c r="O525" s="39"/>
      <c r="P525" s="39"/>
      <c r="Q525" s="39"/>
      <c r="R525" s="40"/>
      <c r="S525" s="40"/>
      <c r="T525" s="41"/>
      <c r="U525" s="42"/>
      <c r="V525" s="42"/>
      <c r="W525" s="43"/>
      <c r="X525" s="44"/>
      <c r="Y525" s="4"/>
      <c r="Z525" s="45"/>
      <c r="AA525" s="45"/>
      <c r="AB525" s="4"/>
    </row>
    <row r="526" spans="1:28" ht="216.75" x14ac:dyDescent="0.25">
      <c r="A526" s="78" t="s">
        <v>1676</v>
      </c>
      <c r="B526" s="103"/>
      <c r="C526" s="109"/>
      <c r="D526" s="83" t="s">
        <v>816</v>
      </c>
      <c r="E526" s="83"/>
      <c r="F526" s="83" t="s">
        <v>867</v>
      </c>
      <c r="G526" s="83" t="s">
        <v>821</v>
      </c>
      <c r="H526" s="83" t="s">
        <v>818</v>
      </c>
      <c r="I526" s="39"/>
      <c r="J526" s="39"/>
      <c r="K526" s="39"/>
      <c r="L526" s="39"/>
      <c r="M526" s="39"/>
      <c r="N526" s="39"/>
      <c r="O526" s="39"/>
      <c r="P526" s="39"/>
      <c r="Q526" s="39"/>
      <c r="R526" s="40"/>
      <c r="S526" s="40"/>
      <c r="T526" s="41"/>
      <c r="U526" s="42"/>
      <c r="V526" s="42"/>
      <c r="W526" s="43"/>
      <c r="X526" s="44"/>
      <c r="Y526" s="4"/>
      <c r="Z526" s="45"/>
      <c r="AA526" s="45"/>
      <c r="AB526" s="4"/>
    </row>
    <row r="527" spans="1:28" ht="127.5" x14ac:dyDescent="0.25">
      <c r="A527" s="78" t="s">
        <v>1678</v>
      </c>
      <c r="B527" s="98" t="s">
        <v>1679</v>
      </c>
      <c r="C527" s="101" t="s">
        <v>1680</v>
      </c>
      <c r="D527" s="74" t="s">
        <v>1681</v>
      </c>
      <c r="E527" s="74"/>
      <c r="F527" s="74" t="s">
        <v>860</v>
      </c>
      <c r="G527" s="74" t="s">
        <v>630</v>
      </c>
      <c r="H527" s="74" t="s">
        <v>631</v>
      </c>
      <c r="I527" s="39"/>
      <c r="J527" s="39"/>
      <c r="K527" s="39"/>
      <c r="L527" s="39"/>
      <c r="M527" s="39"/>
      <c r="N527" s="39"/>
      <c r="O527" s="39"/>
      <c r="P527" s="39"/>
      <c r="Q527" s="39"/>
      <c r="R527" s="40"/>
      <c r="S527" s="40"/>
      <c r="T527" s="41"/>
      <c r="U527" s="42"/>
      <c r="V527" s="42"/>
      <c r="W527" s="43"/>
      <c r="X527" s="44"/>
      <c r="Y527" s="4"/>
      <c r="Z527" s="45"/>
      <c r="AA527" s="45"/>
      <c r="AB527" s="4"/>
    </row>
    <row r="528" spans="1:28" ht="127.5" x14ac:dyDescent="0.25">
      <c r="A528" s="78" t="s">
        <v>1678</v>
      </c>
      <c r="B528" s="100"/>
      <c r="C528" s="103"/>
      <c r="D528" s="74" t="s">
        <v>1681</v>
      </c>
      <c r="E528" s="74"/>
      <c r="F528" s="74" t="s">
        <v>863</v>
      </c>
      <c r="G528" s="74" t="s">
        <v>772</v>
      </c>
      <c r="H528" s="74" t="s">
        <v>668</v>
      </c>
      <c r="I528" s="39"/>
      <c r="J528" s="39"/>
      <c r="K528" s="39"/>
      <c r="L528" s="39"/>
      <c r="M528" s="39"/>
      <c r="N528" s="39"/>
      <c r="O528" s="39"/>
      <c r="P528" s="39"/>
      <c r="Q528" s="39"/>
      <c r="R528" s="40"/>
      <c r="S528" s="40"/>
      <c r="T528" s="41"/>
      <c r="U528" s="42"/>
      <c r="V528" s="42"/>
      <c r="W528" s="43"/>
      <c r="X528" s="44"/>
      <c r="Y528" s="4"/>
      <c r="Z528" s="45"/>
      <c r="AA528" s="45"/>
      <c r="AB528" s="4"/>
    </row>
    <row r="529" spans="1:28" ht="216.75" x14ac:dyDescent="0.25">
      <c r="A529" s="78" t="s">
        <v>1682</v>
      </c>
      <c r="B529" s="101" t="s">
        <v>1683</v>
      </c>
      <c r="C529" s="101" t="s">
        <v>815</v>
      </c>
      <c r="D529" s="74" t="s">
        <v>816</v>
      </c>
      <c r="E529" s="74"/>
      <c r="F529" s="74" t="s">
        <v>860</v>
      </c>
      <c r="G529" s="74" t="s">
        <v>819</v>
      </c>
      <c r="H529" s="74" t="s">
        <v>818</v>
      </c>
      <c r="I529" s="39"/>
      <c r="J529" s="39"/>
      <c r="K529" s="39"/>
      <c r="L529" s="39"/>
      <c r="M529" s="39"/>
      <c r="N529" s="39"/>
      <c r="O529" s="39"/>
      <c r="P529" s="39"/>
      <c r="Q529" s="39"/>
      <c r="R529" s="40"/>
      <c r="S529" s="40"/>
      <c r="T529" s="41">
        <v>0</v>
      </c>
      <c r="U529" s="42"/>
      <c r="V529" s="42"/>
      <c r="W529" s="43"/>
      <c r="X529" s="44"/>
      <c r="Y529" s="4"/>
      <c r="Z529" s="45"/>
      <c r="AA529" s="45"/>
      <c r="AB529" s="4"/>
    </row>
    <row r="530" spans="1:28" ht="216.75" x14ac:dyDescent="0.25">
      <c r="A530" s="78" t="s">
        <v>1682</v>
      </c>
      <c r="B530" s="102"/>
      <c r="C530" s="102"/>
      <c r="D530" s="74" t="s">
        <v>816</v>
      </c>
      <c r="E530" s="74"/>
      <c r="F530" s="74" t="s">
        <v>863</v>
      </c>
      <c r="G530" s="74" t="s">
        <v>817</v>
      </c>
      <c r="H530" s="74" t="s">
        <v>818</v>
      </c>
      <c r="I530" s="39"/>
      <c r="J530" s="39"/>
      <c r="K530" s="39"/>
      <c r="L530" s="39"/>
      <c r="M530" s="39"/>
      <c r="N530" s="39"/>
      <c r="O530" s="39"/>
      <c r="P530" s="39"/>
      <c r="Q530" s="39"/>
      <c r="R530" s="40"/>
      <c r="S530" s="40"/>
      <c r="T530" s="41"/>
      <c r="U530" s="42"/>
      <c r="V530" s="42"/>
      <c r="W530" s="43"/>
      <c r="X530" s="44"/>
      <c r="Y530" s="4"/>
      <c r="Z530" s="45"/>
      <c r="AA530" s="45"/>
      <c r="AB530" s="4"/>
    </row>
    <row r="531" spans="1:28" ht="216.75" x14ac:dyDescent="0.25">
      <c r="A531" s="78" t="s">
        <v>1682</v>
      </c>
      <c r="B531" s="102"/>
      <c r="C531" s="102"/>
      <c r="D531" s="74" t="s">
        <v>816</v>
      </c>
      <c r="E531" s="74"/>
      <c r="F531" s="74" t="s">
        <v>865</v>
      </c>
      <c r="G531" s="74" t="s">
        <v>821</v>
      </c>
      <c r="H531" s="74" t="s">
        <v>818</v>
      </c>
      <c r="I531" s="39"/>
      <c r="J531" s="39"/>
      <c r="K531" s="39"/>
      <c r="L531" s="39"/>
      <c r="M531" s="39"/>
      <c r="N531" s="39"/>
      <c r="O531" s="39"/>
      <c r="P531" s="39"/>
      <c r="Q531" s="39"/>
      <c r="R531" s="40"/>
      <c r="S531" s="40"/>
      <c r="T531" s="41"/>
      <c r="U531" s="42"/>
      <c r="V531" s="42"/>
      <c r="W531" s="43"/>
      <c r="X531" s="44"/>
      <c r="Y531" s="4"/>
      <c r="Z531" s="45"/>
      <c r="AA531" s="45"/>
      <c r="AB531" s="4"/>
    </row>
    <row r="532" spans="1:28" ht="216.75" x14ac:dyDescent="0.25">
      <c r="A532" s="78" t="s">
        <v>1682</v>
      </c>
      <c r="B532" s="103"/>
      <c r="C532" s="103"/>
      <c r="D532" s="74" t="s">
        <v>816</v>
      </c>
      <c r="E532" s="74"/>
      <c r="F532" s="74" t="s">
        <v>867</v>
      </c>
      <c r="G532" s="74" t="s">
        <v>823</v>
      </c>
      <c r="H532" s="74" t="s">
        <v>818</v>
      </c>
      <c r="I532" s="39"/>
      <c r="J532" s="39"/>
      <c r="K532" s="39"/>
      <c r="L532" s="39"/>
      <c r="M532" s="39"/>
      <c r="N532" s="39"/>
      <c r="O532" s="39"/>
      <c r="P532" s="39"/>
      <c r="Q532" s="39"/>
      <c r="R532" s="40"/>
      <c r="S532" s="40"/>
      <c r="T532" s="41"/>
      <c r="U532" s="42"/>
      <c r="V532" s="42"/>
      <c r="W532" s="43"/>
      <c r="X532" s="44"/>
      <c r="Y532" s="4"/>
      <c r="Z532" s="45"/>
      <c r="AA532" s="45"/>
      <c r="AB532" s="4"/>
    </row>
    <row r="533" spans="1:28" ht="127.5" x14ac:dyDescent="0.25">
      <c r="A533" s="78" t="s">
        <v>1684</v>
      </c>
      <c r="B533" s="101" t="s">
        <v>1685</v>
      </c>
      <c r="C533" s="101" t="s">
        <v>1680</v>
      </c>
      <c r="D533" s="74" t="s">
        <v>1681</v>
      </c>
      <c r="E533" s="74"/>
      <c r="F533" s="74" t="s">
        <v>860</v>
      </c>
      <c r="G533" s="74" t="s">
        <v>772</v>
      </c>
      <c r="H533" s="74" t="s">
        <v>668</v>
      </c>
      <c r="I533" s="39"/>
      <c r="J533" s="39"/>
      <c r="K533" s="39"/>
      <c r="L533" s="39"/>
      <c r="M533" s="39"/>
      <c r="N533" s="39"/>
      <c r="O533" s="39"/>
      <c r="P533" s="39"/>
      <c r="Q533" s="39"/>
      <c r="R533" s="40"/>
      <c r="S533" s="40"/>
      <c r="T533" s="41">
        <v>0</v>
      </c>
      <c r="U533" s="42"/>
      <c r="V533" s="42"/>
      <c r="W533" s="43"/>
      <c r="X533" s="44"/>
      <c r="Y533" s="4"/>
      <c r="Z533" s="45"/>
      <c r="AA533" s="45"/>
      <c r="AB533" s="4"/>
    </row>
    <row r="534" spans="1:28" ht="127.5" x14ac:dyDescent="0.25">
      <c r="A534" s="78" t="s">
        <v>1684</v>
      </c>
      <c r="B534" s="103"/>
      <c r="C534" s="103"/>
      <c r="D534" s="74" t="s">
        <v>1681</v>
      </c>
      <c r="E534" s="74"/>
      <c r="F534" s="74" t="s">
        <v>863</v>
      </c>
      <c r="G534" s="74" t="s">
        <v>630</v>
      </c>
      <c r="H534" s="74" t="s">
        <v>631</v>
      </c>
      <c r="I534" s="39"/>
      <c r="J534" s="39"/>
      <c r="K534" s="39"/>
      <c r="L534" s="39"/>
      <c r="M534" s="39"/>
      <c r="N534" s="39"/>
      <c r="O534" s="39"/>
      <c r="P534" s="39"/>
      <c r="Q534" s="39"/>
      <c r="R534" s="40"/>
      <c r="S534" s="40"/>
      <c r="T534" s="41">
        <v>0</v>
      </c>
      <c r="U534" s="42"/>
      <c r="V534" s="42"/>
      <c r="W534" s="43"/>
      <c r="X534" s="44"/>
      <c r="Y534" s="4"/>
      <c r="Z534" s="45"/>
      <c r="AA534" s="45"/>
      <c r="AB534" s="4"/>
    </row>
    <row r="535" spans="1:28" ht="127.5" x14ac:dyDescent="0.25">
      <c r="A535" s="78" t="s">
        <v>1686</v>
      </c>
      <c r="B535" s="98" t="s">
        <v>1687</v>
      </c>
      <c r="C535" s="101" t="s">
        <v>1680</v>
      </c>
      <c r="D535" s="74" t="s">
        <v>1681</v>
      </c>
      <c r="E535" s="74"/>
      <c r="F535" s="74" t="s">
        <v>860</v>
      </c>
      <c r="G535" s="74" t="s">
        <v>630</v>
      </c>
      <c r="H535" s="74" t="s">
        <v>631</v>
      </c>
      <c r="I535" s="39"/>
      <c r="J535" s="39"/>
      <c r="K535" s="39"/>
      <c r="L535" s="39"/>
      <c r="M535" s="39"/>
      <c r="N535" s="39"/>
      <c r="O535" s="39"/>
      <c r="P535" s="39"/>
      <c r="Q535" s="39"/>
      <c r="R535" s="40"/>
      <c r="S535" s="40"/>
      <c r="T535" s="41"/>
      <c r="U535" s="42"/>
      <c r="V535" s="42"/>
      <c r="W535" s="43"/>
      <c r="X535" s="44"/>
      <c r="Y535" s="4"/>
      <c r="Z535" s="45"/>
      <c r="AA535" s="45"/>
      <c r="AB535" s="4"/>
    </row>
    <row r="536" spans="1:28" ht="127.5" x14ac:dyDescent="0.25">
      <c r="A536" s="78" t="s">
        <v>1686</v>
      </c>
      <c r="B536" s="100"/>
      <c r="C536" s="103"/>
      <c r="D536" s="74" t="s">
        <v>1681</v>
      </c>
      <c r="E536" s="74"/>
      <c r="F536" s="74" t="s">
        <v>863</v>
      </c>
      <c r="G536" s="74" t="s">
        <v>772</v>
      </c>
      <c r="H536" s="74" t="s">
        <v>668</v>
      </c>
      <c r="I536" s="39"/>
      <c r="J536" s="39"/>
      <c r="K536" s="39"/>
      <c r="L536" s="39"/>
      <c r="M536" s="39"/>
      <c r="N536" s="39"/>
      <c r="O536" s="39"/>
      <c r="P536" s="39"/>
      <c r="Q536" s="39"/>
      <c r="R536" s="40"/>
      <c r="S536" s="40"/>
      <c r="T536" s="41"/>
      <c r="U536" s="42"/>
      <c r="V536" s="42"/>
      <c r="W536" s="43"/>
      <c r="X536" s="44"/>
      <c r="Y536" s="4"/>
      <c r="Z536" s="45"/>
      <c r="AA536" s="45"/>
      <c r="AB536" s="4"/>
    </row>
    <row r="537" spans="1:28" ht="127.5" x14ac:dyDescent="0.25">
      <c r="A537" s="78" t="s">
        <v>1688</v>
      </c>
      <c r="B537" s="98" t="s">
        <v>1689</v>
      </c>
      <c r="C537" s="101" t="s">
        <v>1680</v>
      </c>
      <c r="D537" s="74" t="s">
        <v>1681</v>
      </c>
      <c r="E537" s="74"/>
      <c r="F537" s="74" t="s">
        <v>860</v>
      </c>
      <c r="G537" s="74" t="s">
        <v>772</v>
      </c>
      <c r="H537" s="74" t="s">
        <v>668</v>
      </c>
      <c r="I537" s="39"/>
      <c r="J537" s="39"/>
      <c r="K537" s="39"/>
      <c r="L537" s="39"/>
      <c r="M537" s="39"/>
      <c r="N537" s="39"/>
      <c r="O537" s="39"/>
      <c r="P537" s="39"/>
      <c r="Q537" s="39"/>
      <c r="R537" s="40"/>
      <c r="S537" s="40"/>
      <c r="T537" s="41">
        <v>0</v>
      </c>
      <c r="U537" s="42"/>
      <c r="V537" s="42"/>
      <c r="W537" s="43"/>
      <c r="X537" s="44"/>
      <c r="Y537" s="4"/>
      <c r="Z537" s="45"/>
      <c r="AA537" s="45"/>
      <c r="AB537" s="4"/>
    </row>
    <row r="538" spans="1:28" ht="127.5" x14ac:dyDescent="0.25">
      <c r="A538" s="78" t="s">
        <v>1688</v>
      </c>
      <c r="B538" s="100"/>
      <c r="C538" s="103"/>
      <c r="D538" s="74" t="s">
        <v>1681</v>
      </c>
      <c r="E538" s="74"/>
      <c r="F538" s="74" t="s">
        <v>863</v>
      </c>
      <c r="G538" s="74" t="s">
        <v>630</v>
      </c>
      <c r="H538" s="74" t="s">
        <v>631</v>
      </c>
      <c r="I538" s="39"/>
      <c r="J538" s="39"/>
      <c r="K538" s="39"/>
      <c r="L538" s="39"/>
      <c r="M538" s="39"/>
      <c r="N538" s="39"/>
      <c r="O538" s="39"/>
      <c r="P538" s="39"/>
      <c r="Q538" s="39"/>
      <c r="R538" s="40"/>
      <c r="S538" s="40"/>
      <c r="T538" s="41"/>
      <c r="U538" s="42"/>
      <c r="V538" s="42"/>
      <c r="W538" s="43"/>
      <c r="X538" s="44"/>
      <c r="Y538" s="4"/>
      <c r="Z538" s="45"/>
      <c r="AA538" s="45"/>
      <c r="AB538" s="4"/>
    </row>
    <row r="539" spans="1:28" ht="127.5" x14ac:dyDescent="0.25">
      <c r="A539" s="78" t="s">
        <v>1690</v>
      </c>
      <c r="B539" s="98" t="s">
        <v>1691</v>
      </c>
      <c r="C539" s="101" t="s">
        <v>1680</v>
      </c>
      <c r="D539" s="74" t="s">
        <v>1681</v>
      </c>
      <c r="E539" s="74"/>
      <c r="F539" s="74" t="s">
        <v>860</v>
      </c>
      <c r="G539" s="74" t="s">
        <v>630</v>
      </c>
      <c r="H539" s="74" t="s">
        <v>631</v>
      </c>
      <c r="I539" s="39"/>
      <c r="J539" s="39"/>
      <c r="K539" s="39"/>
      <c r="L539" s="39"/>
      <c r="M539" s="39"/>
      <c r="N539" s="39"/>
      <c r="O539" s="39"/>
      <c r="P539" s="39"/>
      <c r="Q539" s="39"/>
      <c r="R539" s="40"/>
      <c r="S539" s="40"/>
      <c r="T539" s="41">
        <v>0</v>
      </c>
      <c r="U539" s="42"/>
      <c r="V539" s="42"/>
      <c r="W539" s="43"/>
      <c r="X539" s="44"/>
      <c r="Y539" s="4"/>
      <c r="Z539" s="45"/>
      <c r="AA539" s="45"/>
      <c r="AB539" s="4"/>
    </row>
    <row r="540" spans="1:28" ht="127.5" x14ac:dyDescent="0.25">
      <c r="A540" s="78" t="s">
        <v>1690</v>
      </c>
      <c r="B540" s="100"/>
      <c r="C540" s="103"/>
      <c r="D540" s="74" t="s">
        <v>1681</v>
      </c>
      <c r="E540" s="74"/>
      <c r="F540" s="74" t="s">
        <v>863</v>
      </c>
      <c r="G540" s="74" t="s">
        <v>772</v>
      </c>
      <c r="H540" s="74" t="s">
        <v>668</v>
      </c>
      <c r="I540" s="39"/>
      <c r="J540" s="39"/>
      <c r="K540" s="39"/>
      <c r="L540" s="39"/>
      <c r="M540" s="39"/>
      <c r="N540" s="39"/>
      <c r="O540" s="39"/>
      <c r="P540" s="39"/>
      <c r="Q540" s="39"/>
      <c r="R540" s="40"/>
      <c r="S540" s="40"/>
      <c r="T540" s="41"/>
      <c r="U540" s="42"/>
      <c r="V540" s="42"/>
      <c r="W540" s="43"/>
      <c r="X540" s="44"/>
      <c r="Y540" s="4"/>
      <c r="Z540" s="45"/>
      <c r="AA540" s="45"/>
      <c r="AB540" s="4"/>
    </row>
    <row r="541" spans="1:28" ht="127.5" x14ac:dyDescent="0.25">
      <c r="A541" s="78" t="s">
        <v>1692</v>
      </c>
      <c r="B541" s="98" t="s">
        <v>1693</v>
      </c>
      <c r="C541" s="101" t="s">
        <v>1680</v>
      </c>
      <c r="D541" s="74" t="s">
        <v>1681</v>
      </c>
      <c r="E541" s="74"/>
      <c r="F541" s="74" t="s">
        <v>860</v>
      </c>
      <c r="G541" s="74" t="s">
        <v>772</v>
      </c>
      <c r="H541" s="74" t="s">
        <v>668</v>
      </c>
      <c r="I541" s="39"/>
      <c r="J541" s="39"/>
      <c r="K541" s="39"/>
      <c r="L541" s="39"/>
      <c r="M541" s="39"/>
      <c r="N541" s="39"/>
      <c r="O541" s="39"/>
      <c r="P541" s="39"/>
      <c r="Q541" s="39"/>
      <c r="R541" s="40"/>
      <c r="S541" s="40"/>
      <c r="T541" s="41">
        <v>0</v>
      </c>
      <c r="U541" s="42"/>
      <c r="V541" s="42"/>
      <c r="W541" s="43"/>
      <c r="X541" s="44"/>
      <c r="Y541" s="4"/>
      <c r="Z541" s="45"/>
      <c r="AA541" s="45"/>
      <c r="AB541" s="4"/>
    </row>
    <row r="542" spans="1:28" ht="127.5" x14ac:dyDescent="0.25">
      <c r="A542" s="78" t="s">
        <v>1692</v>
      </c>
      <c r="B542" s="100"/>
      <c r="C542" s="103"/>
      <c r="D542" s="74" t="s">
        <v>1681</v>
      </c>
      <c r="E542" s="74"/>
      <c r="F542" s="74" t="s">
        <v>863</v>
      </c>
      <c r="G542" s="74" t="s">
        <v>630</v>
      </c>
      <c r="H542" s="74" t="s">
        <v>631</v>
      </c>
      <c r="I542" s="39"/>
      <c r="J542" s="39"/>
      <c r="K542" s="39"/>
      <c r="L542" s="39"/>
      <c r="M542" s="39"/>
      <c r="N542" s="39"/>
      <c r="O542" s="39"/>
      <c r="P542" s="39"/>
      <c r="Q542" s="39"/>
      <c r="R542" s="40"/>
      <c r="S542" s="40"/>
      <c r="T542" s="41"/>
      <c r="U542" s="42"/>
      <c r="V542" s="42"/>
      <c r="W542" s="43"/>
      <c r="X542" s="44"/>
      <c r="Y542" s="4"/>
      <c r="Z542" s="45"/>
      <c r="AA542" s="45"/>
      <c r="AB542" s="4"/>
    </row>
    <row r="543" spans="1:28" ht="127.5" x14ac:dyDescent="0.25">
      <c r="A543" s="78" t="s">
        <v>1694</v>
      </c>
      <c r="B543" s="98" t="s">
        <v>1695</v>
      </c>
      <c r="C543" s="101" t="s">
        <v>1680</v>
      </c>
      <c r="D543" s="74" t="s">
        <v>1681</v>
      </c>
      <c r="E543" s="74"/>
      <c r="F543" s="74" t="s">
        <v>860</v>
      </c>
      <c r="G543" s="74" t="s">
        <v>772</v>
      </c>
      <c r="H543" s="74" t="s">
        <v>668</v>
      </c>
      <c r="I543" s="39"/>
      <c r="J543" s="39"/>
      <c r="K543" s="39"/>
      <c r="L543" s="39"/>
      <c r="M543" s="39"/>
      <c r="N543" s="39"/>
      <c r="O543" s="39"/>
      <c r="P543" s="39"/>
      <c r="Q543" s="39"/>
      <c r="R543" s="40"/>
      <c r="S543" s="40"/>
      <c r="T543" s="41">
        <v>0</v>
      </c>
      <c r="U543" s="42"/>
      <c r="V543" s="42"/>
      <c r="W543" s="43"/>
      <c r="X543" s="44"/>
      <c r="Y543" s="4"/>
      <c r="Z543" s="45"/>
      <c r="AA543" s="45"/>
      <c r="AB543" s="4"/>
    </row>
    <row r="544" spans="1:28" ht="127.5" x14ac:dyDescent="0.25">
      <c r="A544" s="78" t="s">
        <v>1694</v>
      </c>
      <c r="B544" s="100"/>
      <c r="C544" s="103"/>
      <c r="D544" s="74" t="s">
        <v>1681</v>
      </c>
      <c r="E544" s="74"/>
      <c r="F544" s="74" t="s">
        <v>863</v>
      </c>
      <c r="G544" s="74" t="s">
        <v>630</v>
      </c>
      <c r="H544" s="74" t="s">
        <v>631</v>
      </c>
      <c r="I544" s="39"/>
      <c r="J544" s="39"/>
      <c r="K544" s="39"/>
      <c r="L544" s="39"/>
      <c r="M544" s="39"/>
      <c r="N544" s="39"/>
      <c r="O544" s="39"/>
      <c r="P544" s="39"/>
      <c r="Q544" s="39"/>
      <c r="R544" s="40"/>
      <c r="S544" s="40"/>
      <c r="T544" s="41"/>
      <c r="U544" s="42"/>
      <c r="V544" s="42"/>
      <c r="W544" s="43"/>
      <c r="X544" s="44"/>
      <c r="Y544" s="4"/>
      <c r="Z544" s="45"/>
      <c r="AA544" s="45"/>
      <c r="AB544" s="4"/>
    </row>
    <row r="545" spans="1:28" ht="127.5" x14ac:dyDescent="0.25">
      <c r="A545" s="78" t="s">
        <v>1696</v>
      </c>
      <c r="B545" s="98" t="s">
        <v>1697</v>
      </c>
      <c r="C545" s="101" t="s">
        <v>1680</v>
      </c>
      <c r="D545" s="74" t="s">
        <v>1681</v>
      </c>
      <c r="E545" s="74"/>
      <c r="F545" s="74" t="s">
        <v>860</v>
      </c>
      <c r="G545" s="74" t="s">
        <v>630</v>
      </c>
      <c r="H545" s="74" t="s">
        <v>631</v>
      </c>
      <c r="I545" s="39"/>
      <c r="J545" s="39"/>
      <c r="K545" s="39"/>
      <c r="L545" s="39"/>
      <c r="M545" s="39"/>
      <c r="N545" s="39"/>
      <c r="O545" s="39"/>
      <c r="P545" s="39"/>
      <c r="Q545" s="39"/>
      <c r="R545" s="40"/>
      <c r="S545" s="40"/>
      <c r="T545" s="41">
        <v>0</v>
      </c>
      <c r="U545" s="42"/>
      <c r="V545" s="42"/>
      <c r="W545" s="43"/>
      <c r="X545" s="44"/>
      <c r="Y545" s="4"/>
      <c r="Z545" s="45"/>
      <c r="AA545" s="45"/>
      <c r="AB545" s="4"/>
    </row>
    <row r="546" spans="1:28" ht="127.5" x14ac:dyDescent="0.25">
      <c r="A546" s="78" t="s">
        <v>1696</v>
      </c>
      <c r="B546" s="100"/>
      <c r="C546" s="103"/>
      <c r="D546" s="74" t="s">
        <v>1681</v>
      </c>
      <c r="E546" s="74"/>
      <c r="F546" s="74" t="s">
        <v>863</v>
      </c>
      <c r="G546" s="74" t="s">
        <v>772</v>
      </c>
      <c r="H546" s="74" t="s">
        <v>668</v>
      </c>
      <c r="I546" s="39"/>
      <c r="J546" s="39"/>
      <c r="K546" s="39"/>
      <c r="L546" s="39"/>
      <c r="M546" s="39"/>
      <c r="N546" s="39"/>
      <c r="O546" s="39"/>
      <c r="P546" s="39"/>
      <c r="Q546" s="39"/>
      <c r="R546" s="40"/>
      <c r="S546" s="40"/>
      <c r="T546" s="41"/>
      <c r="U546" s="42"/>
      <c r="V546" s="42"/>
      <c r="W546" s="43"/>
      <c r="X546" s="44"/>
      <c r="Y546" s="4"/>
      <c r="Z546" s="45"/>
      <c r="AA546" s="45"/>
      <c r="AB546" s="4"/>
    </row>
    <row r="547" spans="1:28" ht="127.5" x14ac:dyDescent="0.25">
      <c r="A547" s="78" t="s">
        <v>1698</v>
      </c>
      <c r="B547" s="98" t="s">
        <v>1699</v>
      </c>
      <c r="C547" s="101" t="s">
        <v>1680</v>
      </c>
      <c r="D547" s="74" t="s">
        <v>1681</v>
      </c>
      <c r="E547" s="74"/>
      <c r="F547" s="74" t="s">
        <v>860</v>
      </c>
      <c r="G547" s="74" t="s">
        <v>772</v>
      </c>
      <c r="H547" s="74" t="s">
        <v>668</v>
      </c>
      <c r="I547" s="39"/>
      <c r="J547" s="39"/>
      <c r="K547" s="39"/>
      <c r="L547" s="39"/>
      <c r="M547" s="39"/>
      <c r="N547" s="39"/>
      <c r="O547" s="39"/>
      <c r="P547" s="39"/>
      <c r="Q547" s="39"/>
      <c r="R547" s="40"/>
      <c r="S547" s="40"/>
      <c r="T547" s="41">
        <v>0</v>
      </c>
      <c r="U547" s="42"/>
      <c r="V547" s="42"/>
      <c r="W547" s="43"/>
      <c r="X547" s="44"/>
      <c r="Y547" s="4"/>
      <c r="Z547" s="45"/>
      <c r="AA547" s="45"/>
      <c r="AB547" s="4"/>
    </row>
    <row r="548" spans="1:28" ht="127.5" x14ac:dyDescent="0.25">
      <c r="A548" s="78" t="s">
        <v>1698</v>
      </c>
      <c r="B548" s="100" t="s">
        <v>1699</v>
      </c>
      <c r="C548" s="103"/>
      <c r="D548" s="74" t="s">
        <v>1681</v>
      </c>
      <c r="E548" s="74"/>
      <c r="F548" s="74" t="s">
        <v>863</v>
      </c>
      <c r="G548" s="74" t="s">
        <v>630</v>
      </c>
      <c r="H548" s="74" t="s">
        <v>631</v>
      </c>
      <c r="I548" s="39"/>
      <c r="J548" s="39"/>
      <c r="K548" s="39"/>
      <c r="L548" s="39"/>
      <c r="M548" s="39"/>
      <c r="N548" s="39"/>
      <c r="O548" s="39"/>
      <c r="P548" s="39"/>
      <c r="Q548" s="39"/>
      <c r="R548" s="40"/>
      <c r="S548" s="40"/>
      <c r="T548" s="41"/>
      <c r="U548" s="42"/>
      <c r="V548" s="42"/>
      <c r="W548" s="43"/>
      <c r="X548" s="44"/>
      <c r="Y548" s="4"/>
      <c r="Z548" s="45"/>
      <c r="AA548" s="45"/>
      <c r="AB548" s="4"/>
    </row>
    <row r="549" spans="1:28" ht="204" x14ac:dyDescent="0.25">
      <c r="A549" s="78" t="s">
        <v>1700</v>
      </c>
      <c r="B549" s="98" t="s">
        <v>1701</v>
      </c>
      <c r="C549" s="101" t="s">
        <v>1702</v>
      </c>
      <c r="D549" s="74" t="s">
        <v>1703</v>
      </c>
      <c r="E549" s="74"/>
      <c r="F549" s="74" t="s">
        <v>860</v>
      </c>
      <c r="G549" s="74" t="s">
        <v>540</v>
      </c>
      <c r="H549" s="74" t="s">
        <v>1704</v>
      </c>
      <c r="I549" s="39"/>
      <c r="J549" s="39"/>
      <c r="K549" s="39"/>
      <c r="L549" s="39"/>
      <c r="M549" s="39"/>
      <c r="N549" s="39"/>
      <c r="O549" s="39"/>
      <c r="P549" s="39"/>
      <c r="Q549" s="39"/>
      <c r="R549" s="40"/>
      <c r="S549" s="40"/>
      <c r="T549" s="41">
        <v>0</v>
      </c>
      <c r="U549" s="42"/>
      <c r="V549" s="42"/>
      <c r="W549" s="43"/>
      <c r="X549" s="44"/>
      <c r="Y549" s="4"/>
      <c r="Z549" s="45"/>
      <c r="AA549" s="45"/>
      <c r="AB549" s="4"/>
    </row>
    <row r="550" spans="1:28" ht="204" x14ac:dyDescent="0.25">
      <c r="A550" s="78" t="s">
        <v>1700</v>
      </c>
      <c r="B550" s="99"/>
      <c r="C550" s="102"/>
      <c r="D550" s="74" t="s">
        <v>1703</v>
      </c>
      <c r="E550" s="74"/>
      <c r="F550" s="74" t="s">
        <v>863</v>
      </c>
      <c r="G550" s="74" t="s">
        <v>1655</v>
      </c>
      <c r="H550" s="74" t="s">
        <v>1705</v>
      </c>
      <c r="I550" s="39"/>
      <c r="J550" s="39"/>
      <c r="K550" s="39"/>
      <c r="L550" s="39"/>
      <c r="M550" s="39"/>
      <c r="N550" s="39"/>
      <c r="O550" s="39"/>
      <c r="P550" s="39"/>
      <c r="Q550" s="39"/>
      <c r="R550" s="40"/>
      <c r="S550" s="40"/>
      <c r="T550" s="41"/>
      <c r="U550" s="42"/>
      <c r="V550" s="42"/>
      <c r="W550" s="43"/>
      <c r="X550" s="44"/>
      <c r="Y550" s="4"/>
      <c r="Z550" s="45"/>
      <c r="AA550" s="45"/>
      <c r="AB550" s="4"/>
    </row>
    <row r="551" spans="1:28" ht="204" x14ac:dyDescent="0.25">
      <c r="A551" s="78" t="s">
        <v>1700</v>
      </c>
      <c r="B551" s="100"/>
      <c r="C551" s="103"/>
      <c r="D551" s="74" t="s">
        <v>1703</v>
      </c>
      <c r="E551" s="74"/>
      <c r="F551" s="74" t="s">
        <v>865</v>
      </c>
      <c r="G551" s="74" t="s">
        <v>1706</v>
      </c>
      <c r="H551" s="74" t="s">
        <v>1707</v>
      </c>
      <c r="I551" s="39"/>
      <c r="J551" s="39"/>
      <c r="K551" s="39"/>
      <c r="L551" s="39"/>
      <c r="M551" s="39"/>
      <c r="N551" s="39"/>
      <c r="O551" s="39"/>
      <c r="P551" s="39"/>
      <c r="Q551" s="39"/>
      <c r="R551" s="40"/>
      <c r="S551" s="40"/>
      <c r="T551" s="41"/>
      <c r="U551" s="42"/>
      <c r="V551" s="42"/>
      <c r="W551" s="43"/>
      <c r="X551" s="44"/>
      <c r="Y551" s="4"/>
      <c r="Z551" s="45"/>
      <c r="AA551" s="45"/>
      <c r="AB551" s="4"/>
    </row>
    <row r="552" spans="1:28" ht="229.5" x14ac:dyDescent="0.25">
      <c r="A552" s="78" t="s">
        <v>1708</v>
      </c>
      <c r="B552" s="98" t="s">
        <v>1709</v>
      </c>
      <c r="C552" s="101" t="s">
        <v>1595</v>
      </c>
      <c r="D552" s="74" t="s">
        <v>1596</v>
      </c>
      <c r="E552" s="74"/>
      <c r="F552" s="74" t="s">
        <v>860</v>
      </c>
      <c r="G552" s="74" t="s">
        <v>1596</v>
      </c>
      <c r="H552" s="74" t="s">
        <v>1595</v>
      </c>
      <c r="I552" s="39"/>
      <c r="J552" s="39"/>
      <c r="K552" s="39"/>
      <c r="L552" s="39"/>
      <c r="M552" s="39"/>
      <c r="N552" s="39"/>
      <c r="O552" s="39"/>
      <c r="P552" s="39"/>
      <c r="Q552" s="39"/>
      <c r="R552" s="40"/>
      <c r="S552" s="40"/>
      <c r="T552" s="41">
        <v>0</v>
      </c>
      <c r="U552" s="42"/>
      <c r="V552" s="42"/>
      <c r="W552" s="43"/>
      <c r="X552" s="44"/>
      <c r="Y552" s="4"/>
      <c r="Z552" s="45"/>
      <c r="AA552" s="45"/>
      <c r="AB552" s="4"/>
    </row>
    <row r="553" spans="1:28" ht="229.5" x14ac:dyDescent="0.25">
      <c r="A553" s="78" t="s">
        <v>1708</v>
      </c>
      <c r="B553" s="99"/>
      <c r="C553" s="102"/>
      <c r="D553" s="74" t="s">
        <v>1596</v>
      </c>
      <c r="E553" s="74"/>
      <c r="F553" s="74" t="s">
        <v>863</v>
      </c>
      <c r="G553" s="74" t="s">
        <v>1596</v>
      </c>
      <c r="H553" s="74" t="s">
        <v>1595</v>
      </c>
      <c r="I553" s="39"/>
      <c r="J553" s="39"/>
      <c r="K553" s="39"/>
      <c r="L553" s="39"/>
      <c r="M553" s="39"/>
      <c r="N553" s="39"/>
      <c r="O553" s="39"/>
      <c r="P553" s="39"/>
      <c r="Q553" s="39"/>
      <c r="R553" s="40"/>
      <c r="S553" s="40"/>
      <c r="T553" s="41"/>
      <c r="U553" s="42"/>
      <c r="V553" s="42"/>
      <c r="W553" s="43"/>
      <c r="X553" s="44"/>
      <c r="Y553" s="4"/>
      <c r="Z553" s="45"/>
      <c r="AA553" s="45"/>
      <c r="AB553" s="4"/>
    </row>
    <row r="554" spans="1:28" ht="229.5" x14ac:dyDescent="0.25">
      <c r="A554" s="78" t="s">
        <v>1708</v>
      </c>
      <c r="B554" s="100"/>
      <c r="C554" s="103"/>
      <c r="D554" s="74" t="s">
        <v>1596</v>
      </c>
      <c r="E554" s="74"/>
      <c r="F554" s="74" t="s">
        <v>865</v>
      </c>
      <c r="G554" s="74" t="s">
        <v>1597</v>
      </c>
      <c r="H554" s="74" t="s">
        <v>1595</v>
      </c>
      <c r="I554" s="39"/>
      <c r="J554" s="39"/>
      <c r="K554" s="39"/>
      <c r="L554" s="39"/>
      <c r="M554" s="39"/>
      <c r="N554" s="39"/>
      <c r="O554" s="39"/>
      <c r="P554" s="39"/>
      <c r="Q554" s="39"/>
      <c r="R554" s="40"/>
      <c r="S554" s="40"/>
      <c r="T554" s="41"/>
      <c r="U554" s="42"/>
      <c r="V554" s="42"/>
      <c r="W554" s="43"/>
      <c r="X554" s="44"/>
      <c r="Y554" s="4"/>
      <c r="Z554" s="45"/>
      <c r="AA554" s="45"/>
      <c r="AB554" s="4"/>
    </row>
    <row r="555" spans="1:28" ht="409.5" x14ac:dyDescent="0.25">
      <c r="A555" s="110" t="s">
        <v>1710</v>
      </c>
      <c r="B555" s="98" t="s">
        <v>1711</v>
      </c>
      <c r="C555" s="101" t="s">
        <v>1712</v>
      </c>
      <c r="D555" s="74" t="s">
        <v>1713</v>
      </c>
      <c r="E555" s="74"/>
      <c r="F555" s="74" t="s">
        <v>860</v>
      </c>
      <c r="G555" s="74" t="s">
        <v>1713</v>
      </c>
      <c r="H555" s="74" t="s">
        <v>1712</v>
      </c>
      <c r="I555" s="39"/>
      <c r="J555" s="39"/>
      <c r="K555" s="39"/>
      <c r="L555" s="39"/>
      <c r="M555" s="39"/>
      <c r="N555" s="39"/>
      <c r="O555" s="39"/>
      <c r="P555" s="39"/>
      <c r="Q555" s="39"/>
      <c r="R555" s="40"/>
      <c r="S555" s="40"/>
      <c r="T555" s="41">
        <v>0.74</v>
      </c>
      <c r="U555" s="42" t="s">
        <v>1714</v>
      </c>
      <c r="V555" s="42"/>
      <c r="W555" s="43"/>
      <c r="X555" s="44"/>
      <c r="Y555" s="4"/>
      <c r="Z555" s="45"/>
      <c r="AA555" s="45"/>
      <c r="AB555" s="4"/>
    </row>
    <row r="556" spans="1:28" ht="409.5" x14ac:dyDescent="0.25">
      <c r="A556" s="110"/>
      <c r="B556" s="99"/>
      <c r="C556" s="102"/>
      <c r="D556" s="74"/>
      <c r="E556" s="74"/>
      <c r="F556" s="74" t="s">
        <v>863</v>
      </c>
      <c r="G556" s="74" t="s">
        <v>1715</v>
      </c>
      <c r="H556" s="74" t="s">
        <v>1712</v>
      </c>
      <c r="I556" s="39"/>
      <c r="J556" s="39"/>
      <c r="K556" s="39"/>
      <c r="L556" s="39"/>
      <c r="M556" s="39"/>
      <c r="N556" s="39"/>
      <c r="O556" s="39"/>
      <c r="P556" s="39"/>
      <c r="Q556" s="39"/>
      <c r="R556" s="40"/>
      <c r="S556" s="40"/>
      <c r="T556" s="41"/>
      <c r="U556" s="42"/>
      <c r="V556" s="42"/>
      <c r="W556" s="43"/>
      <c r="X556" s="44"/>
      <c r="Y556" s="4"/>
      <c r="Z556" s="45"/>
      <c r="AA556" s="45"/>
      <c r="AB556" s="4"/>
    </row>
    <row r="557" spans="1:28" ht="409.5" x14ac:dyDescent="0.25">
      <c r="A557" s="110"/>
      <c r="B557" s="99"/>
      <c r="C557" s="102"/>
      <c r="D557" s="74"/>
      <c r="E557" s="74"/>
      <c r="F557" s="74" t="s">
        <v>865</v>
      </c>
      <c r="G557" s="74" t="s">
        <v>1716</v>
      </c>
      <c r="H557" s="74" t="s">
        <v>1712</v>
      </c>
      <c r="I557" s="39"/>
      <c r="J557" s="39"/>
      <c r="K557" s="39"/>
      <c r="L557" s="39"/>
      <c r="M557" s="39"/>
      <c r="N557" s="39"/>
      <c r="O557" s="39"/>
      <c r="P557" s="39"/>
      <c r="Q557" s="39"/>
      <c r="R557" s="40"/>
      <c r="S557" s="40"/>
      <c r="T557" s="41"/>
      <c r="U557" s="42"/>
      <c r="V557" s="42"/>
      <c r="W557" s="43"/>
      <c r="X557" s="44"/>
      <c r="Y557" s="4"/>
      <c r="Z557" s="45"/>
      <c r="AA557" s="45"/>
      <c r="AB557" s="4"/>
    </row>
    <row r="558" spans="1:28" ht="409.5" x14ac:dyDescent="0.25">
      <c r="A558" s="110"/>
      <c r="B558" s="100"/>
      <c r="C558" s="103"/>
      <c r="D558" s="74"/>
      <c r="E558" s="74"/>
      <c r="F558" s="74" t="s">
        <v>867</v>
      </c>
      <c r="G558" s="74" t="s">
        <v>1717</v>
      </c>
      <c r="H558" s="74" t="s">
        <v>1712</v>
      </c>
      <c r="I558" s="39"/>
      <c r="J558" s="39"/>
      <c r="K558" s="39"/>
      <c r="L558" s="39"/>
      <c r="M558" s="39"/>
      <c r="N558" s="39"/>
      <c r="O558" s="39"/>
      <c r="P558" s="39"/>
      <c r="Q558" s="39"/>
      <c r="R558" s="40"/>
      <c r="S558" s="40"/>
      <c r="T558" s="41"/>
      <c r="U558" s="42"/>
      <c r="V558" s="42"/>
      <c r="W558" s="43"/>
      <c r="X558" s="44"/>
      <c r="Y558" s="4"/>
      <c r="Z558" s="45"/>
      <c r="AA558" s="45"/>
      <c r="AB558" s="4"/>
    </row>
    <row r="559" spans="1:28" ht="409.5" x14ac:dyDescent="0.25">
      <c r="A559" s="78" t="s">
        <v>1718</v>
      </c>
      <c r="B559" s="104" t="s">
        <v>1719</v>
      </c>
      <c r="C559" s="104" t="s">
        <v>1712</v>
      </c>
      <c r="D559" s="83" t="s">
        <v>1713</v>
      </c>
      <c r="E559" s="83"/>
      <c r="F559" s="83" t="s">
        <v>860</v>
      </c>
      <c r="G559" s="83" t="s">
        <v>1715</v>
      </c>
      <c r="H559" s="83" t="s">
        <v>1712</v>
      </c>
      <c r="I559" s="39"/>
      <c r="J559" s="39"/>
      <c r="K559" s="39"/>
      <c r="L559" s="39"/>
      <c r="M559" s="39"/>
      <c r="N559" s="39"/>
      <c r="O559" s="39"/>
      <c r="P559" s="39"/>
      <c r="Q559" s="39"/>
      <c r="R559" s="40"/>
      <c r="S559" s="40"/>
      <c r="T559" s="41">
        <v>0.74</v>
      </c>
      <c r="U559" s="42" t="s">
        <v>1714</v>
      </c>
      <c r="V559" s="42"/>
      <c r="W559" s="43"/>
      <c r="X559" s="44"/>
      <c r="Y559" s="4"/>
      <c r="Z559" s="45"/>
      <c r="AA559" s="45"/>
      <c r="AB559" s="4"/>
    </row>
    <row r="560" spans="1:28" ht="409.5" x14ac:dyDescent="0.25">
      <c r="A560" s="78" t="s">
        <v>1718</v>
      </c>
      <c r="B560" s="105"/>
      <c r="C560" s="105"/>
      <c r="D560" s="83" t="s">
        <v>1713</v>
      </c>
      <c r="E560" s="83"/>
      <c r="F560" s="83" t="s">
        <v>863</v>
      </c>
      <c r="G560" s="83" t="s">
        <v>1716</v>
      </c>
      <c r="H560" s="83" t="s">
        <v>1712</v>
      </c>
      <c r="I560" s="39"/>
      <c r="J560" s="39"/>
      <c r="K560" s="39"/>
      <c r="L560" s="39"/>
      <c r="M560" s="39"/>
      <c r="N560" s="39"/>
      <c r="O560" s="39"/>
      <c r="P560" s="39"/>
      <c r="Q560" s="39"/>
      <c r="R560" s="40"/>
      <c r="S560" s="40"/>
      <c r="T560" s="41"/>
      <c r="U560" s="42"/>
      <c r="V560" s="42"/>
      <c r="W560" s="43"/>
      <c r="X560" s="44"/>
      <c r="Y560" s="4"/>
      <c r="Z560" s="45"/>
      <c r="AA560" s="45"/>
      <c r="AB560" s="4"/>
    </row>
    <row r="561" spans="1:28" ht="409.5" x14ac:dyDescent="0.25">
      <c r="A561" s="78" t="s">
        <v>1718</v>
      </c>
      <c r="B561" s="105"/>
      <c r="C561" s="105"/>
      <c r="D561" s="83" t="s">
        <v>1713</v>
      </c>
      <c r="E561" s="83"/>
      <c r="F561" s="83" t="s">
        <v>865</v>
      </c>
      <c r="G561" s="83" t="s">
        <v>1717</v>
      </c>
      <c r="H561" s="83" t="s">
        <v>1712</v>
      </c>
      <c r="I561" s="39"/>
      <c r="J561" s="39"/>
      <c r="K561" s="39"/>
      <c r="L561" s="39"/>
      <c r="M561" s="39"/>
      <c r="N561" s="39"/>
      <c r="O561" s="39"/>
      <c r="P561" s="39"/>
      <c r="Q561" s="39"/>
      <c r="R561" s="40"/>
      <c r="S561" s="40"/>
      <c r="T561" s="41"/>
      <c r="U561" s="42"/>
      <c r="V561" s="42"/>
      <c r="W561" s="43"/>
      <c r="X561" s="44"/>
      <c r="Y561" s="4"/>
      <c r="Z561" s="45"/>
      <c r="AA561" s="45"/>
      <c r="AB561" s="4"/>
    </row>
    <row r="562" spans="1:28" ht="409.5" x14ac:dyDescent="0.25">
      <c r="A562" s="78" t="s">
        <v>1718</v>
      </c>
      <c r="B562" s="106"/>
      <c r="C562" s="106"/>
      <c r="D562" s="83" t="s">
        <v>1713</v>
      </c>
      <c r="E562" s="83"/>
      <c r="F562" s="83" t="s">
        <v>867</v>
      </c>
      <c r="G562" s="83" t="s">
        <v>1713</v>
      </c>
      <c r="H562" s="83" t="s">
        <v>1712</v>
      </c>
      <c r="I562" s="39"/>
      <c r="J562" s="39"/>
      <c r="K562" s="39"/>
      <c r="L562" s="39"/>
      <c r="M562" s="39"/>
      <c r="N562" s="39"/>
      <c r="O562" s="39"/>
      <c r="P562" s="39"/>
      <c r="Q562" s="39"/>
      <c r="R562" s="40"/>
      <c r="S562" s="40"/>
      <c r="T562" s="41"/>
      <c r="U562" s="42"/>
      <c r="V562" s="42"/>
      <c r="W562" s="43"/>
      <c r="X562" s="44"/>
      <c r="Y562" s="4"/>
      <c r="Z562" s="45"/>
      <c r="AA562" s="45"/>
      <c r="AB562" s="4"/>
    </row>
    <row r="563" spans="1:28" ht="409.5" x14ac:dyDescent="0.25">
      <c r="A563" s="78" t="s">
        <v>1720</v>
      </c>
      <c r="B563" s="104" t="s">
        <v>1721</v>
      </c>
      <c r="C563" s="107" t="s">
        <v>1712</v>
      </c>
      <c r="D563" s="83" t="s">
        <v>1713</v>
      </c>
      <c r="E563" s="83"/>
      <c r="F563" s="83" t="s">
        <v>860</v>
      </c>
      <c r="G563" s="83" t="s">
        <v>1717</v>
      </c>
      <c r="H563" s="83" t="s">
        <v>1712</v>
      </c>
      <c r="I563" s="39"/>
      <c r="J563" s="39"/>
      <c r="K563" s="39"/>
      <c r="L563" s="39"/>
      <c r="M563" s="39"/>
      <c r="N563" s="39"/>
      <c r="O563" s="39"/>
      <c r="P563" s="39"/>
      <c r="Q563" s="39"/>
      <c r="R563" s="40"/>
      <c r="S563" s="40"/>
      <c r="T563" s="41"/>
      <c r="U563" s="42"/>
      <c r="V563" s="42"/>
      <c r="W563" s="43"/>
      <c r="X563" s="44"/>
      <c r="Y563" s="4"/>
      <c r="Z563" s="45"/>
      <c r="AA563" s="45"/>
      <c r="AB563" s="4"/>
    </row>
    <row r="564" spans="1:28" ht="409.5" x14ac:dyDescent="0.25">
      <c r="A564" s="78" t="s">
        <v>1720</v>
      </c>
      <c r="B564" s="105"/>
      <c r="C564" s="108"/>
      <c r="D564" s="83"/>
      <c r="E564" s="83"/>
      <c r="F564" s="83" t="s">
        <v>863</v>
      </c>
      <c r="G564" s="83" t="s">
        <v>1713</v>
      </c>
      <c r="H564" s="83" t="s">
        <v>1712</v>
      </c>
      <c r="I564" s="39"/>
      <c r="J564" s="39"/>
      <c r="K564" s="39"/>
      <c r="L564" s="39"/>
      <c r="M564" s="39"/>
      <c r="N564" s="39"/>
      <c r="O564" s="39"/>
      <c r="P564" s="39"/>
      <c r="Q564" s="39"/>
      <c r="R564" s="40"/>
      <c r="S564" s="40"/>
      <c r="T564" s="41"/>
      <c r="U564" s="42"/>
      <c r="V564" s="42"/>
      <c r="W564" s="43"/>
      <c r="X564" s="44"/>
      <c r="Y564" s="4"/>
      <c r="Z564" s="45"/>
      <c r="AA564" s="45"/>
      <c r="AB564" s="4"/>
    </row>
    <row r="565" spans="1:28" ht="409.5" x14ac:dyDescent="0.25">
      <c r="A565" s="78" t="s">
        <v>1720</v>
      </c>
      <c r="B565" s="105"/>
      <c r="C565" s="108"/>
      <c r="D565" s="83"/>
      <c r="E565" s="83"/>
      <c r="F565" s="83" t="s">
        <v>865</v>
      </c>
      <c r="G565" s="83" t="s">
        <v>1722</v>
      </c>
      <c r="H565" s="83" t="s">
        <v>1712</v>
      </c>
      <c r="I565" s="39"/>
      <c r="J565" s="39"/>
      <c r="K565" s="39"/>
      <c r="L565" s="39"/>
      <c r="M565" s="39"/>
      <c r="N565" s="39"/>
      <c r="O565" s="39"/>
      <c r="P565" s="39"/>
      <c r="Q565" s="39"/>
      <c r="R565" s="40"/>
      <c r="S565" s="40"/>
      <c r="T565" s="41"/>
      <c r="U565" s="42"/>
      <c r="V565" s="42"/>
      <c r="W565" s="43"/>
      <c r="X565" s="44"/>
      <c r="Y565" s="4"/>
      <c r="Z565" s="45"/>
      <c r="AA565" s="45"/>
      <c r="AB565" s="4"/>
    </row>
    <row r="566" spans="1:28" ht="409.5" x14ac:dyDescent="0.25">
      <c r="A566" s="78" t="s">
        <v>1720</v>
      </c>
      <c r="B566" s="106"/>
      <c r="C566" s="109"/>
      <c r="D566" s="83"/>
      <c r="E566" s="83"/>
      <c r="F566" s="83" t="s">
        <v>867</v>
      </c>
      <c r="G566" s="83" t="s">
        <v>1716</v>
      </c>
      <c r="H566" s="83" t="s">
        <v>1712</v>
      </c>
      <c r="I566" s="39"/>
      <c r="J566" s="39"/>
      <c r="K566" s="39"/>
      <c r="L566" s="39"/>
      <c r="M566" s="39"/>
      <c r="N566" s="39"/>
      <c r="O566" s="39"/>
      <c r="P566" s="39"/>
      <c r="Q566" s="39"/>
      <c r="R566" s="40"/>
      <c r="S566" s="40"/>
      <c r="T566" s="41"/>
      <c r="U566" s="42"/>
      <c r="V566" s="42"/>
      <c r="W566" s="43"/>
      <c r="X566" s="44"/>
      <c r="Y566" s="4"/>
      <c r="Z566" s="45"/>
      <c r="AA566" s="45"/>
      <c r="AB566" s="4"/>
    </row>
    <row r="567" spans="1:28" ht="409.5" x14ac:dyDescent="0.25">
      <c r="A567" s="78" t="s">
        <v>1723</v>
      </c>
      <c r="B567" s="98" t="s">
        <v>1724</v>
      </c>
      <c r="C567" s="101" t="s">
        <v>1725</v>
      </c>
      <c r="D567" s="74" t="s">
        <v>1726</v>
      </c>
      <c r="E567" s="74"/>
      <c r="F567" s="74" t="s">
        <v>860</v>
      </c>
      <c r="G567" s="74" t="s">
        <v>1522</v>
      </c>
      <c r="H567" s="74" t="s">
        <v>1523</v>
      </c>
      <c r="I567" s="39"/>
      <c r="J567" s="39"/>
      <c r="K567" s="39"/>
      <c r="L567" s="39"/>
      <c r="M567" s="39"/>
      <c r="N567" s="39"/>
      <c r="O567" s="39"/>
      <c r="P567" s="39"/>
      <c r="Q567" s="39"/>
      <c r="R567" s="40"/>
      <c r="S567" s="40"/>
      <c r="T567" s="41" t="s">
        <v>293</v>
      </c>
      <c r="U567" s="42"/>
      <c r="V567" s="42"/>
      <c r="W567" s="43"/>
      <c r="X567" s="44"/>
      <c r="Y567" s="4"/>
      <c r="Z567" s="45"/>
      <c r="AA567" s="45"/>
      <c r="AB567" s="4"/>
    </row>
    <row r="568" spans="1:28" ht="409.5" x14ac:dyDescent="0.25">
      <c r="A568" s="78" t="s">
        <v>1723</v>
      </c>
      <c r="B568" s="99"/>
      <c r="C568" s="102"/>
      <c r="D568" s="74" t="s">
        <v>1726</v>
      </c>
      <c r="E568" s="74"/>
      <c r="F568" s="74" t="s">
        <v>863</v>
      </c>
      <c r="G568" s="74" t="s">
        <v>1520</v>
      </c>
      <c r="H568" s="74" t="s">
        <v>1521</v>
      </c>
      <c r="I568" s="39"/>
      <c r="J568" s="39"/>
      <c r="K568" s="39"/>
      <c r="L568" s="39"/>
      <c r="M568" s="39"/>
      <c r="N568" s="39"/>
      <c r="O568" s="39"/>
      <c r="P568" s="39"/>
      <c r="Q568" s="39"/>
      <c r="R568" s="40"/>
      <c r="S568" s="40"/>
      <c r="T568" s="41"/>
      <c r="U568" s="42"/>
      <c r="V568" s="42"/>
      <c r="W568" s="43"/>
      <c r="X568" s="44"/>
      <c r="Y568" s="4"/>
      <c r="Z568" s="45"/>
      <c r="AA568" s="45"/>
      <c r="AB568" s="4"/>
    </row>
    <row r="569" spans="1:28" ht="409.5" x14ac:dyDescent="0.25">
      <c r="A569" s="78" t="s">
        <v>1723</v>
      </c>
      <c r="B569" s="100"/>
      <c r="C569" s="103"/>
      <c r="D569" s="74" t="s">
        <v>1726</v>
      </c>
      <c r="E569" s="74"/>
      <c r="F569" s="74" t="s">
        <v>865</v>
      </c>
      <c r="G569" s="74" t="s">
        <v>1518</v>
      </c>
      <c r="H569" s="74" t="s">
        <v>1519</v>
      </c>
      <c r="I569" s="39"/>
      <c r="J569" s="39"/>
      <c r="K569" s="39"/>
      <c r="L569" s="39"/>
      <c r="M569" s="39"/>
      <c r="N569" s="39"/>
      <c r="O569" s="39"/>
      <c r="P569" s="39"/>
      <c r="Q569" s="39"/>
      <c r="R569" s="40"/>
      <c r="S569" s="40"/>
      <c r="T569" s="41"/>
      <c r="U569" s="42"/>
      <c r="V569" s="42"/>
      <c r="W569" s="43"/>
      <c r="X569" s="44"/>
      <c r="Y569" s="4"/>
      <c r="Z569" s="45"/>
      <c r="AA569" s="45"/>
      <c r="AB569" s="4"/>
    </row>
    <row r="570" spans="1:28" ht="409.5" x14ac:dyDescent="0.25">
      <c r="A570" s="78" t="s">
        <v>1727</v>
      </c>
      <c r="B570" s="98" t="s">
        <v>1728</v>
      </c>
      <c r="C570" s="101" t="s">
        <v>1516</v>
      </c>
      <c r="D570" s="74" t="s">
        <v>1517</v>
      </c>
      <c r="E570" s="74"/>
      <c r="F570" s="74" t="s">
        <v>860</v>
      </c>
      <c r="G570" s="74" t="s">
        <v>1522</v>
      </c>
      <c r="H570" s="74" t="s">
        <v>1523</v>
      </c>
      <c r="I570" s="39"/>
      <c r="J570" s="39"/>
      <c r="K570" s="39"/>
      <c r="L570" s="39"/>
      <c r="M570" s="39"/>
      <c r="N570" s="39"/>
      <c r="O570" s="39"/>
      <c r="P570" s="39"/>
      <c r="Q570" s="39"/>
      <c r="R570" s="40"/>
      <c r="S570" s="40"/>
      <c r="T570" s="41" t="s">
        <v>1729</v>
      </c>
      <c r="U570" s="42"/>
      <c r="V570" s="42"/>
      <c r="W570" s="43"/>
      <c r="X570" s="44"/>
      <c r="Y570" s="4"/>
      <c r="Z570" s="45"/>
      <c r="AA570" s="45"/>
      <c r="AB570" s="4"/>
    </row>
    <row r="571" spans="1:28" ht="409.5" x14ac:dyDescent="0.25">
      <c r="A571" s="78" t="s">
        <v>1727</v>
      </c>
      <c r="B571" s="99"/>
      <c r="C571" s="102"/>
      <c r="D571" s="74" t="s">
        <v>1517</v>
      </c>
      <c r="E571" s="74"/>
      <c r="F571" s="74" t="s">
        <v>863</v>
      </c>
      <c r="G571" s="74" t="s">
        <v>1520</v>
      </c>
      <c r="H571" s="74" t="s">
        <v>1521</v>
      </c>
      <c r="I571" s="39"/>
      <c r="J571" s="39"/>
      <c r="K571" s="39"/>
      <c r="L571" s="39"/>
      <c r="M571" s="39"/>
      <c r="N571" s="39"/>
      <c r="O571" s="39"/>
      <c r="P571" s="39"/>
      <c r="Q571" s="39"/>
      <c r="R571" s="40"/>
      <c r="S571" s="40"/>
      <c r="T571" s="41"/>
      <c r="U571" s="42"/>
      <c r="V571" s="42"/>
      <c r="W571" s="43"/>
      <c r="X571" s="44"/>
      <c r="Y571" s="4"/>
      <c r="Z571" s="45"/>
      <c r="AA571" s="45"/>
      <c r="AB571" s="4"/>
    </row>
    <row r="572" spans="1:28" ht="409.5" x14ac:dyDescent="0.25">
      <c r="A572" s="78" t="s">
        <v>1727</v>
      </c>
      <c r="B572" s="100"/>
      <c r="C572" s="103"/>
      <c r="D572" s="74" t="s">
        <v>1517</v>
      </c>
      <c r="E572" s="74"/>
      <c r="F572" s="74" t="s">
        <v>865</v>
      </c>
      <c r="G572" s="74" t="s">
        <v>1518</v>
      </c>
      <c r="H572" s="74" t="s">
        <v>1519</v>
      </c>
      <c r="I572" s="39"/>
      <c r="J572" s="39"/>
      <c r="K572" s="39"/>
      <c r="L572" s="39"/>
      <c r="M572" s="39"/>
      <c r="N572" s="39"/>
      <c r="O572" s="39"/>
      <c r="P572" s="39"/>
      <c r="Q572" s="39"/>
      <c r="R572" s="40"/>
      <c r="S572" s="40"/>
      <c r="T572" s="41"/>
      <c r="U572" s="42"/>
      <c r="V572" s="42"/>
      <c r="W572" s="43"/>
      <c r="X572" s="44"/>
      <c r="Y572" s="4"/>
      <c r="Z572" s="45"/>
      <c r="AA572" s="45"/>
      <c r="AB572" s="4"/>
    </row>
    <row r="573" spans="1:28" ht="114.75" x14ac:dyDescent="0.25">
      <c r="A573" s="78" t="s">
        <v>1730</v>
      </c>
      <c r="B573" s="98" t="s">
        <v>1731</v>
      </c>
      <c r="C573" s="101" t="s">
        <v>1526</v>
      </c>
      <c r="D573" s="74" t="s">
        <v>1527</v>
      </c>
      <c r="E573" s="74"/>
      <c r="F573" s="74" t="s">
        <v>860</v>
      </c>
      <c r="G573" s="74" t="s">
        <v>1532</v>
      </c>
      <c r="H573" s="74" t="s">
        <v>1533</v>
      </c>
      <c r="I573" s="39"/>
      <c r="J573" s="39"/>
      <c r="K573" s="39"/>
      <c r="L573" s="39"/>
      <c r="M573" s="39"/>
      <c r="N573" s="39"/>
      <c r="O573" s="39"/>
      <c r="P573" s="39"/>
      <c r="Q573" s="39"/>
      <c r="R573" s="40"/>
      <c r="S573" s="40"/>
      <c r="T573" s="41"/>
      <c r="U573" s="42"/>
      <c r="V573" s="42"/>
      <c r="W573" s="43"/>
      <c r="X573" s="44"/>
      <c r="Y573" s="4"/>
      <c r="Z573" s="45"/>
      <c r="AA573" s="45"/>
      <c r="AB573" s="4"/>
    </row>
    <row r="574" spans="1:28" ht="114.75" x14ac:dyDescent="0.25">
      <c r="A574" s="78" t="s">
        <v>1730</v>
      </c>
      <c r="B574" s="99"/>
      <c r="C574" s="102"/>
      <c r="D574" s="74" t="s">
        <v>1527</v>
      </c>
      <c r="E574" s="74"/>
      <c r="F574" s="74" t="s">
        <v>863</v>
      </c>
      <c r="G574" s="74" t="s">
        <v>1528</v>
      </c>
      <c r="H574" s="74" t="s">
        <v>1529</v>
      </c>
      <c r="I574" s="39"/>
      <c r="J574" s="39"/>
      <c r="K574" s="39"/>
      <c r="L574" s="39"/>
      <c r="M574" s="39"/>
      <c r="N574" s="39"/>
      <c r="O574" s="39"/>
      <c r="P574" s="39"/>
      <c r="Q574" s="39"/>
      <c r="R574" s="40"/>
      <c r="S574" s="40"/>
      <c r="T574" s="41"/>
      <c r="U574" s="42"/>
      <c r="V574" s="42"/>
      <c r="W574" s="43"/>
      <c r="X574" s="44"/>
      <c r="Y574" s="4"/>
      <c r="Z574" s="45"/>
      <c r="AA574" s="45"/>
      <c r="AB574" s="4"/>
    </row>
    <row r="575" spans="1:28" ht="114.75" x14ac:dyDescent="0.25">
      <c r="A575" s="78" t="s">
        <v>1730</v>
      </c>
      <c r="B575" s="99"/>
      <c r="C575" s="102"/>
      <c r="D575" s="74" t="s">
        <v>1527</v>
      </c>
      <c r="E575" s="74"/>
      <c r="F575" s="74" t="s">
        <v>865</v>
      </c>
      <c r="G575" s="74" t="s">
        <v>1530</v>
      </c>
      <c r="H575" s="74" t="s">
        <v>1531</v>
      </c>
      <c r="I575" s="39"/>
      <c r="J575" s="39"/>
      <c r="K575" s="39"/>
      <c r="L575" s="39"/>
      <c r="M575" s="39"/>
      <c r="N575" s="39"/>
      <c r="O575" s="39"/>
      <c r="P575" s="39"/>
      <c r="Q575" s="39"/>
      <c r="R575" s="40"/>
      <c r="S575" s="40"/>
      <c r="T575" s="41"/>
      <c r="U575" s="42"/>
      <c r="V575" s="42"/>
      <c r="W575" s="43"/>
      <c r="X575" s="44"/>
      <c r="Y575" s="4"/>
      <c r="Z575" s="45"/>
      <c r="AA575" s="45"/>
      <c r="AB575" s="4"/>
    </row>
    <row r="576" spans="1:28" ht="114.75" x14ac:dyDescent="0.25">
      <c r="A576" s="78" t="s">
        <v>1730</v>
      </c>
      <c r="B576" s="100"/>
      <c r="C576" s="103"/>
      <c r="D576" s="74" t="s">
        <v>1527</v>
      </c>
      <c r="E576" s="74"/>
      <c r="F576" s="74" t="s">
        <v>867</v>
      </c>
      <c r="G576" s="74" t="s">
        <v>1534</v>
      </c>
      <c r="H576" s="74" t="s">
        <v>1535</v>
      </c>
      <c r="I576" s="39"/>
      <c r="J576" s="39"/>
      <c r="K576" s="39"/>
      <c r="L576" s="39"/>
      <c r="M576" s="39"/>
      <c r="N576" s="39"/>
      <c r="O576" s="39"/>
      <c r="P576" s="39"/>
      <c r="Q576" s="39"/>
      <c r="R576" s="40"/>
      <c r="S576" s="40"/>
      <c r="T576" s="41"/>
      <c r="U576" s="42"/>
      <c r="V576" s="42"/>
      <c r="W576" s="43"/>
      <c r="X576" s="44"/>
      <c r="Y576" s="4"/>
      <c r="Z576" s="45"/>
      <c r="AA576" s="45"/>
      <c r="AB576" s="4"/>
    </row>
    <row r="577" spans="1:28" ht="409.5" x14ac:dyDescent="0.25">
      <c r="A577" s="78" t="s">
        <v>1732</v>
      </c>
      <c r="B577" s="101" t="s">
        <v>1733</v>
      </c>
      <c r="C577" s="101" t="s">
        <v>1734</v>
      </c>
      <c r="D577" s="74" t="s">
        <v>1735</v>
      </c>
      <c r="E577" s="74"/>
      <c r="F577" s="74" t="s">
        <v>860</v>
      </c>
      <c r="G577" s="74" t="s">
        <v>1736</v>
      </c>
      <c r="H577" s="74" t="s">
        <v>1406</v>
      </c>
      <c r="I577" s="39"/>
      <c r="J577" s="39"/>
      <c r="K577" s="39"/>
      <c r="L577" s="39"/>
      <c r="M577" s="39"/>
      <c r="N577" s="39"/>
      <c r="O577" s="39"/>
      <c r="P577" s="39"/>
      <c r="Q577" s="39"/>
      <c r="R577" s="40"/>
      <c r="S577" s="40"/>
      <c r="T577" s="41"/>
      <c r="U577" s="42"/>
      <c r="V577" s="42"/>
      <c r="W577" s="43"/>
      <c r="X577" s="44"/>
      <c r="Y577" s="4"/>
      <c r="Z577" s="45"/>
      <c r="AA577" s="45"/>
      <c r="AB577" s="4"/>
    </row>
    <row r="578" spans="1:28" ht="153" x14ac:dyDescent="0.25">
      <c r="A578" s="78" t="s">
        <v>1732</v>
      </c>
      <c r="B578" s="102"/>
      <c r="C578" s="102"/>
      <c r="D578" s="74" t="s">
        <v>1735</v>
      </c>
      <c r="E578" s="74"/>
      <c r="F578" s="74" t="s">
        <v>863</v>
      </c>
      <c r="G578" s="74" t="s">
        <v>1737</v>
      </c>
      <c r="H578" s="74" t="s">
        <v>1402</v>
      </c>
      <c r="I578" s="39"/>
      <c r="J578" s="39"/>
      <c r="K578" s="39"/>
      <c r="L578" s="39"/>
      <c r="M578" s="39"/>
      <c r="N578" s="39"/>
      <c r="O578" s="39"/>
      <c r="P578" s="39"/>
      <c r="Q578" s="39"/>
      <c r="R578" s="40"/>
      <c r="S578" s="40"/>
      <c r="T578" s="41"/>
      <c r="U578" s="42"/>
      <c r="V578" s="42"/>
      <c r="W578" s="43"/>
      <c r="X578" s="44"/>
      <c r="Y578" s="4"/>
      <c r="Z578" s="45"/>
      <c r="AA578" s="45"/>
      <c r="AB578" s="4"/>
    </row>
    <row r="579" spans="1:28" ht="153" x14ac:dyDescent="0.25">
      <c r="A579" s="78" t="s">
        <v>1732</v>
      </c>
      <c r="B579" s="103"/>
      <c r="C579" s="103"/>
      <c r="D579" s="74" t="s">
        <v>1735</v>
      </c>
      <c r="E579" s="74"/>
      <c r="F579" s="74" t="s">
        <v>865</v>
      </c>
      <c r="G579" s="74" t="s">
        <v>1738</v>
      </c>
      <c r="H579" s="74" t="s">
        <v>1404</v>
      </c>
      <c r="I579" s="39"/>
      <c r="J579" s="39"/>
      <c r="K579" s="39"/>
      <c r="L579" s="39"/>
      <c r="M579" s="39"/>
      <c r="N579" s="39"/>
      <c r="O579" s="39"/>
      <c r="P579" s="39"/>
      <c r="Q579" s="39"/>
      <c r="R579" s="40"/>
      <c r="S579" s="40"/>
      <c r="T579" s="41"/>
      <c r="U579" s="42"/>
      <c r="V579" s="42"/>
      <c r="W579" s="43"/>
      <c r="X579" s="44"/>
      <c r="Y579" s="4"/>
      <c r="Z579" s="45"/>
      <c r="AA579" s="45"/>
      <c r="AB579" s="4"/>
    </row>
    <row r="580" spans="1:28" ht="409.5" x14ac:dyDescent="0.25">
      <c r="A580" s="78" t="s">
        <v>1739</v>
      </c>
      <c r="B580" s="101" t="s">
        <v>1740</v>
      </c>
      <c r="C580" s="101" t="s">
        <v>1399</v>
      </c>
      <c r="D580" s="74" t="s">
        <v>1741</v>
      </c>
      <c r="E580" s="74"/>
      <c r="F580" s="74" t="s">
        <v>860</v>
      </c>
      <c r="G580" s="74" t="s">
        <v>1736</v>
      </c>
      <c r="H580" s="74" t="s">
        <v>1406</v>
      </c>
      <c r="I580" s="39"/>
      <c r="J580" s="39"/>
      <c r="K580" s="39"/>
      <c r="L580" s="39"/>
      <c r="M580" s="39"/>
      <c r="N580" s="39"/>
      <c r="O580" s="39"/>
      <c r="P580" s="39"/>
      <c r="Q580" s="39"/>
      <c r="R580" s="40"/>
      <c r="S580" s="40"/>
      <c r="T580" s="41"/>
      <c r="U580" s="42"/>
      <c r="V580" s="42"/>
      <c r="W580" s="43"/>
      <c r="X580" s="44"/>
      <c r="Y580" s="4"/>
      <c r="Z580" s="45"/>
      <c r="AA580" s="45"/>
      <c r="AB580" s="4"/>
    </row>
    <row r="581" spans="1:28" ht="89.25" x14ac:dyDescent="0.25">
      <c r="A581" s="78" t="s">
        <v>1739</v>
      </c>
      <c r="B581" s="102"/>
      <c r="C581" s="102"/>
      <c r="D581" s="74" t="s">
        <v>1741</v>
      </c>
      <c r="E581" s="74"/>
      <c r="F581" s="74" t="s">
        <v>863</v>
      </c>
      <c r="G581" s="74" t="s">
        <v>1738</v>
      </c>
      <c r="H581" s="74" t="s">
        <v>1404</v>
      </c>
      <c r="I581" s="39"/>
      <c r="J581" s="39"/>
      <c r="K581" s="39"/>
      <c r="L581" s="39"/>
      <c r="M581" s="39"/>
      <c r="N581" s="39"/>
      <c r="O581" s="39"/>
      <c r="P581" s="39"/>
      <c r="Q581" s="39"/>
      <c r="R581" s="40"/>
      <c r="S581" s="40"/>
      <c r="T581" s="41"/>
      <c r="U581" s="42"/>
      <c r="V581" s="42"/>
      <c r="W581" s="43"/>
      <c r="X581" s="44"/>
      <c r="Y581" s="4"/>
      <c r="Z581" s="45"/>
      <c r="AA581" s="45"/>
      <c r="AB581" s="4"/>
    </row>
    <row r="582" spans="1:28" ht="153" x14ac:dyDescent="0.25">
      <c r="A582" s="78" t="s">
        <v>1739</v>
      </c>
      <c r="B582" s="103"/>
      <c r="C582" s="103"/>
      <c r="D582" s="74" t="s">
        <v>1741</v>
      </c>
      <c r="E582" s="74"/>
      <c r="F582" s="74" t="s">
        <v>865</v>
      </c>
      <c r="G582" s="74" t="s">
        <v>1737</v>
      </c>
      <c r="H582" s="74" t="s">
        <v>1402</v>
      </c>
      <c r="I582" s="39"/>
      <c r="J582" s="39"/>
      <c r="K582" s="39"/>
      <c r="L582" s="39"/>
      <c r="M582" s="39"/>
      <c r="N582" s="39"/>
      <c r="O582" s="39"/>
      <c r="P582" s="39"/>
      <c r="Q582" s="39"/>
      <c r="R582" s="40"/>
      <c r="S582" s="40"/>
      <c r="T582" s="41"/>
      <c r="U582" s="42"/>
      <c r="V582" s="42"/>
      <c r="W582" s="43"/>
      <c r="X582" s="44"/>
      <c r="Y582" s="4"/>
      <c r="Z582" s="45"/>
      <c r="AA582" s="45"/>
      <c r="AB582" s="4"/>
    </row>
    <row r="583" spans="1:28" ht="153" x14ac:dyDescent="0.25">
      <c r="A583" s="78" t="s">
        <v>1742</v>
      </c>
      <c r="B583" s="101" t="s">
        <v>1743</v>
      </c>
      <c r="C583" s="101" t="s">
        <v>1744</v>
      </c>
      <c r="D583" s="74" t="s">
        <v>1745</v>
      </c>
      <c r="E583" s="74"/>
      <c r="F583" s="74" t="s">
        <v>860</v>
      </c>
      <c r="G583" s="74" t="s">
        <v>1583</v>
      </c>
      <c r="H583" s="74" t="s">
        <v>1584</v>
      </c>
      <c r="I583" s="39"/>
      <c r="J583" s="39"/>
      <c r="K583" s="39"/>
      <c r="L583" s="39"/>
      <c r="M583" s="39"/>
      <c r="N583" s="39"/>
      <c r="O583" s="39"/>
      <c r="P583" s="39"/>
      <c r="Q583" s="39"/>
      <c r="R583" s="40"/>
      <c r="S583" s="40"/>
      <c r="T583" s="41" t="s">
        <v>293</v>
      </c>
      <c r="U583" s="42"/>
      <c r="V583" s="42"/>
      <c r="W583" s="43"/>
      <c r="X583" s="44"/>
      <c r="Y583" s="4"/>
      <c r="Z583" s="45"/>
      <c r="AA583" s="45"/>
      <c r="AB583" s="4"/>
    </row>
    <row r="584" spans="1:28" ht="153" x14ac:dyDescent="0.25">
      <c r="A584" s="78" t="s">
        <v>1742</v>
      </c>
      <c r="B584" s="102"/>
      <c r="C584" s="102"/>
      <c r="D584" s="74" t="s">
        <v>1745</v>
      </c>
      <c r="E584" s="74"/>
      <c r="F584" s="74" t="s">
        <v>863</v>
      </c>
      <c r="G584" s="74" t="s">
        <v>1746</v>
      </c>
      <c r="H584" s="74" t="s">
        <v>739</v>
      </c>
      <c r="I584" s="39"/>
      <c r="J584" s="39"/>
      <c r="K584" s="39"/>
      <c r="L584" s="39"/>
      <c r="M584" s="39"/>
      <c r="N584" s="39"/>
      <c r="O584" s="39"/>
      <c r="P584" s="39"/>
      <c r="Q584" s="39"/>
      <c r="R584" s="40"/>
      <c r="S584" s="40"/>
      <c r="T584" s="41"/>
      <c r="U584" s="42"/>
      <c r="V584" s="42"/>
      <c r="W584" s="43"/>
      <c r="X584" s="44"/>
      <c r="Y584" s="4"/>
      <c r="Z584" s="45"/>
      <c r="AA584" s="45"/>
      <c r="AB584" s="4"/>
    </row>
    <row r="585" spans="1:28" ht="153" x14ac:dyDescent="0.25">
      <c r="A585" s="78" t="s">
        <v>1742</v>
      </c>
      <c r="B585" s="102"/>
      <c r="C585" s="102"/>
      <c r="D585" s="74" t="s">
        <v>1745</v>
      </c>
      <c r="E585" s="74"/>
      <c r="F585" s="74" t="s">
        <v>865</v>
      </c>
      <c r="G585" s="74" t="s">
        <v>1747</v>
      </c>
      <c r="H585" s="74" t="s">
        <v>1586</v>
      </c>
      <c r="I585" s="39"/>
      <c r="J585" s="39"/>
      <c r="K585" s="39"/>
      <c r="L585" s="39"/>
      <c r="M585" s="39"/>
      <c r="N585" s="39"/>
      <c r="O585" s="39"/>
      <c r="P585" s="39"/>
      <c r="Q585" s="39"/>
      <c r="R585" s="40"/>
      <c r="S585" s="40"/>
      <c r="T585" s="41"/>
      <c r="U585" s="42"/>
      <c r="V585" s="42"/>
      <c r="W585" s="43"/>
      <c r="X585" s="44"/>
      <c r="Y585" s="4"/>
      <c r="Z585" s="45"/>
      <c r="AA585" s="45"/>
      <c r="AB585" s="4"/>
    </row>
    <row r="586" spans="1:28" ht="153" x14ac:dyDescent="0.25">
      <c r="A586" s="78" t="s">
        <v>1742</v>
      </c>
      <c r="B586" s="103"/>
      <c r="C586" s="103"/>
      <c r="D586" s="74" t="s">
        <v>1745</v>
      </c>
      <c r="E586" s="74"/>
      <c r="F586" s="74" t="s">
        <v>867</v>
      </c>
      <c r="G586" s="74" t="s">
        <v>1748</v>
      </c>
      <c r="H586" s="74" t="s">
        <v>1749</v>
      </c>
      <c r="I586" s="39"/>
      <c r="J586" s="39"/>
      <c r="K586" s="39"/>
      <c r="L586" s="39"/>
      <c r="M586" s="39"/>
      <c r="N586" s="39"/>
      <c r="O586" s="39"/>
      <c r="P586" s="39"/>
      <c r="Q586" s="39"/>
      <c r="R586" s="40"/>
      <c r="S586" s="40"/>
      <c r="T586" s="41"/>
      <c r="U586" s="42"/>
      <c r="V586" s="42"/>
      <c r="W586" s="43"/>
      <c r="X586" s="44"/>
      <c r="Y586" s="4"/>
      <c r="Z586" s="45"/>
      <c r="AA586" s="45"/>
      <c r="AB586" s="4"/>
    </row>
    <row r="587" spans="1:28" ht="255" x14ac:dyDescent="0.25">
      <c r="A587" s="78" t="s">
        <v>1750</v>
      </c>
      <c r="B587" s="74" t="s">
        <v>1751</v>
      </c>
      <c r="C587" s="74" t="s">
        <v>1752</v>
      </c>
      <c r="D587" s="74" t="s">
        <v>1753</v>
      </c>
      <c r="E587" s="74"/>
      <c r="F587" s="74" t="s">
        <v>860</v>
      </c>
      <c r="G587" s="74" t="s">
        <v>1754</v>
      </c>
      <c r="H587" s="74" t="s">
        <v>1147</v>
      </c>
      <c r="I587" s="39"/>
      <c r="J587" s="39"/>
      <c r="K587" s="39"/>
      <c r="L587" s="39"/>
      <c r="M587" s="39"/>
      <c r="N587" s="39"/>
      <c r="O587" s="39"/>
      <c r="P587" s="39"/>
      <c r="Q587" s="39"/>
      <c r="R587" s="40"/>
      <c r="S587" s="40"/>
      <c r="T587" s="41" t="s">
        <v>1755</v>
      </c>
      <c r="U587" s="42"/>
      <c r="V587" s="42"/>
      <c r="W587" s="43"/>
      <c r="X587" s="44"/>
      <c r="Y587" s="4"/>
      <c r="Z587" s="45"/>
      <c r="AA587" s="45"/>
      <c r="AB587" s="4"/>
    </row>
    <row r="588" spans="1:28" ht="140.25" x14ac:dyDescent="0.25">
      <c r="A588" s="78" t="s">
        <v>1756</v>
      </c>
      <c r="B588" s="101" t="s">
        <v>1757</v>
      </c>
      <c r="C588" s="101" t="s">
        <v>1758</v>
      </c>
      <c r="D588" s="74" t="s">
        <v>1759</v>
      </c>
      <c r="E588" s="74"/>
      <c r="F588" s="74" t="s">
        <v>860</v>
      </c>
      <c r="G588" s="74" t="s">
        <v>956</v>
      </c>
      <c r="H588" s="74" t="s">
        <v>957</v>
      </c>
      <c r="I588" s="39"/>
      <c r="J588" s="39"/>
      <c r="K588" s="39"/>
      <c r="L588" s="39"/>
      <c r="M588" s="39"/>
      <c r="N588" s="39"/>
      <c r="O588" s="39"/>
      <c r="P588" s="39"/>
      <c r="Q588" s="39"/>
      <c r="R588" s="40"/>
      <c r="S588" s="40"/>
      <c r="T588" s="41"/>
      <c r="U588" s="42"/>
      <c r="V588" s="42"/>
      <c r="W588" s="43"/>
      <c r="X588" s="44"/>
      <c r="Y588" s="4"/>
      <c r="Z588" s="45"/>
      <c r="AA588" s="45"/>
      <c r="AB588" s="4"/>
    </row>
    <row r="589" spans="1:28" ht="140.25" x14ac:dyDescent="0.25">
      <c r="A589" s="78" t="s">
        <v>1756</v>
      </c>
      <c r="B589" s="103"/>
      <c r="C589" s="103"/>
      <c r="D589" s="74" t="s">
        <v>1759</v>
      </c>
      <c r="E589" s="74"/>
      <c r="F589" s="74" t="s">
        <v>863</v>
      </c>
      <c r="G589" s="74" t="s">
        <v>1760</v>
      </c>
      <c r="H589" s="74" t="s">
        <v>1761</v>
      </c>
      <c r="I589" s="39"/>
      <c r="J589" s="39"/>
      <c r="K589" s="39"/>
      <c r="L589" s="39"/>
      <c r="M589" s="39"/>
      <c r="N589" s="39"/>
      <c r="O589" s="39"/>
      <c r="P589" s="39"/>
      <c r="Q589" s="39"/>
      <c r="R589" s="40"/>
      <c r="S589" s="40"/>
      <c r="T589" s="41"/>
      <c r="U589" s="42"/>
      <c r="V589" s="42"/>
      <c r="W589" s="43"/>
      <c r="X589" s="44"/>
      <c r="Y589" s="4"/>
      <c r="Z589" s="45"/>
      <c r="AA589" s="45"/>
      <c r="AB589" s="4"/>
    </row>
    <row r="590" spans="1:28" ht="255" x14ac:dyDescent="0.25">
      <c r="A590" s="78" t="s">
        <v>1762</v>
      </c>
      <c r="B590" s="83" t="s">
        <v>1763</v>
      </c>
      <c r="C590" s="83" t="s">
        <v>1752</v>
      </c>
      <c r="D590" s="83" t="s">
        <v>1753</v>
      </c>
      <c r="E590" s="83"/>
      <c r="F590" s="83" t="s">
        <v>860</v>
      </c>
      <c r="G590" s="83" t="s">
        <v>1754</v>
      </c>
      <c r="H590" s="83" t="s">
        <v>1147</v>
      </c>
      <c r="I590" s="39"/>
      <c r="J590" s="39"/>
      <c r="K590" s="39"/>
      <c r="L590" s="39"/>
      <c r="M590" s="39"/>
      <c r="N590" s="39"/>
      <c r="O590" s="39"/>
      <c r="P590" s="39"/>
      <c r="Q590" s="39"/>
      <c r="R590" s="40"/>
      <c r="S590" s="40"/>
      <c r="T590" s="41"/>
      <c r="U590" s="42"/>
      <c r="V590" s="42"/>
      <c r="W590" s="43"/>
      <c r="X590" s="44"/>
      <c r="Y590" s="4"/>
      <c r="Z590" s="45"/>
      <c r="AA590" s="45"/>
      <c r="AB590" s="4"/>
    </row>
    <row r="591" spans="1:28" ht="357" x14ac:dyDescent="0.25">
      <c r="A591" s="78" t="s">
        <v>1764</v>
      </c>
      <c r="B591" s="98" t="s">
        <v>1765</v>
      </c>
      <c r="C591" s="101" t="s">
        <v>1766</v>
      </c>
      <c r="D591" s="74" t="s">
        <v>1767</v>
      </c>
      <c r="E591" s="74"/>
      <c r="F591" s="74" t="s">
        <v>860</v>
      </c>
      <c r="G591" s="74" t="s">
        <v>1706</v>
      </c>
      <c r="H591" s="74" t="s">
        <v>1707</v>
      </c>
      <c r="I591" s="39"/>
      <c r="J591" s="39"/>
      <c r="K591" s="39"/>
      <c r="L591" s="39"/>
      <c r="M591" s="39"/>
      <c r="N591" s="39"/>
      <c r="O591" s="39"/>
      <c r="P591" s="39"/>
      <c r="Q591" s="39"/>
      <c r="R591" s="40"/>
      <c r="S591" s="40"/>
      <c r="T591" s="41"/>
      <c r="U591" s="42"/>
      <c r="V591" s="42"/>
      <c r="W591" s="43"/>
      <c r="X591" s="44"/>
      <c r="Y591" s="4"/>
      <c r="Z591" s="45"/>
      <c r="AA591" s="45"/>
      <c r="AB591" s="4"/>
    </row>
    <row r="592" spans="1:28" ht="357" x14ac:dyDescent="0.25">
      <c r="A592" s="78" t="s">
        <v>1764</v>
      </c>
      <c r="B592" s="99"/>
      <c r="C592" s="102"/>
      <c r="D592" s="74" t="s">
        <v>1767</v>
      </c>
      <c r="E592" s="74"/>
      <c r="F592" s="74" t="s">
        <v>863</v>
      </c>
      <c r="G592" s="74" t="s">
        <v>540</v>
      </c>
      <c r="H592" s="74" t="s">
        <v>1704</v>
      </c>
      <c r="I592" s="39"/>
      <c r="J592" s="39"/>
      <c r="K592" s="39"/>
      <c r="L592" s="39"/>
      <c r="M592" s="39"/>
      <c r="N592" s="39"/>
      <c r="O592" s="39"/>
      <c r="P592" s="39"/>
      <c r="Q592" s="39"/>
      <c r="R592" s="40"/>
      <c r="S592" s="40"/>
      <c r="T592" s="41"/>
      <c r="U592" s="42"/>
      <c r="V592" s="42"/>
      <c r="W592" s="43"/>
      <c r="X592" s="44"/>
      <c r="Y592" s="4"/>
      <c r="Z592" s="45"/>
      <c r="AA592" s="45"/>
      <c r="AB592" s="4"/>
    </row>
    <row r="593" spans="1:28" ht="357" x14ac:dyDescent="0.25">
      <c r="A593" s="78" t="s">
        <v>1764</v>
      </c>
      <c r="B593" s="100"/>
      <c r="C593" s="103"/>
      <c r="D593" s="74" t="s">
        <v>1767</v>
      </c>
      <c r="E593" s="74"/>
      <c r="F593" s="74" t="s">
        <v>865</v>
      </c>
      <c r="G593" s="74" t="s">
        <v>1655</v>
      </c>
      <c r="H593" s="74" t="s">
        <v>1705</v>
      </c>
      <c r="I593" s="39"/>
      <c r="J593" s="39"/>
      <c r="K593" s="39"/>
      <c r="L593" s="39"/>
      <c r="M593" s="39"/>
      <c r="N593" s="39"/>
      <c r="O593" s="39"/>
      <c r="P593" s="39"/>
      <c r="Q593" s="39"/>
      <c r="R593" s="40"/>
      <c r="S593" s="40"/>
      <c r="T593" s="41"/>
      <c r="U593" s="42"/>
      <c r="V593" s="42"/>
      <c r="W593" s="43"/>
      <c r="X593" s="44"/>
      <c r="Y593" s="4"/>
      <c r="Z593" s="45"/>
      <c r="AA593" s="45"/>
      <c r="AB593" s="4"/>
    </row>
    <row r="594" spans="1:28" ht="357" x14ac:dyDescent="0.25">
      <c r="A594" s="78" t="s">
        <v>1768</v>
      </c>
      <c r="B594" s="98" t="s">
        <v>1769</v>
      </c>
      <c r="C594" s="101" t="s">
        <v>1766</v>
      </c>
      <c r="D594" s="74" t="s">
        <v>1767</v>
      </c>
      <c r="E594" s="74"/>
      <c r="F594" s="74" t="s">
        <v>860</v>
      </c>
      <c r="G594" s="74" t="s">
        <v>1706</v>
      </c>
      <c r="H594" s="74" t="s">
        <v>1707</v>
      </c>
      <c r="I594" s="39"/>
      <c r="J594" s="39"/>
      <c r="K594" s="39"/>
      <c r="L594" s="39"/>
      <c r="M594" s="39"/>
      <c r="N594" s="39"/>
      <c r="O594" s="39"/>
      <c r="P594" s="39"/>
      <c r="Q594" s="39"/>
      <c r="R594" s="40"/>
      <c r="S594" s="40"/>
      <c r="T594" s="41" t="s">
        <v>293</v>
      </c>
      <c r="U594" s="42"/>
      <c r="V594" s="42"/>
      <c r="W594" s="43"/>
      <c r="X594" s="44"/>
      <c r="Y594" s="4"/>
      <c r="Z594" s="45"/>
      <c r="AA594" s="45"/>
      <c r="AB594" s="4"/>
    </row>
    <row r="595" spans="1:28" ht="357" x14ac:dyDescent="0.25">
      <c r="A595" s="78" t="s">
        <v>1768</v>
      </c>
      <c r="B595" s="99"/>
      <c r="C595" s="102"/>
      <c r="D595" s="74" t="s">
        <v>1767</v>
      </c>
      <c r="E595" s="74"/>
      <c r="F595" s="74" t="s">
        <v>863</v>
      </c>
      <c r="G595" s="74" t="s">
        <v>1655</v>
      </c>
      <c r="H595" s="74" t="s">
        <v>1705</v>
      </c>
      <c r="I595" s="39"/>
      <c r="J595" s="39"/>
      <c r="K595" s="39"/>
      <c r="L595" s="39"/>
      <c r="M595" s="39"/>
      <c r="N595" s="39"/>
      <c r="O595" s="39"/>
      <c r="P595" s="39"/>
      <c r="Q595" s="39"/>
      <c r="R595" s="40"/>
      <c r="S595" s="40"/>
      <c r="T595" s="41"/>
      <c r="U595" s="42"/>
      <c r="V595" s="42"/>
      <c r="W595" s="43"/>
      <c r="X595" s="44"/>
      <c r="Y595" s="4"/>
      <c r="Z595" s="45"/>
      <c r="AA595" s="45"/>
      <c r="AB595" s="4"/>
    </row>
    <row r="596" spans="1:28" ht="357" x14ac:dyDescent="0.25">
      <c r="A596" s="78" t="s">
        <v>1768</v>
      </c>
      <c r="B596" s="100"/>
      <c r="C596" s="103"/>
      <c r="D596" s="74" t="s">
        <v>1767</v>
      </c>
      <c r="E596" s="74"/>
      <c r="F596" s="74" t="s">
        <v>865</v>
      </c>
      <c r="G596" s="74" t="s">
        <v>540</v>
      </c>
      <c r="H596" s="74" t="s">
        <v>1704</v>
      </c>
      <c r="I596" s="39"/>
      <c r="J596" s="39"/>
      <c r="K596" s="39"/>
      <c r="L596" s="39"/>
      <c r="M596" s="39"/>
      <c r="N596" s="39"/>
      <c r="O596" s="39"/>
      <c r="P596" s="39"/>
      <c r="Q596" s="39"/>
      <c r="R596" s="40"/>
      <c r="S596" s="40"/>
      <c r="T596" s="41"/>
      <c r="U596" s="42"/>
      <c r="V596" s="42"/>
      <c r="W596" s="43"/>
      <c r="X596" s="44"/>
      <c r="Y596" s="4"/>
      <c r="Z596" s="45"/>
      <c r="AA596" s="45"/>
      <c r="AB596" s="4"/>
    </row>
    <row r="597" spans="1:28" ht="51" x14ac:dyDescent="0.25">
      <c r="A597" s="78" t="s">
        <v>1770</v>
      </c>
      <c r="B597" s="98" t="s">
        <v>1771</v>
      </c>
      <c r="C597" s="101" t="s">
        <v>1772</v>
      </c>
      <c r="D597" s="74" t="s">
        <v>1773</v>
      </c>
      <c r="E597" s="74"/>
      <c r="F597" s="74" t="s">
        <v>860</v>
      </c>
      <c r="G597" s="74" t="s">
        <v>1655</v>
      </c>
      <c r="H597" s="74" t="s">
        <v>1705</v>
      </c>
      <c r="I597" s="39"/>
      <c r="J597" s="39"/>
      <c r="K597" s="39"/>
      <c r="L597" s="39"/>
      <c r="M597" s="39"/>
      <c r="N597" s="39"/>
      <c r="O597" s="39"/>
      <c r="P597" s="39"/>
      <c r="Q597" s="39"/>
      <c r="R597" s="40"/>
      <c r="S597" s="40"/>
      <c r="T597" s="41">
        <v>0.5</v>
      </c>
      <c r="U597" s="42"/>
      <c r="V597" s="42"/>
      <c r="W597" s="43"/>
      <c r="X597" s="44"/>
      <c r="Y597" s="4"/>
      <c r="Z597" s="45"/>
      <c r="AA597" s="45"/>
      <c r="AB597" s="4"/>
    </row>
    <row r="598" spans="1:28" ht="63.75" x14ac:dyDescent="0.25">
      <c r="A598" s="78" t="s">
        <v>1770</v>
      </c>
      <c r="B598" s="99"/>
      <c r="C598" s="102"/>
      <c r="D598" s="74" t="s">
        <v>1773</v>
      </c>
      <c r="E598" s="74"/>
      <c r="F598" s="74" t="s">
        <v>863</v>
      </c>
      <c r="G598" s="74" t="s">
        <v>540</v>
      </c>
      <c r="H598" s="74" t="s">
        <v>1704</v>
      </c>
      <c r="I598" s="39"/>
      <c r="J598" s="39"/>
      <c r="K598" s="39"/>
      <c r="L598" s="39"/>
      <c r="M598" s="39"/>
      <c r="N598" s="39"/>
      <c r="O598" s="39"/>
      <c r="P598" s="39"/>
      <c r="Q598" s="39"/>
      <c r="R598" s="40"/>
      <c r="S598" s="40"/>
      <c r="T598" s="41"/>
      <c r="U598" s="42"/>
      <c r="V598" s="42"/>
      <c r="W598" s="43"/>
      <c r="X598" s="44"/>
      <c r="Y598" s="4"/>
      <c r="Z598" s="45"/>
      <c r="AA598" s="45"/>
      <c r="AB598" s="4"/>
    </row>
    <row r="599" spans="1:28" ht="114.75" x14ac:dyDescent="0.25">
      <c r="A599" s="78" t="s">
        <v>1770</v>
      </c>
      <c r="B599" s="100"/>
      <c r="C599" s="103"/>
      <c r="D599" s="74" t="s">
        <v>1773</v>
      </c>
      <c r="E599" s="74"/>
      <c r="F599" s="74" t="s">
        <v>865</v>
      </c>
      <c r="G599" s="74" t="s">
        <v>1706</v>
      </c>
      <c r="H599" s="74" t="s">
        <v>1707</v>
      </c>
      <c r="I599" s="39"/>
      <c r="J599" s="39"/>
      <c r="K599" s="39"/>
      <c r="L599" s="39"/>
      <c r="M599" s="39"/>
      <c r="N599" s="39"/>
      <c r="O599" s="39"/>
      <c r="P599" s="39"/>
      <c r="Q599" s="39"/>
      <c r="R599" s="40"/>
      <c r="S599" s="40"/>
      <c r="T599" s="41"/>
      <c r="U599" s="42"/>
      <c r="V599" s="42"/>
      <c r="W599" s="43"/>
      <c r="X599" s="44"/>
      <c r="Y599" s="4"/>
      <c r="Z599" s="45"/>
      <c r="AA599" s="45"/>
      <c r="AB599" s="4"/>
    </row>
    <row r="600" spans="1:28" ht="204" x14ac:dyDescent="0.25">
      <c r="A600" s="78" t="s">
        <v>1774</v>
      </c>
      <c r="B600" s="98" t="s">
        <v>1775</v>
      </c>
      <c r="C600" s="101" t="s">
        <v>1702</v>
      </c>
      <c r="D600" s="74" t="s">
        <v>1703</v>
      </c>
      <c r="E600" s="74"/>
      <c r="F600" s="74" t="s">
        <v>860</v>
      </c>
      <c r="G600" s="74" t="s">
        <v>1706</v>
      </c>
      <c r="H600" s="74" t="s">
        <v>1707</v>
      </c>
      <c r="I600" s="39"/>
      <c r="J600" s="39"/>
      <c r="K600" s="39"/>
      <c r="L600" s="39"/>
      <c r="M600" s="39"/>
      <c r="N600" s="39"/>
      <c r="O600" s="39"/>
      <c r="P600" s="39"/>
      <c r="Q600" s="39"/>
      <c r="R600" s="40"/>
      <c r="S600" s="40"/>
      <c r="T600" s="41"/>
      <c r="U600" s="42"/>
      <c r="V600" s="42"/>
      <c r="W600" s="43"/>
      <c r="X600" s="44"/>
      <c r="Y600" s="4"/>
      <c r="Z600" s="45"/>
      <c r="AA600" s="45"/>
      <c r="AB600" s="4"/>
    </row>
    <row r="601" spans="1:28" ht="204" x14ac:dyDescent="0.25">
      <c r="A601" s="78" t="s">
        <v>1774</v>
      </c>
      <c r="B601" s="99"/>
      <c r="C601" s="102"/>
      <c r="D601" s="74" t="s">
        <v>1703</v>
      </c>
      <c r="E601" s="74"/>
      <c r="F601" s="74" t="s">
        <v>863</v>
      </c>
      <c r="G601" s="74" t="s">
        <v>540</v>
      </c>
      <c r="H601" s="74" t="s">
        <v>1704</v>
      </c>
      <c r="I601" s="39"/>
      <c r="J601" s="39"/>
      <c r="K601" s="39"/>
      <c r="L601" s="39"/>
      <c r="M601" s="39"/>
      <c r="N601" s="39"/>
      <c r="O601" s="39"/>
      <c r="P601" s="39"/>
      <c r="Q601" s="39"/>
      <c r="R601" s="40"/>
      <c r="S601" s="40"/>
      <c r="T601" s="41"/>
      <c r="U601" s="42"/>
      <c r="V601" s="42"/>
      <c r="W601" s="43"/>
      <c r="X601" s="44"/>
      <c r="Y601" s="4"/>
      <c r="Z601" s="45"/>
      <c r="AA601" s="45"/>
      <c r="AB601" s="4"/>
    </row>
    <row r="602" spans="1:28" ht="204" x14ac:dyDescent="0.25">
      <c r="A602" s="78" t="s">
        <v>1774</v>
      </c>
      <c r="B602" s="100"/>
      <c r="C602" s="103"/>
      <c r="D602" s="74" t="s">
        <v>1703</v>
      </c>
      <c r="E602" s="74"/>
      <c r="F602" s="74" t="s">
        <v>865</v>
      </c>
      <c r="G602" s="74" t="s">
        <v>1655</v>
      </c>
      <c r="H602" s="74" t="s">
        <v>1705</v>
      </c>
      <c r="I602" s="39"/>
      <c r="J602" s="39"/>
      <c r="K602" s="39"/>
      <c r="L602" s="39"/>
      <c r="M602" s="39"/>
      <c r="N602" s="39"/>
      <c r="O602" s="39"/>
      <c r="P602" s="39"/>
      <c r="Q602" s="39"/>
      <c r="R602" s="40"/>
      <c r="S602" s="40"/>
      <c r="T602" s="41"/>
      <c r="U602" s="42"/>
      <c r="V602" s="42"/>
      <c r="W602" s="43"/>
      <c r="X602" s="44"/>
      <c r="Y602" s="4"/>
      <c r="Z602" s="45"/>
      <c r="AA602" s="45"/>
      <c r="AB602" s="4"/>
    </row>
    <row r="603" spans="1:28" ht="204" x14ac:dyDescent="0.25">
      <c r="A603" s="78" t="s">
        <v>1776</v>
      </c>
      <c r="B603" s="104" t="s">
        <v>1777</v>
      </c>
      <c r="C603" s="107" t="s">
        <v>1702</v>
      </c>
      <c r="D603" s="83" t="s">
        <v>1703</v>
      </c>
      <c r="E603" s="83"/>
      <c r="F603" s="83" t="s">
        <v>860</v>
      </c>
      <c r="G603" s="83" t="s">
        <v>1706</v>
      </c>
      <c r="H603" s="83" t="s">
        <v>1707</v>
      </c>
      <c r="I603" s="39"/>
      <c r="J603" s="39"/>
      <c r="K603" s="39"/>
      <c r="L603" s="39"/>
      <c r="M603" s="39"/>
      <c r="N603" s="39"/>
      <c r="O603" s="39"/>
      <c r="P603" s="39"/>
      <c r="Q603" s="39"/>
      <c r="R603" s="40"/>
      <c r="S603" s="40"/>
      <c r="T603" s="41"/>
      <c r="U603" s="42"/>
      <c r="V603" s="42"/>
      <c r="W603" s="43"/>
      <c r="X603" s="44"/>
      <c r="Y603" s="4"/>
      <c r="Z603" s="45"/>
      <c r="AA603" s="45"/>
      <c r="AB603" s="4"/>
    </row>
    <row r="604" spans="1:28" ht="204" x14ac:dyDescent="0.25">
      <c r="A604" s="78" t="s">
        <v>1776</v>
      </c>
      <c r="B604" s="105"/>
      <c r="C604" s="108"/>
      <c r="D604" s="83" t="s">
        <v>1703</v>
      </c>
      <c r="E604" s="83"/>
      <c r="F604" s="83" t="s">
        <v>863</v>
      </c>
      <c r="G604" s="83" t="s">
        <v>540</v>
      </c>
      <c r="H604" s="83" t="s">
        <v>1704</v>
      </c>
      <c r="I604" s="39"/>
      <c r="J604" s="39"/>
      <c r="K604" s="39"/>
      <c r="L604" s="39"/>
      <c r="M604" s="39"/>
      <c r="N604" s="39"/>
      <c r="O604" s="39"/>
      <c r="P604" s="39"/>
      <c r="Q604" s="39"/>
      <c r="R604" s="40"/>
      <c r="S604" s="40"/>
      <c r="T604" s="41"/>
      <c r="U604" s="42"/>
      <c r="V604" s="42"/>
      <c r="W604" s="43"/>
      <c r="X604" s="44"/>
      <c r="Y604" s="4"/>
      <c r="Z604" s="45"/>
      <c r="AA604" s="45"/>
      <c r="AB604" s="4"/>
    </row>
    <row r="605" spans="1:28" ht="204" x14ac:dyDescent="0.25">
      <c r="A605" s="78" t="s">
        <v>1776</v>
      </c>
      <c r="B605" s="106"/>
      <c r="C605" s="109"/>
      <c r="D605" s="83" t="s">
        <v>1703</v>
      </c>
      <c r="E605" s="83"/>
      <c r="F605" s="83" t="s">
        <v>865</v>
      </c>
      <c r="G605" s="83" t="s">
        <v>1655</v>
      </c>
      <c r="H605" s="83" t="s">
        <v>1705</v>
      </c>
      <c r="I605" s="39"/>
      <c r="J605" s="39"/>
      <c r="K605" s="39"/>
      <c r="L605" s="39"/>
      <c r="M605" s="39"/>
      <c r="N605" s="39"/>
      <c r="O605" s="39"/>
      <c r="P605" s="39"/>
      <c r="Q605" s="39"/>
      <c r="R605" s="40"/>
      <c r="S605" s="40"/>
      <c r="T605" s="41"/>
      <c r="U605" s="42"/>
      <c r="V605" s="42"/>
      <c r="W605" s="43"/>
      <c r="X605" s="44"/>
      <c r="Y605" s="4"/>
      <c r="Z605" s="45"/>
      <c r="AA605" s="45"/>
      <c r="AB605" s="4"/>
    </row>
    <row r="606" spans="1:28" ht="369.75" x14ac:dyDescent="0.25">
      <c r="A606" s="78" t="s">
        <v>1778</v>
      </c>
      <c r="B606" s="98" t="s">
        <v>1779</v>
      </c>
      <c r="C606" s="101" t="s">
        <v>1780</v>
      </c>
      <c r="D606" s="74" t="s">
        <v>1781</v>
      </c>
      <c r="E606" s="74"/>
      <c r="F606" s="74" t="s">
        <v>860</v>
      </c>
      <c r="G606" s="74" t="s">
        <v>1655</v>
      </c>
      <c r="H606" s="74" t="s">
        <v>1656</v>
      </c>
      <c r="I606" s="39"/>
      <c r="J606" s="39"/>
      <c r="K606" s="39"/>
      <c r="L606" s="39"/>
      <c r="M606" s="39"/>
      <c r="N606" s="39"/>
      <c r="O606" s="39"/>
      <c r="P606" s="39"/>
      <c r="Q606" s="39"/>
      <c r="R606" s="40"/>
      <c r="S606" s="40"/>
      <c r="T606" s="41" t="s">
        <v>293</v>
      </c>
      <c r="U606" s="42"/>
      <c r="V606" s="42"/>
      <c r="W606" s="43"/>
      <c r="X606" s="44"/>
      <c r="Y606" s="4"/>
      <c r="Z606" s="45"/>
      <c r="AA606" s="45"/>
      <c r="AB606" s="4"/>
    </row>
    <row r="607" spans="1:28" ht="369.75" x14ac:dyDescent="0.25">
      <c r="A607" s="78" t="s">
        <v>1778</v>
      </c>
      <c r="B607" s="99"/>
      <c r="C607" s="102"/>
      <c r="D607" s="74" t="s">
        <v>1781</v>
      </c>
      <c r="E607" s="74"/>
      <c r="F607" s="74" t="s">
        <v>863</v>
      </c>
      <c r="G607" s="74" t="s">
        <v>547</v>
      </c>
      <c r="H607" s="74" t="s">
        <v>1657</v>
      </c>
      <c r="I607" s="39"/>
      <c r="J607" s="39"/>
      <c r="K607" s="39"/>
      <c r="L607" s="39"/>
      <c r="M607" s="39"/>
      <c r="N607" s="39"/>
      <c r="O607" s="39"/>
      <c r="P607" s="39"/>
      <c r="Q607" s="39"/>
      <c r="R607" s="40"/>
      <c r="S607" s="40"/>
      <c r="T607" s="41"/>
      <c r="U607" s="42"/>
      <c r="V607" s="42"/>
      <c r="W607" s="43"/>
      <c r="X607" s="44"/>
      <c r="Y607" s="4"/>
      <c r="Z607" s="45"/>
      <c r="AA607" s="45"/>
      <c r="AB607" s="4"/>
    </row>
    <row r="608" spans="1:28" ht="369.75" x14ac:dyDescent="0.25">
      <c r="A608" s="78" t="s">
        <v>1778</v>
      </c>
      <c r="B608" s="100"/>
      <c r="C608" s="103"/>
      <c r="D608" s="74" t="s">
        <v>1781</v>
      </c>
      <c r="E608" s="74"/>
      <c r="F608" s="74" t="s">
        <v>865</v>
      </c>
      <c r="G608" s="74" t="s">
        <v>540</v>
      </c>
      <c r="H608" s="74" t="s">
        <v>1658</v>
      </c>
      <c r="I608" s="39"/>
      <c r="J608" s="39"/>
      <c r="K608" s="39"/>
      <c r="L608" s="39"/>
      <c r="M608" s="39"/>
      <c r="N608" s="39"/>
      <c r="O608" s="39"/>
      <c r="P608" s="39"/>
      <c r="Q608" s="39"/>
      <c r="R608" s="40"/>
      <c r="S608" s="40"/>
      <c r="T608" s="41"/>
      <c r="U608" s="42"/>
      <c r="V608" s="42"/>
      <c r="W608" s="43"/>
      <c r="X608" s="44"/>
      <c r="Y608" s="4"/>
      <c r="Z608" s="45"/>
      <c r="AA608" s="45"/>
      <c r="AB608" s="4"/>
    </row>
    <row r="609" spans="1:28" ht="318.75" x14ac:dyDescent="0.25">
      <c r="A609" s="78" t="s">
        <v>1782</v>
      </c>
      <c r="B609" s="98" t="s">
        <v>1783</v>
      </c>
      <c r="C609" s="101" t="s">
        <v>1653</v>
      </c>
      <c r="D609" s="74" t="s">
        <v>1654</v>
      </c>
      <c r="E609" s="74"/>
      <c r="F609" s="74" t="s">
        <v>860</v>
      </c>
      <c r="G609" s="74" t="s">
        <v>547</v>
      </c>
      <c r="H609" s="74" t="s">
        <v>1657</v>
      </c>
      <c r="I609" s="39"/>
      <c r="J609" s="39"/>
      <c r="K609" s="39"/>
      <c r="L609" s="39"/>
      <c r="M609" s="39"/>
      <c r="N609" s="39"/>
      <c r="O609" s="39"/>
      <c r="P609" s="39"/>
      <c r="Q609" s="39"/>
      <c r="R609" s="40"/>
      <c r="S609" s="40"/>
      <c r="T609" s="41" t="s">
        <v>293</v>
      </c>
      <c r="U609" s="42"/>
      <c r="V609" s="42"/>
      <c r="W609" s="43"/>
      <c r="X609" s="44"/>
      <c r="Y609" s="4"/>
      <c r="Z609" s="45"/>
      <c r="AA609" s="45"/>
      <c r="AB609" s="4"/>
    </row>
    <row r="610" spans="1:28" ht="140.25" x14ac:dyDescent="0.25">
      <c r="A610" s="78" t="s">
        <v>1782</v>
      </c>
      <c r="B610" s="99"/>
      <c r="C610" s="102"/>
      <c r="D610" s="74" t="s">
        <v>1654</v>
      </c>
      <c r="E610" s="74"/>
      <c r="F610" s="74" t="s">
        <v>863</v>
      </c>
      <c r="G610" s="74" t="s">
        <v>1655</v>
      </c>
      <c r="H610" s="74" t="s">
        <v>1656</v>
      </c>
      <c r="I610" s="39"/>
      <c r="J610" s="39"/>
      <c r="K610" s="39"/>
      <c r="L610" s="39"/>
      <c r="M610" s="39"/>
      <c r="N610" s="39"/>
      <c r="O610" s="39"/>
      <c r="P610" s="39"/>
      <c r="Q610" s="39"/>
      <c r="R610" s="40"/>
      <c r="S610" s="40"/>
      <c r="T610" s="41"/>
      <c r="U610" s="42"/>
      <c r="V610" s="42"/>
      <c r="W610" s="43"/>
      <c r="X610" s="44"/>
      <c r="Y610" s="4"/>
      <c r="Z610" s="45"/>
      <c r="AA610" s="45"/>
      <c r="AB610" s="4"/>
    </row>
    <row r="611" spans="1:28" ht="140.25" x14ac:dyDescent="0.25">
      <c r="A611" s="78" t="s">
        <v>1782</v>
      </c>
      <c r="B611" s="100"/>
      <c r="C611" s="103"/>
      <c r="D611" s="74" t="s">
        <v>1654</v>
      </c>
      <c r="E611" s="74"/>
      <c r="F611" s="74" t="s">
        <v>865</v>
      </c>
      <c r="G611" s="74" t="s">
        <v>540</v>
      </c>
      <c r="H611" s="74" t="s">
        <v>1658</v>
      </c>
      <c r="I611" s="39"/>
      <c r="J611" s="39"/>
      <c r="K611" s="39"/>
      <c r="L611" s="39"/>
      <c r="M611" s="39"/>
      <c r="N611" s="39"/>
      <c r="O611" s="39"/>
      <c r="P611" s="39"/>
      <c r="Q611" s="39"/>
      <c r="R611" s="40"/>
      <c r="S611" s="40"/>
      <c r="T611" s="41"/>
      <c r="U611" s="42"/>
      <c r="V611" s="42"/>
      <c r="W611" s="43"/>
      <c r="X611" s="44"/>
      <c r="Y611" s="4"/>
      <c r="Z611" s="45"/>
      <c r="AA611" s="45"/>
      <c r="AB611" s="4"/>
    </row>
    <row r="612" spans="1:28" ht="178.5" x14ac:dyDescent="0.25">
      <c r="A612" s="78" t="s">
        <v>1784</v>
      </c>
      <c r="B612" s="98" t="s">
        <v>1785</v>
      </c>
      <c r="C612" s="101" t="s">
        <v>826</v>
      </c>
      <c r="D612" s="74" t="s">
        <v>827</v>
      </c>
      <c r="E612" s="74"/>
      <c r="F612" s="74" t="s">
        <v>860</v>
      </c>
      <c r="G612" s="74" t="s">
        <v>829</v>
      </c>
      <c r="H612" s="74" t="s">
        <v>830</v>
      </c>
      <c r="I612" s="39"/>
      <c r="J612" s="39"/>
      <c r="K612" s="39"/>
      <c r="L612" s="39"/>
      <c r="M612" s="39"/>
      <c r="N612" s="39"/>
      <c r="O612" s="39"/>
      <c r="P612" s="39"/>
      <c r="Q612" s="39"/>
      <c r="R612" s="40"/>
      <c r="S612" s="40"/>
      <c r="T612" s="41"/>
      <c r="U612" s="42"/>
      <c r="V612" s="42"/>
      <c r="W612" s="43"/>
      <c r="X612" s="44"/>
      <c r="Y612" s="4"/>
      <c r="Z612" s="45"/>
      <c r="AA612" s="45"/>
      <c r="AB612" s="4"/>
    </row>
    <row r="613" spans="1:28" ht="409.5" x14ac:dyDescent="0.25">
      <c r="A613" s="78" t="s">
        <v>1784</v>
      </c>
      <c r="B613" s="100"/>
      <c r="C613" s="103"/>
      <c r="D613" s="74" t="s">
        <v>827</v>
      </c>
      <c r="E613" s="74"/>
      <c r="F613" s="74" t="s">
        <v>863</v>
      </c>
      <c r="G613" s="74" t="s">
        <v>833</v>
      </c>
      <c r="H613" s="74" t="s">
        <v>834</v>
      </c>
      <c r="I613" s="39"/>
      <c r="J613" s="39"/>
      <c r="K613" s="39"/>
      <c r="L613" s="39"/>
      <c r="M613" s="39"/>
      <c r="N613" s="39"/>
      <c r="O613" s="39"/>
      <c r="P613" s="39"/>
      <c r="Q613" s="39"/>
      <c r="R613" s="40"/>
      <c r="S613" s="40"/>
      <c r="T613" s="41"/>
      <c r="U613" s="42"/>
      <c r="V613" s="42"/>
      <c r="W613" s="43"/>
      <c r="X613" s="44"/>
      <c r="Y613" s="4"/>
      <c r="Z613" s="45"/>
      <c r="AA613" s="45"/>
      <c r="AB613" s="4"/>
    </row>
  </sheetData>
  <mergeCells count="722">
    <mergeCell ref="M3:M4"/>
    <mergeCell ref="N3:N4"/>
    <mergeCell ref="R3:R4"/>
    <mergeCell ref="T3:T4"/>
    <mergeCell ref="A7:A8"/>
    <mergeCell ref="B7:B8"/>
    <mergeCell ref="C7:C8"/>
    <mergeCell ref="D7:D8"/>
    <mergeCell ref="E7:E8"/>
    <mergeCell ref="T7:T8"/>
    <mergeCell ref="A3:A4"/>
    <mergeCell ref="B3:B4"/>
    <mergeCell ref="C3:C4"/>
    <mergeCell ref="D3:D4"/>
    <mergeCell ref="E3:E4"/>
    <mergeCell ref="L3:L4"/>
    <mergeCell ref="T10:T11"/>
    <mergeCell ref="A12:A13"/>
    <mergeCell ref="B12:B13"/>
    <mergeCell ref="C12:C13"/>
    <mergeCell ref="D12:D13"/>
    <mergeCell ref="E12:E13"/>
    <mergeCell ref="M12:M13"/>
    <mergeCell ref="N12:N13"/>
    <mergeCell ref="T12:T13"/>
    <mergeCell ref="A10:A11"/>
    <mergeCell ref="B10:B11"/>
    <mergeCell ref="C10:C11"/>
    <mergeCell ref="D10:D11"/>
    <mergeCell ref="E10:E11"/>
    <mergeCell ref="I10:I11"/>
    <mergeCell ref="U18:U19"/>
    <mergeCell ref="A20:A21"/>
    <mergeCell ref="B20:B21"/>
    <mergeCell ref="C20:C21"/>
    <mergeCell ref="D20:D21"/>
    <mergeCell ref="E20:E21"/>
    <mergeCell ref="K20:K21"/>
    <mergeCell ref="T20:T21"/>
    <mergeCell ref="N15:N16"/>
    <mergeCell ref="T15:T16"/>
    <mergeCell ref="A18:A19"/>
    <mergeCell ref="B18:B19"/>
    <mergeCell ref="C18:C19"/>
    <mergeCell ref="D18:D19"/>
    <mergeCell ref="E18:E19"/>
    <mergeCell ref="I18:I19"/>
    <mergeCell ref="K18:K19"/>
    <mergeCell ref="T18:T19"/>
    <mergeCell ref="A15:A16"/>
    <mergeCell ref="B15:B16"/>
    <mergeCell ref="C15:C16"/>
    <mergeCell ref="D15:D16"/>
    <mergeCell ref="E15:E16"/>
    <mergeCell ref="M15:M16"/>
    <mergeCell ref="A26:A27"/>
    <mergeCell ref="B26:B27"/>
    <mergeCell ref="C26:C27"/>
    <mergeCell ref="D26:D27"/>
    <mergeCell ref="T26:T27"/>
    <mergeCell ref="A31:A32"/>
    <mergeCell ref="B31:B32"/>
    <mergeCell ref="C31:C32"/>
    <mergeCell ref="D31:D32"/>
    <mergeCell ref="E31:E32"/>
    <mergeCell ref="K31:K32"/>
    <mergeCell ref="L31:L32"/>
    <mergeCell ref="M31:M32"/>
    <mergeCell ref="T31:T32"/>
    <mergeCell ref="A33:A34"/>
    <mergeCell ref="B33:B34"/>
    <mergeCell ref="C33:C34"/>
    <mergeCell ref="D33:D34"/>
    <mergeCell ref="E33:E34"/>
    <mergeCell ref="K33:K34"/>
    <mergeCell ref="L33:L34"/>
    <mergeCell ref="M33:M34"/>
    <mergeCell ref="N33:N34"/>
    <mergeCell ref="T33:T34"/>
    <mergeCell ref="A37:A38"/>
    <mergeCell ref="B37:B38"/>
    <mergeCell ref="C37:C38"/>
    <mergeCell ref="D37:D38"/>
    <mergeCell ref="E37:E38"/>
    <mergeCell ref="K37:K38"/>
    <mergeCell ref="L37:L38"/>
    <mergeCell ref="M37:M38"/>
    <mergeCell ref="T37:T38"/>
    <mergeCell ref="A39:A40"/>
    <mergeCell ref="B39:B40"/>
    <mergeCell ref="C39:C40"/>
    <mergeCell ref="D39:D40"/>
    <mergeCell ref="E39:E40"/>
    <mergeCell ref="K39:K40"/>
    <mergeCell ref="L39:L40"/>
    <mergeCell ref="M39:M40"/>
    <mergeCell ref="N39:N40"/>
    <mergeCell ref="Q39:Q40"/>
    <mergeCell ref="T39:T40"/>
    <mergeCell ref="A45:A46"/>
    <mergeCell ref="B45:B46"/>
    <mergeCell ref="C45:C46"/>
    <mergeCell ref="D45:D46"/>
    <mergeCell ref="E45:E46"/>
    <mergeCell ref="J45:J46"/>
    <mergeCell ref="K45:K46"/>
    <mergeCell ref="L45:L46"/>
    <mergeCell ref="M45:M46"/>
    <mergeCell ref="T45:T46"/>
    <mergeCell ref="A49:A50"/>
    <mergeCell ref="B49:B50"/>
    <mergeCell ref="C49:C50"/>
    <mergeCell ref="D49:D50"/>
    <mergeCell ref="E49:E50"/>
    <mergeCell ref="K49:K50"/>
    <mergeCell ref="L49:L50"/>
    <mergeCell ref="M49:M50"/>
    <mergeCell ref="N49:N50"/>
    <mergeCell ref="Q49:Q50"/>
    <mergeCell ref="T49:T50"/>
    <mergeCell ref="A57:A58"/>
    <mergeCell ref="B57:B58"/>
    <mergeCell ref="C57:C58"/>
    <mergeCell ref="D57:D58"/>
    <mergeCell ref="E57:E58"/>
    <mergeCell ref="I57:I58"/>
    <mergeCell ref="Q57:Q58"/>
    <mergeCell ref="A60:A61"/>
    <mergeCell ref="B60:B61"/>
    <mergeCell ref="C60:C61"/>
    <mergeCell ref="D60:D61"/>
    <mergeCell ref="E60:E61"/>
    <mergeCell ref="K60:K61"/>
    <mergeCell ref="M60:M61"/>
    <mergeCell ref="N60:N61"/>
    <mergeCell ref="T62:T63"/>
    <mergeCell ref="A66:A67"/>
    <mergeCell ref="B66:B67"/>
    <mergeCell ref="C66:C67"/>
    <mergeCell ref="D66:D67"/>
    <mergeCell ref="E66:E67"/>
    <mergeCell ref="K66:K67"/>
    <mergeCell ref="M66:M67"/>
    <mergeCell ref="N66:N67"/>
    <mergeCell ref="T66:T67"/>
    <mergeCell ref="A62:A63"/>
    <mergeCell ref="B62:B63"/>
    <mergeCell ref="C62:C63"/>
    <mergeCell ref="D62:D63"/>
    <mergeCell ref="E62:E63"/>
    <mergeCell ref="K62:K63"/>
    <mergeCell ref="A71:A72"/>
    <mergeCell ref="B71:B72"/>
    <mergeCell ref="C71:C72"/>
    <mergeCell ref="D71:D72"/>
    <mergeCell ref="E71:E72"/>
    <mergeCell ref="A77:A78"/>
    <mergeCell ref="B77:B78"/>
    <mergeCell ref="C77:C78"/>
    <mergeCell ref="D77:D78"/>
    <mergeCell ref="E77:E78"/>
    <mergeCell ref="A84:A85"/>
    <mergeCell ref="B84:B85"/>
    <mergeCell ref="C84:C85"/>
    <mergeCell ref="D84:D85"/>
    <mergeCell ref="E84:E85"/>
    <mergeCell ref="T84:T85"/>
    <mergeCell ref="A79:A80"/>
    <mergeCell ref="B79:B80"/>
    <mergeCell ref="C79:C80"/>
    <mergeCell ref="D79:D80"/>
    <mergeCell ref="T79:T80"/>
    <mergeCell ref="A81:A82"/>
    <mergeCell ref="B81:B82"/>
    <mergeCell ref="C81:C82"/>
    <mergeCell ref="D81:D82"/>
    <mergeCell ref="T81:T82"/>
    <mergeCell ref="X86:X88"/>
    <mergeCell ref="A89:A90"/>
    <mergeCell ref="B89:B90"/>
    <mergeCell ref="C89:C90"/>
    <mergeCell ref="D89:D90"/>
    <mergeCell ref="E89:E90"/>
    <mergeCell ref="T89:T90"/>
    <mergeCell ref="A86:A88"/>
    <mergeCell ref="B86:B88"/>
    <mergeCell ref="C86:C88"/>
    <mergeCell ref="D86:D88"/>
    <mergeCell ref="E86:E88"/>
    <mergeCell ref="T86:T88"/>
    <mergeCell ref="A97:A98"/>
    <mergeCell ref="B97:B98"/>
    <mergeCell ref="C97:C98"/>
    <mergeCell ref="D97:D98"/>
    <mergeCell ref="E97:E98"/>
    <mergeCell ref="T97:T98"/>
    <mergeCell ref="U91:U92"/>
    <mergeCell ref="A93:A96"/>
    <mergeCell ref="B93:B96"/>
    <mergeCell ref="C93:C96"/>
    <mergeCell ref="D93:D96"/>
    <mergeCell ref="E93:E96"/>
    <mergeCell ref="T93:T96"/>
    <mergeCell ref="A91:A92"/>
    <mergeCell ref="B91:B92"/>
    <mergeCell ref="C91:C92"/>
    <mergeCell ref="D91:D92"/>
    <mergeCell ref="E91:E92"/>
    <mergeCell ref="T91:T92"/>
    <mergeCell ref="T103:T106"/>
    <mergeCell ref="A107:A110"/>
    <mergeCell ref="B107:B110"/>
    <mergeCell ref="C107:C110"/>
    <mergeCell ref="D107:D110"/>
    <mergeCell ref="E107:E110"/>
    <mergeCell ref="A99:A102"/>
    <mergeCell ref="B99:B102"/>
    <mergeCell ref="C99:C102"/>
    <mergeCell ref="D99:D102"/>
    <mergeCell ref="T99:T102"/>
    <mergeCell ref="A103:A106"/>
    <mergeCell ref="B103:B106"/>
    <mergeCell ref="C103:C106"/>
    <mergeCell ref="D103:D106"/>
    <mergeCell ref="E103:E106"/>
    <mergeCell ref="D121:D125"/>
    <mergeCell ref="E121:E125"/>
    <mergeCell ref="A126:A130"/>
    <mergeCell ref="B126:B130"/>
    <mergeCell ref="C126:C130"/>
    <mergeCell ref="D126:D130"/>
    <mergeCell ref="E126:E130"/>
    <mergeCell ref="A111:A114"/>
    <mergeCell ref="B111:B114"/>
    <mergeCell ref="C111:C114"/>
    <mergeCell ref="D111:D114"/>
    <mergeCell ref="E111:E114"/>
    <mergeCell ref="A116:A120"/>
    <mergeCell ref="B116:B120"/>
    <mergeCell ref="C116:C120"/>
    <mergeCell ref="D116:D120"/>
    <mergeCell ref="E116:E120"/>
    <mergeCell ref="A131:A132"/>
    <mergeCell ref="B131:B132"/>
    <mergeCell ref="C131:C132"/>
    <mergeCell ref="A133:A140"/>
    <mergeCell ref="B133:B140"/>
    <mergeCell ref="C133:C140"/>
    <mergeCell ref="A121:A125"/>
    <mergeCell ref="B121:B125"/>
    <mergeCell ref="C121:C125"/>
    <mergeCell ref="E152:E153"/>
    <mergeCell ref="T152:T153"/>
    <mergeCell ref="B161:B162"/>
    <mergeCell ref="C161:C162"/>
    <mergeCell ref="D161:D162"/>
    <mergeCell ref="B164:B165"/>
    <mergeCell ref="C164:C165"/>
    <mergeCell ref="D133:D140"/>
    <mergeCell ref="A141:A149"/>
    <mergeCell ref="B141:B149"/>
    <mergeCell ref="C141:C149"/>
    <mergeCell ref="D141:D149"/>
    <mergeCell ref="B152:B153"/>
    <mergeCell ref="C152:C153"/>
    <mergeCell ref="D152:D153"/>
    <mergeCell ref="B172:B173"/>
    <mergeCell ref="C172:C173"/>
    <mergeCell ref="B174:B175"/>
    <mergeCell ref="C174:C175"/>
    <mergeCell ref="D174:D175"/>
    <mergeCell ref="B176:B177"/>
    <mergeCell ref="C176:C177"/>
    <mergeCell ref="D176:D177"/>
    <mergeCell ref="B167:B168"/>
    <mergeCell ref="C167:C168"/>
    <mergeCell ref="D167:D168"/>
    <mergeCell ref="B169:B170"/>
    <mergeCell ref="C169:C170"/>
    <mergeCell ref="D169:D170"/>
    <mergeCell ref="T183:T184"/>
    <mergeCell ref="A185:A186"/>
    <mergeCell ref="B185:B186"/>
    <mergeCell ref="C185:C186"/>
    <mergeCell ref="D185:D186"/>
    <mergeCell ref="B178:B179"/>
    <mergeCell ref="C178:C179"/>
    <mergeCell ref="D178:D179"/>
    <mergeCell ref="B180:B182"/>
    <mergeCell ref="C180:C182"/>
    <mergeCell ref="D180:D182"/>
    <mergeCell ref="A187:A188"/>
    <mergeCell ref="B187:B188"/>
    <mergeCell ref="C187:C188"/>
    <mergeCell ref="D187:D188"/>
    <mergeCell ref="A189:A190"/>
    <mergeCell ref="B189:B190"/>
    <mergeCell ref="C189:C190"/>
    <mergeCell ref="D189:D190"/>
    <mergeCell ref="A183:A184"/>
    <mergeCell ref="B183:B184"/>
    <mergeCell ref="C183:C184"/>
    <mergeCell ref="D183:D184"/>
    <mergeCell ref="T196:T197"/>
    <mergeCell ref="B198:B199"/>
    <mergeCell ref="C198:C199"/>
    <mergeCell ref="D198:D199"/>
    <mergeCell ref="A192:A193"/>
    <mergeCell ref="B192:B193"/>
    <mergeCell ref="C192:C193"/>
    <mergeCell ref="D192:D193"/>
    <mergeCell ref="A194:A195"/>
    <mergeCell ref="B194:B195"/>
    <mergeCell ref="C194:C195"/>
    <mergeCell ref="D194:D195"/>
    <mergeCell ref="B200:B201"/>
    <mergeCell ref="C200:C201"/>
    <mergeCell ref="D200:D201"/>
    <mergeCell ref="B202:B203"/>
    <mergeCell ref="C202:C203"/>
    <mergeCell ref="D202:D203"/>
    <mergeCell ref="A196:A197"/>
    <mergeCell ref="B196:B197"/>
    <mergeCell ref="C196:C197"/>
    <mergeCell ref="D196:D197"/>
    <mergeCell ref="B208:B209"/>
    <mergeCell ref="C208:C209"/>
    <mergeCell ref="D208:D209"/>
    <mergeCell ref="B210:B211"/>
    <mergeCell ref="C210:C211"/>
    <mergeCell ref="D210:D211"/>
    <mergeCell ref="T202:T203"/>
    <mergeCell ref="B204:B205"/>
    <mergeCell ref="C204:C205"/>
    <mergeCell ref="D204:D205"/>
    <mergeCell ref="B206:B207"/>
    <mergeCell ref="C206:C207"/>
    <mergeCell ref="D206:D207"/>
    <mergeCell ref="B219:B220"/>
    <mergeCell ref="C219:C220"/>
    <mergeCell ref="D219:D220"/>
    <mergeCell ref="B221:B222"/>
    <mergeCell ref="C221:C222"/>
    <mergeCell ref="D221:D222"/>
    <mergeCell ref="B212:B214"/>
    <mergeCell ref="C212:C214"/>
    <mergeCell ref="D212:D214"/>
    <mergeCell ref="B215:B216"/>
    <mergeCell ref="C215:C216"/>
    <mergeCell ref="B217:B218"/>
    <mergeCell ref="C217:C218"/>
    <mergeCell ref="D217:D218"/>
    <mergeCell ref="A230:A231"/>
    <mergeCell ref="B230:B231"/>
    <mergeCell ref="C230:C231"/>
    <mergeCell ref="D230:D231"/>
    <mergeCell ref="B223:B224"/>
    <mergeCell ref="C223:C224"/>
    <mergeCell ref="D223:D224"/>
    <mergeCell ref="B225:B226"/>
    <mergeCell ref="C225:C226"/>
    <mergeCell ref="D225:D226"/>
    <mergeCell ref="B232:B233"/>
    <mergeCell ref="C232:C233"/>
    <mergeCell ref="D232:D233"/>
    <mergeCell ref="B234:B235"/>
    <mergeCell ref="C234:C235"/>
    <mergeCell ref="D234:D235"/>
    <mergeCell ref="B227:B229"/>
    <mergeCell ref="C227:C229"/>
    <mergeCell ref="D227:D229"/>
    <mergeCell ref="A236:A238"/>
    <mergeCell ref="B236:B238"/>
    <mergeCell ref="C236:C238"/>
    <mergeCell ref="D236:D238"/>
    <mergeCell ref="T236:T238"/>
    <mergeCell ref="A239:A240"/>
    <mergeCell ref="B239:B240"/>
    <mergeCell ref="C239:C240"/>
    <mergeCell ref="D239:D240"/>
    <mergeCell ref="A245:A246"/>
    <mergeCell ref="B245:B246"/>
    <mergeCell ref="C245:C246"/>
    <mergeCell ref="D245:D246"/>
    <mergeCell ref="B248:B250"/>
    <mergeCell ref="C248:C250"/>
    <mergeCell ref="D248:D250"/>
    <mergeCell ref="A241:A242"/>
    <mergeCell ref="B241:B242"/>
    <mergeCell ref="C241:C242"/>
    <mergeCell ref="D241:D242"/>
    <mergeCell ref="A243:A244"/>
    <mergeCell ref="B243:B244"/>
    <mergeCell ref="C243:C244"/>
    <mergeCell ref="D243:D244"/>
    <mergeCell ref="B255:B256"/>
    <mergeCell ref="C255:C256"/>
    <mergeCell ref="D255:D256"/>
    <mergeCell ref="B257:B258"/>
    <mergeCell ref="C257:C258"/>
    <mergeCell ref="D257:D258"/>
    <mergeCell ref="T248:T250"/>
    <mergeCell ref="B251:B252"/>
    <mergeCell ref="C251:C252"/>
    <mergeCell ref="D251:D252"/>
    <mergeCell ref="B253:B254"/>
    <mergeCell ref="C253:C254"/>
    <mergeCell ref="D253:D254"/>
    <mergeCell ref="B263:B265"/>
    <mergeCell ref="C263:C265"/>
    <mergeCell ref="D263:D265"/>
    <mergeCell ref="A266:A268"/>
    <mergeCell ref="B266:B268"/>
    <mergeCell ref="C266:C268"/>
    <mergeCell ref="D266:D268"/>
    <mergeCell ref="A259:A260"/>
    <mergeCell ref="B259:B260"/>
    <mergeCell ref="C259:C260"/>
    <mergeCell ref="D259:D260"/>
    <mergeCell ref="B261:B262"/>
    <mergeCell ref="C261:C262"/>
    <mergeCell ref="D261:D262"/>
    <mergeCell ref="A273:A274"/>
    <mergeCell ref="B273:B274"/>
    <mergeCell ref="C273:C274"/>
    <mergeCell ref="D273:D274"/>
    <mergeCell ref="A275:A276"/>
    <mergeCell ref="B275:B276"/>
    <mergeCell ref="C275:C276"/>
    <mergeCell ref="D275:D276"/>
    <mergeCell ref="A269:A270"/>
    <mergeCell ref="B269:B270"/>
    <mergeCell ref="C269:C270"/>
    <mergeCell ref="D269:D270"/>
    <mergeCell ref="A271:A272"/>
    <mergeCell ref="B271:B272"/>
    <mergeCell ref="C271:C272"/>
    <mergeCell ref="D271:D272"/>
    <mergeCell ref="T284:T286"/>
    <mergeCell ref="B288:B289"/>
    <mergeCell ref="T275:T276"/>
    <mergeCell ref="A277:A278"/>
    <mergeCell ref="B277:B278"/>
    <mergeCell ref="C277:C278"/>
    <mergeCell ref="D277:D278"/>
    <mergeCell ref="A279:A281"/>
    <mergeCell ref="B279:B281"/>
    <mergeCell ref="C279:C281"/>
    <mergeCell ref="D279:D281"/>
    <mergeCell ref="T279:T281"/>
    <mergeCell ref="B290:B291"/>
    <mergeCell ref="B292:B293"/>
    <mergeCell ref="B294:B295"/>
    <mergeCell ref="B296:B297"/>
    <mergeCell ref="B298:B299"/>
    <mergeCell ref="B300:B301"/>
    <mergeCell ref="B282:B283"/>
    <mergeCell ref="C282:C283"/>
    <mergeCell ref="B284:B286"/>
    <mergeCell ref="C284:C286"/>
    <mergeCell ref="B314:B315"/>
    <mergeCell ref="B316:B317"/>
    <mergeCell ref="C316:C317"/>
    <mergeCell ref="B318:B319"/>
    <mergeCell ref="B320:B322"/>
    <mergeCell ref="C320:C321"/>
    <mergeCell ref="B302:B303"/>
    <mergeCell ref="B304:B305"/>
    <mergeCell ref="B306:B307"/>
    <mergeCell ref="B308:B309"/>
    <mergeCell ref="B310:B311"/>
    <mergeCell ref="B312:B313"/>
    <mergeCell ref="B329:B330"/>
    <mergeCell ref="T329:T330"/>
    <mergeCell ref="U329:U330"/>
    <mergeCell ref="B332:B333"/>
    <mergeCell ref="C332:C333"/>
    <mergeCell ref="B334:B335"/>
    <mergeCell ref="C334:C335"/>
    <mergeCell ref="T320:T322"/>
    <mergeCell ref="B323:B324"/>
    <mergeCell ref="C323:C324"/>
    <mergeCell ref="B325:B326"/>
    <mergeCell ref="C325:C326"/>
    <mergeCell ref="B327:B328"/>
    <mergeCell ref="B343:B344"/>
    <mergeCell ref="C343:C344"/>
    <mergeCell ref="B346:B347"/>
    <mergeCell ref="C346:C347"/>
    <mergeCell ref="B348:B349"/>
    <mergeCell ref="C348:C349"/>
    <mergeCell ref="B336:B337"/>
    <mergeCell ref="C336:C337"/>
    <mergeCell ref="B339:B340"/>
    <mergeCell ref="C339:C340"/>
    <mergeCell ref="B341:B342"/>
    <mergeCell ref="C341:C342"/>
    <mergeCell ref="T357:T358"/>
    <mergeCell ref="B359:B360"/>
    <mergeCell ref="C359:C360"/>
    <mergeCell ref="B362:B365"/>
    <mergeCell ref="C362:C365"/>
    <mergeCell ref="B350:B351"/>
    <mergeCell ref="C350:C351"/>
    <mergeCell ref="B353:B354"/>
    <mergeCell ref="C353:C354"/>
    <mergeCell ref="B355:B356"/>
    <mergeCell ref="C355:C356"/>
    <mergeCell ref="B366:B367"/>
    <mergeCell ref="C366:C367"/>
    <mergeCell ref="B368:B370"/>
    <mergeCell ref="C368:C370"/>
    <mergeCell ref="D368:D370"/>
    <mergeCell ref="B374:B376"/>
    <mergeCell ref="C374:C376"/>
    <mergeCell ref="D374:D376"/>
    <mergeCell ref="B357:B358"/>
    <mergeCell ref="C357:C358"/>
    <mergeCell ref="B383:B385"/>
    <mergeCell ref="D383:D385"/>
    <mergeCell ref="T383:T385"/>
    <mergeCell ref="B386:B388"/>
    <mergeCell ref="D386:D388"/>
    <mergeCell ref="T386:T388"/>
    <mergeCell ref="T374:T376"/>
    <mergeCell ref="B377:B379"/>
    <mergeCell ref="D377:D379"/>
    <mergeCell ref="T377:T379"/>
    <mergeCell ref="B380:B382"/>
    <mergeCell ref="D380:D382"/>
    <mergeCell ref="T380:T382"/>
    <mergeCell ref="B399:B402"/>
    <mergeCell ref="C399:C402"/>
    <mergeCell ref="D399:D402"/>
    <mergeCell ref="T399:T402"/>
    <mergeCell ref="B403:B405"/>
    <mergeCell ref="C403:C405"/>
    <mergeCell ref="D403:D405"/>
    <mergeCell ref="T403:T405"/>
    <mergeCell ref="B389:B391"/>
    <mergeCell ref="D389:D391"/>
    <mergeCell ref="T389:T391"/>
    <mergeCell ref="B392:B394"/>
    <mergeCell ref="D392:D394"/>
    <mergeCell ref="B397:B398"/>
    <mergeCell ref="C397:C398"/>
    <mergeCell ref="D397:D398"/>
    <mergeCell ref="T397:T398"/>
    <mergeCell ref="B412:B413"/>
    <mergeCell ref="C412:C413"/>
    <mergeCell ref="D412:D413"/>
    <mergeCell ref="B414:B415"/>
    <mergeCell ref="C414:C415"/>
    <mergeCell ref="D414:D415"/>
    <mergeCell ref="B406:B408"/>
    <mergeCell ref="C406:C408"/>
    <mergeCell ref="T406:T408"/>
    <mergeCell ref="B409:B411"/>
    <mergeCell ref="C409:C411"/>
    <mergeCell ref="D409:D411"/>
    <mergeCell ref="B424:B426"/>
    <mergeCell ref="C424:C426"/>
    <mergeCell ref="D424:D426"/>
    <mergeCell ref="B427:B429"/>
    <mergeCell ref="C427:C429"/>
    <mergeCell ref="B430:B431"/>
    <mergeCell ref="C430:C431"/>
    <mergeCell ref="B416:B418"/>
    <mergeCell ref="C416:C418"/>
    <mergeCell ref="D416:D418"/>
    <mergeCell ref="B419:B420"/>
    <mergeCell ref="C419:C420"/>
    <mergeCell ref="B421:B423"/>
    <mergeCell ref="C421:C423"/>
    <mergeCell ref="B443:B446"/>
    <mergeCell ref="C443:C446"/>
    <mergeCell ref="D443:D446"/>
    <mergeCell ref="B447:B448"/>
    <mergeCell ref="C447:C448"/>
    <mergeCell ref="D447:D448"/>
    <mergeCell ref="B432:B434"/>
    <mergeCell ref="C432:C434"/>
    <mergeCell ref="B435:B438"/>
    <mergeCell ref="C435:C438"/>
    <mergeCell ref="B439:B442"/>
    <mergeCell ref="C439:C442"/>
    <mergeCell ref="B456:B457"/>
    <mergeCell ref="C456:C457"/>
    <mergeCell ref="D456:D457"/>
    <mergeCell ref="T456:T457"/>
    <mergeCell ref="B458:B459"/>
    <mergeCell ref="C458:C459"/>
    <mergeCell ref="D458:D459"/>
    <mergeCell ref="B450:B451"/>
    <mergeCell ref="C450:C451"/>
    <mergeCell ref="B452:B453"/>
    <mergeCell ref="C452:C453"/>
    <mergeCell ref="T452:T453"/>
    <mergeCell ref="B454:B455"/>
    <mergeCell ref="C454:C455"/>
    <mergeCell ref="B464:B467"/>
    <mergeCell ref="C464:C467"/>
    <mergeCell ref="D464:D467"/>
    <mergeCell ref="B469:B471"/>
    <mergeCell ref="C469:C471"/>
    <mergeCell ref="D469:D471"/>
    <mergeCell ref="B460:B461"/>
    <mergeCell ref="C460:C461"/>
    <mergeCell ref="D460:D461"/>
    <mergeCell ref="B462:B463"/>
    <mergeCell ref="C462:C463"/>
    <mergeCell ref="D462:D463"/>
    <mergeCell ref="B476:B479"/>
    <mergeCell ref="C476:C479"/>
    <mergeCell ref="D476:D479"/>
    <mergeCell ref="T476:T479"/>
    <mergeCell ref="B480:B482"/>
    <mergeCell ref="C480:C482"/>
    <mergeCell ref="B472:B473"/>
    <mergeCell ref="C472:C473"/>
    <mergeCell ref="D472:D473"/>
    <mergeCell ref="B474:B475"/>
    <mergeCell ref="C474:C475"/>
    <mergeCell ref="D474:D475"/>
    <mergeCell ref="B491:B494"/>
    <mergeCell ref="C491:C494"/>
    <mergeCell ref="T491:T494"/>
    <mergeCell ref="B495:B496"/>
    <mergeCell ref="C495:C496"/>
    <mergeCell ref="B497:B498"/>
    <mergeCell ref="C497:C498"/>
    <mergeCell ref="T497:T498"/>
    <mergeCell ref="B483:B486"/>
    <mergeCell ref="C483:C486"/>
    <mergeCell ref="D483:D486"/>
    <mergeCell ref="T483:T486"/>
    <mergeCell ref="B487:B490"/>
    <mergeCell ref="C487:C490"/>
    <mergeCell ref="D487:D490"/>
    <mergeCell ref="T487:T490"/>
    <mergeCell ref="T510:T513"/>
    <mergeCell ref="B515:B516"/>
    <mergeCell ref="C515:C516"/>
    <mergeCell ref="B499:B500"/>
    <mergeCell ref="C499:C500"/>
    <mergeCell ref="B501:B503"/>
    <mergeCell ref="C501:C503"/>
    <mergeCell ref="T501:T503"/>
    <mergeCell ref="B504:B505"/>
    <mergeCell ref="C504:C505"/>
    <mergeCell ref="T504:T505"/>
    <mergeCell ref="B517:B518"/>
    <mergeCell ref="C517:C518"/>
    <mergeCell ref="B519:B522"/>
    <mergeCell ref="C519:C522"/>
    <mergeCell ref="B523:B526"/>
    <mergeCell ref="C523:C526"/>
    <mergeCell ref="B506:B509"/>
    <mergeCell ref="C506:C509"/>
    <mergeCell ref="B510:B513"/>
    <mergeCell ref="C510:C513"/>
    <mergeCell ref="B535:B536"/>
    <mergeCell ref="C535:C536"/>
    <mergeCell ref="B537:B538"/>
    <mergeCell ref="C537:C538"/>
    <mergeCell ref="B539:B540"/>
    <mergeCell ref="C539:C540"/>
    <mergeCell ref="B527:B528"/>
    <mergeCell ref="C527:C528"/>
    <mergeCell ref="B529:B532"/>
    <mergeCell ref="C529:C532"/>
    <mergeCell ref="B533:B534"/>
    <mergeCell ref="C533:C534"/>
    <mergeCell ref="B547:B548"/>
    <mergeCell ref="C547:C548"/>
    <mergeCell ref="B549:B551"/>
    <mergeCell ref="C549:C551"/>
    <mergeCell ref="B552:B554"/>
    <mergeCell ref="C552:C554"/>
    <mergeCell ref="B541:B542"/>
    <mergeCell ref="C541:C542"/>
    <mergeCell ref="B543:B544"/>
    <mergeCell ref="C543:C544"/>
    <mergeCell ref="B545:B546"/>
    <mergeCell ref="C545:C546"/>
    <mergeCell ref="B567:B569"/>
    <mergeCell ref="C567:C569"/>
    <mergeCell ref="B570:B572"/>
    <mergeCell ref="C570:C572"/>
    <mergeCell ref="B573:B576"/>
    <mergeCell ref="C573:C576"/>
    <mergeCell ref="A555:A558"/>
    <mergeCell ref="B555:B558"/>
    <mergeCell ref="C555:C558"/>
    <mergeCell ref="B559:B562"/>
    <mergeCell ref="C559:C562"/>
    <mergeCell ref="B563:B566"/>
    <mergeCell ref="C563:C566"/>
    <mergeCell ref="B588:B589"/>
    <mergeCell ref="C588:C589"/>
    <mergeCell ref="B591:B593"/>
    <mergeCell ref="C591:C593"/>
    <mergeCell ref="B594:B596"/>
    <mergeCell ref="C594:C596"/>
    <mergeCell ref="B577:B579"/>
    <mergeCell ref="C577:C579"/>
    <mergeCell ref="B580:B582"/>
    <mergeCell ref="C580:C582"/>
    <mergeCell ref="B583:B586"/>
    <mergeCell ref="C583:C586"/>
    <mergeCell ref="B606:B608"/>
    <mergeCell ref="C606:C608"/>
    <mergeCell ref="B609:B611"/>
    <mergeCell ref="C609:C611"/>
    <mergeCell ref="B612:B613"/>
    <mergeCell ref="C612:C613"/>
    <mergeCell ref="B597:B599"/>
    <mergeCell ref="C597:C599"/>
    <mergeCell ref="B600:B602"/>
    <mergeCell ref="C600:C602"/>
    <mergeCell ref="B603:B605"/>
    <mergeCell ref="C603:C605"/>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Sheet2</vt:lpstr>
      <vt:lpstr>Sheet3</vt:lpstr>
      <vt:lpstr>Sheet4</vt:lpstr>
      <vt:lpstr>Sheet6</vt:lpstr>
      <vt:lpstr>Sheet1</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Jasper Sun</cp:lastModifiedBy>
  <dcterms:created xsi:type="dcterms:W3CDTF">2023-12-18T18:54:45Z</dcterms:created>
  <dcterms:modified xsi:type="dcterms:W3CDTF">2024-03-11T20:40:34Z</dcterms:modified>
</cp:coreProperties>
</file>