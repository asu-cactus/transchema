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hidePivotFieldList="1" defaultThemeVersion="124226"/>
  <mc:AlternateContent xmlns:mc="http://schemas.openxmlformats.org/markup-compatibility/2006">
    <mc:Choice Requires="x15">
      <x15ac:absPath xmlns:x15ac="http://schemas.microsoft.com/office/spreadsheetml/2010/11/ac" url="/Users/gsun20/Desktop/projects/cactus/ChatGPTwithSQLscript/react/log/"/>
    </mc:Choice>
  </mc:AlternateContent>
  <xr:revisionPtr revIDLastSave="0" documentId="13_ncr:1_{4193D448-9989-B846-9B50-E24B176DF374}" xr6:coauthVersionLast="47" xr6:coauthVersionMax="47" xr10:uidLastSave="{00000000-0000-0000-0000-000000000000}"/>
  <bookViews>
    <workbookView xWindow="900" yWindow="1340" windowWidth="21920" windowHeight="15100" activeTab="4" xr2:uid="{00000000-000D-0000-FFFF-FFFF00000000}"/>
  </bookViews>
  <sheets>
    <sheet name="Sheet2" sheetId="2" r:id="rId1"/>
    <sheet name="Sheet3" sheetId="3" r:id="rId2"/>
    <sheet name="Sheet4" sheetId="4" r:id="rId3"/>
    <sheet name="Sheet6" sheetId="6" r:id="rId4"/>
    <sheet name="Sheet1" sheetId="1" r:id="rId5"/>
    <sheet name="Sheet5" sheetId="5" r:id="rId6"/>
  </sheets>
  <definedNames>
    <definedName name="_xlnm._FilterDatabase" localSheetId="4" hidden="1">Sheet1!$A$1:$K$58</definedName>
    <definedName name="_xlnm._FilterDatabase" localSheetId="5" hidden="1">Sheet5!$T$1:$T$613</definedName>
  </definedNames>
  <calcPr calcId="191029"/>
  <pivotCaches>
    <pivotCache cacheId="0" r:id="rId7"/>
    <pivotCache cacheId="1" r:id="rId8"/>
    <pivotCache cacheId="2" r:id="rId9"/>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2" i="1"/>
  <c r="D2" i="1"/>
  <c r="I37" i="6"/>
  <c r="I36" i="6"/>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2" i="1"/>
  <c r="I35" i="4"/>
  <c r="I42" i="4"/>
  <c r="I39" i="4"/>
  <c r="I4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tc={6E2854E5-8859-B146-B9EA-4B512AAE9A4B}</author>
  </authors>
  <commentList>
    <comment ref="Z5" authorId="0" shapeId="0" xr:uid="{6E2854E5-8859-B146-B9EA-4B512AAE9A4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You should be able to see highlights now
Reply:
    @Guoxin Sun (Student) </t>
      </text>
    </comment>
  </commentList>
</comments>
</file>

<file path=xl/sharedStrings.xml><?xml version="1.0" encoding="utf-8"?>
<sst xmlns="http://schemas.openxmlformats.org/spreadsheetml/2006/main" count="4260" uniqueCount="1789">
  <si>
    <t>Target</t>
  </si>
  <si>
    <t>Type</t>
  </si>
  <si>
    <t>Details</t>
  </si>
  <si>
    <t>Target1_3</t>
  </si>
  <si>
    <t>Target1_4</t>
  </si>
  <si>
    <t>Target1_6</t>
  </si>
  <si>
    <t>Target1_9</t>
  </si>
  <si>
    <t>Target1_10</t>
  </si>
  <si>
    <t>Target1_11</t>
  </si>
  <si>
    <t>Target1_13</t>
  </si>
  <si>
    <t>Target1_16</t>
  </si>
  <si>
    <t>Target1_18</t>
  </si>
  <si>
    <t>Target1_20</t>
  </si>
  <si>
    <t>Target1_21</t>
  </si>
  <si>
    <t>Target1_22</t>
  </si>
  <si>
    <t>Target1_23</t>
  </si>
  <si>
    <t>Target1_24</t>
  </si>
  <si>
    <t>Target1_27</t>
  </si>
  <si>
    <t>Target1_29</t>
  </si>
  <si>
    <t>Target1_34</t>
  </si>
  <si>
    <t>Target1_35</t>
  </si>
  <si>
    <t>Target1_38</t>
  </si>
  <si>
    <t>Target1_40</t>
  </si>
  <si>
    <t>Target1_41</t>
  </si>
  <si>
    <t>Target1_43</t>
  </si>
  <si>
    <t>Target1_44</t>
  </si>
  <si>
    <t>Target1_46</t>
  </si>
  <si>
    <t>Target1_48</t>
  </si>
  <si>
    <t>Target1_52</t>
  </si>
  <si>
    <t>Target1_53</t>
  </si>
  <si>
    <t>Target1_54</t>
  </si>
  <si>
    <t>Target1_55</t>
  </si>
  <si>
    <t>Target1_57</t>
  </si>
  <si>
    <t>Target1_59</t>
  </si>
  <si>
    <t>Target1_60</t>
  </si>
  <si>
    <t>Target1_61</t>
  </si>
  <si>
    <t>Target1_62</t>
  </si>
  <si>
    <t>Target1_65</t>
  </si>
  <si>
    <t>Target1_67</t>
  </si>
  <si>
    <t>Target1_68</t>
  </si>
  <si>
    <t>Target1_71</t>
  </si>
  <si>
    <t>Target1_72</t>
  </si>
  <si>
    <t>Target1_75</t>
  </si>
  <si>
    <t>Target1_77</t>
  </si>
  <si>
    <t>Target1_78</t>
  </si>
  <si>
    <t>Target1_80</t>
  </si>
  <si>
    <t>Target1_81</t>
  </si>
  <si>
    <t>Target1_82</t>
  </si>
  <si>
    <t>Target1_84</t>
  </si>
  <si>
    <t>Target1_86</t>
  </si>
  <si>
    <t>Target1_87</t>
  </si>
  <si>
    <t>Target1_88</t>
  </si>
  <si>
    <t>Target1_89</t>
  </si>
  <si>
    <t>Target1_90</t>
  </si>
  <si>
    <t>Target1_91</t>
  </si>
  <si>
    <t>Target1_92</t>
  </si>
  <si>
    <t>Target1_93</t>
  </si>
  <si>
    <t>Target1_95</t>
  </si>
  <si>
    <t>Target1_97</t>
  </si>
  <si>
    <t>Target1_99</t>
  </si>
  <si>
    <t>Success</t>
  </si>
  <si>
    <t>Failed</t>
  </si>
  <si>
    <t>Similarity Score Issue</t>
  </si>
  <si>
    <t>Syntax Error</t>
  </si>
  <si>
    <t>Execution successful without errors.</t>
  </si>
  <si>
    <t>Scores: 1.0, 0.9982; Case accuracy: 1.00</t>
  </si>
  <si>
    <t>Scores: 1.0, 0.5758; Case accuracy: 0.79</t>
  </si>
  <si>
    <t>Scores: 0.9895, 1.0, 1.0; Case accuracy: 1.00</t>
  </si>
  <si>
    <t>Scores: 1.0, 0.0285; Case accuracy: 0.51</t>
  </si>
  <si>
    <t>Scores: 1.0, 0.98, 0.96; Case accuracy: 0.98</t>
  </si>
  <si>
    <t>Mismatch - Lists lengths differ'</t>
  </si>
  <si>
    <t>Length Mismatch</t>
  </si>
  <si>
    <t>Malformed array literal 'IGHJ5*02'; Execution successful without errors.</t>
  </si>
  <si>
    <t>Syntax error at or near "Finish"; Execution successful without errors.</t>
  </si>
  <si>
    <t>Mismatch - Lists lengths differ'; Execution successful without errors.</t>
  </si>
  <si>
    <t>Syntax Error: Finish; Scores: 1.0, 0.0; Case accuracy: 0.50</t>
  </si>
  <si>
    <t>['Column 3: None vs ', 'Column 3: None vs ', 'Column 2: None vs ']</t>
  </si>
  <si>
    <t xml:space="preserve"> ['Column 2: 30 vs 3', 'Column 2: 5 vs 1']</t>
  </si>
  <si>
    <t xml:space="preserve"> ['Column 1: Dec_2012 vs Dec_2013']</t>
  </si>
  <si>
    <t>too long to list, refer to 'revised_finish_1.log'</t>
  </si>
  <si>
    <t>['Column 2: None vs 0']</t>
  </si>
  <si>
    <t xml:space="preserve"> Error in the previous response: Error: ERROR:  invalid input syntax for type integer: "30.0"
CONTEXT:  COPY source1_40_0, line 2, column quantityordered: "30.0"</t>
  </si>
  <si>
    <t xml:space="preserve"> Error in the previous response: Error: ERROR:  invalid input syntax for type numeric: "*"
CONTEXT:  COPY source1_44_0, line 26, column Value: "*"</t>
  </si>
  <si>
    <t xml:space="preserve"> Error in the previous response: Error: ERROR:  invalid input syntax for type integer: "2.0"
CONTEXT:  COPY source1_59_0, line 2, column orderlinenumber: "2.0"</t>
  </si>
  <si>
    <t xml:space="preserve"> Error in the previous response: Error: ERROR:  syntax error at or near "User"
LINE 23:     User TEXT,</t>
  </si>
  <si>
    <t xml:space="preserve"> Error in the previous response: Error: ERROR:  date/time field value out of range: "24/03/2019"
HINT:  Perhaps you need a different "datestyle" setting.
CONTEXT:  COPY source1_88_0, line 2, column date_of_journey: "24/03/2019"</t>
  </si>
  <si>
    <t xml:space="preserve">	Error in the previous response: Error: ERROR:  invalid input syntax for type date: "date"
CONTEXT:  COPY source1_89_0, line 2, column date: "date"</t>
  </si>
  <si>
    <t>Error in the previous response: Error: ERROR:  invalid input syntax for type bigint: "8.874739571039519e+17"
CONTEXT:  COPY source1_90_0, line 21, column retweeted_status_id: "8.874739571039519e+17"</t>
  </si>
  <si>
    <t xml:space="preserve">	Error in the previous response: Error: ERROR:  invalid input syntax for type numeric: ""
CONTEXT:  COPY source1_91_0, line 2, column market_value: ""</t>
  </si>
  <si>
    <t xml:space="preserve">	Error in the previous response: Error: ERROR:  invalid input syntax for type numeric: ""
CONTEXT:  COPY source1_93_0, line 2, column bet: ""</t>
  </si>
  <si>
    <t xml:space="preserve">	Error in the previous response: Error: ERROR:  malformed array literal: "IGHJ5*02"
DETAIL:  Array value must start with "{" or dimension information.
CONTEXT:  COPY source1_34_0, line 2, column j_call: "IGHJ5*02"</t>
  </si>
  <si>
    <t>Success Once</t>
  </si>
  <si>
    <t>Count of Type</t>
  </si>
  <si>
    <t>Row Labels</t>
  </si>
  <si>
    <t>(blank)</t>
  </si>
  <si>
    <t>Grand Total</t>
  </si>
  <si>
    <t>Count of Details</t>
  </si>
  <si>
    <t>Need Domain Knowledge - Aggregation function</t>
  </si>
  <si>
    <t>Need Domain Knowledge - Aggregation target</t>
  </si>
  <si>
    <t>Bad Case - task makes no sense</t>
  </si>
  <si>
    <t>Need Domain Knowledge - Use Aggregation or not</t>
  </si>
  <si>
    <t>Need Domain Knowledge - Rare case/ expectation</t>
  </si>
  <si>
    <t>Success - next iteration</t>
  </si>
  <si>
    <t>Need Domain Knowledge - expectation/ count on which</t>
  </si>
  <si>
    <t>Failed - failed to aggregate - low entropy - data type change</t>
  </si>
  <si>
    <t>Failed - failed to aggregate - low entropy - domain knowledge</t>
  </si>
  <si>
    <t>Success* bad test case : Dec_2012 vs Dec_2013</t>
  </si>
  <si>
    <t>Success*  grouped by continent - did not remove the empty continent - I would not call this failed..</t>
  </si>
  <si>
    <t>Failed - failed to aggregate - low entropy - domain knowledge/ did not do count</t>
  </si>
  <si>
    <t>Success*  grouped by continent - did not remove the empty fac_type - I would not call this failed..</t>
  </si>
  <si>
    <t>Success*  grouped by continent - did not remove the empty conservation_status - I would not call this failed..</t>
  </si>
  <si>
    <t>Failed - failed to aggregate - low entropy - domain knowledge - hard (newest date)</t>
  </si>
  <si>
    <t>Failed - did not figured out</t>
  </si>
  <si>
    <t>Count of After Fix</t>
  </si>
  <si>
    <t>Domain Knolwedge needed/
likely to be success when Domain Knoledge is provided</t>
  </si>
  <si>
    <t>34/(21+34）</t>
  </si>
  <si>
    <t>before fix 20/57</t>
  </si>
  <si>
    <t>one_big_prompt</t>
  </si>
  <si>
    <t>Error in the previous response: Error: ERROR:  syntax error at or near ")"
LINE 20: );
         ^</t>
  </si>
  <si>
    <t xml:space="preserve">Failed </t>
  </si>
  <si>
    <t>['Mismatch - DataFrames lengths differ (100000 vs 3164)']</t>
  </si>
  <si>
    <t>['Mismatch - DataFrames lengths differ (122 vs 4)']</t>
  </si>
  <si>
    <t>Error in the previous response: Error: ERROR:  invalid input syntax for type integer: "ORDERNUMBER"
CONTEXT:  COPY Source1_16_0, line 1, column ORDERNUMBER: "ORDERNUMBER"</t>
  </si>
  <si>
    <t>Failed - syntax</t>
  </si>
  <si>
    <t>['Mismatch - DataFrames lengths differ (75 vs 2)']</t>
  </si>
  <si>
    <t>['Mismatch - DataFrames lengths differ (4 vs 2)']</t>
  </si>
  <si>
    <t>Error in the previous response: Error: ERROR:  invalid input syntax for type integer: "customer_id"
CONTEXT:  COPY Source1_23_0, line 1, column customer_id: "customer_id"</t>
  </si>
  <si>
    <t>Error in the previous response: Error: ERROR:  cannot subscript type numeric because it does not support subscripting
LINE 31: SELECT unnest[1]::DECIMAL AS "condition", unnest[2]::DECIMAL…</t>
  </si>
  <si>
    <t>['Mismatch - DataFrames lengths differ (21324 vs 7)'].</t>
  </si>
  <si>
    <t>Error in the previous response: Error: ERROR:  invalid input syntax for type json
DETAIL:  Token "J_CALL" is invalid.
CONTEXT:  JSON data, line 1: J_CALL
COPY Source1_34_0, line 1, column J_CALL: "J_CALL"</t>
  </si>
  <si>
    <t>['Mismatch - DataFrames lengths differ (367 vs 55)']</t>
  </si>
  <si>
    <t xml:space="preserve"> iter1 Error in the previous response: Error: ERROR:  invalid input syntax for type numeric: "user_id"
CONTEXT:  COPY Source1_38_0, line 1, column user_id: "user_id"</t>
  </si>
  <si>
    <t>['Mismatch - DataFrames lengths differ (754 vs 153)']</t>
  </si>
  <si>
    <t xml:space="preserve"> ['Mismatch - DataFrames lengths differ (83156 vs 13861)']</t>
  </si>
  <si>
    <t>['Mismatch - DataFrames lengths differ (322 vs 2)']</t>
  </si>
  <si>
    <t>iter1 Error in the previous response: Error: ERROR:  invalid input syntax for type numeric: "*"
CONTEXT:  COPY Source1_44_0, line 26, column Value: "*"</t>
  </si>
  <si>
    <t>['Mismatch - DataFrames lengths differ (6960 vs 96)']</t>
  </si>
  <si>
    <t>Success*</t>
  </si>
  <si>
    <t xml:space="preserve"> [(0, [(23, 'Dec_2012', 'Dec_2013')])]</t>
  </si>
  <si>
    <t>Error: ERROR:  malformed array literal: "1"
DETAIL:  Array value must start with "{" or dimension information.
CONTEXT:  COPY Source1_52_0, line 2, column condition: "1"</t>
  </si>
  <si>
    <t>['Mismatch - DataFrames lengths differ (6 vs 5)']</t>
  </si>
  <si>
    <t>Error: ERROR:  malformed array literal: "1"
DETAIL:  Array value must start with "{" or dimension information.
CONTEXT:  COPY Source1_54_0, line 2, column condition: "1"</t>
  </si>
  <si>
    <t>['Mismatch - DataFrames lengths differ (6584 vs 6583)']</t>
  </si>
  <si>
    <t>Failed* VERY CLOSE.. CHECK</t>
  </si>
  <si>
    <t>Error in the previous response: Error: ERROR:  invalid input syntax for type numeric: "userId"
CONTEXT:  COPY Source1_57_0, line 1, column userId: "userId"</t>
  </si>
  <si>
    <t xml:space="preserve">Success** DID BETTER!!! BY CHANCE I GUESS.. </t>
  </si>
  <si>
    <t xml:space="preserve"> SQL is wrong: [(0, [(0, 'IGHV', 'IGHV1'), (1, 'IGHV', 'IGHV1')</t>
  </si>
  <si>
    <t>Failed - DID NOT DO SUBSTRING</t>
  </si>
  <si>
    <t>Error: ERROR:  malformed array literal: "1"
DETAIL:  Array value must start with "{" or dimension information.
CONTEXT:  COPY Source1_72_0, line 2, column condition: "1"</t>
  </si>
  <si>
    <t>['Mismatch - DataFrames lengths differ (9435 vs 70)']</t>
  </si>
  <si>
    <t>['Mismatch - DataFrames lengths differ (3 vs 2)']</t>
  </si>
  <si>
    <t>['Mismatch - DataFrames lengths differ (27386 vs 10980)']</t>
  </si>
  <si>
    <t>ERROR:  invalid input syntax for type numeric: "userId"
CONTEXT:  COPY Source1_80_0, line 1, column userId: "userId"</t>
  </si>
  <si>
    <t>['Mismatch - DataFrames lengths differ (3167 vs 2899)']</t>
  </si>
  <si>
    <t>['Mismatch - DataFrames lengths differ (5 vs 4)']</t>
  </si>
  <si>
    <t>ERROR:  schema "V_CALL" does not exist
LINE 7: CREATE TABLE "V_CALL"."Source1_84_0" (
                     ^</t>
  </si>
  <si>
    <t>d SQL script can run, but the execution result of the SQL is wrong: [(1, [(0, '53.4782608695652174', '23'), (1, '53.0000000000000000', '2')</t>
  </si>
  <si>
    <t>['Mismatch - DataFrames lengths differ (499 vs 2)']</t>
  </si>
  <si>
    <t>[(1, [(0, '2019-03-03', '03/03/2019')</t>
  </si>
  <si>
    <t>ERROR:  invalid input syntax for type numeric: "A"
CONTEXT:  COPY Source1_89_0, line 2, column open: "A"</t>
  </si>
  <si>
    <t>ERROR:  invalid input syntax for type numeric: ""
CONTEXT:  COPY Source1_90_0, line 2, column in_reply_to_status_id: ""</t>
  </si>
  <si>
    <t>ERROR:  invalid input syntax for type numeric: ""
CONTEXT:  COPY Source1_91_0, line 2, column Market_value: ""</t>
  </si>
  <si>
    <t>GUESS IT CAN SUCCESS</t>
  </si>
  <si>
    <t>ERROR:  invalid input syntax for type numeric: "bet"
CONTEXT:  COPY Source1_93_0, line 1, column bet: "bet"</t>
  </si>
  <si>
    <t xml:space="preserve"> ERROR:  invalid input syntax for type integer: "customer_id"
CONTEXT:  COPY Source1_95_0, line 1, column customer_id: "customer_id"</t>
  </si>
  <si>
    <t>[(1, [(0, '5', '1'), (1, '30', '3')])]</t>
  </si>
  <si>
    <t>ERROR:  date/time field value out of range: "2015-04-01 13:60:41"
CONTEXT:  COPY Source1_99_0, line 204, column timestamp: "2015-04-01 13:60:41"</t>
  </si>
  <si>
    <t>Ankita's baseline without target samples</t>
  </si>
  <si>
    <t>one_big_prompt_5itrs</t>
  </si>
  <si>
    <t>Success - by luck</t>
  </si>
  <si>
    <t>overall_big_prompt_no_fewshot_no_detailed intruction</t>
  </si>
  <si>
    <t>Count of overall_big_prompt_no_fewshot_no_detailed intruction</t>
  </si>
  <si>
    <t>Bad Case - task makes no sense v.s. Failed</t>
  </si>
  <si>
    <t>Failed - did not figured out v.s. Failed</t>
  </si>
  <si>
    <t>Failed - failed to aggregate - low entropy - data type change v.s. Failed</t>
  </si>
  <si>
    <t>Failed - failed to aggregate - low entropy - domain knowledge - hard (newest date) v.s. Failed</t>
  </si>
  <si>
    <t>Failed - failed to aggregate - low entropy - domain knowledge v.s. Failed</t>
  </si>
  <si>
    <t>Failed - failed to aggregate - low entropy - domain knowledge v.s. Failed --&gt; Failed</t>
  </si>
  <si>
    <t xml:space="preserve">Failed - failed to aggregate - low entropy - domain knowledge v.s. Success** DID BETTER!!! BY CHANCE I GUESS.. </t>
  </si>
  <si>
    <t>Failed - failed to aggregate - low entropy - domain knowledge/ did not do count v.s. Failed</t>
  </si>
  <si>
    <t>Need Domain Knowledge - Aggregation function v.s. Failed</t>
  </si>
  <si>
    <t>Need Domain Knowledge - Aggregation target v.s. Failed  --&gt; Failed</t>
  </si>
  <si>
    <t>Need Domain Knowledge - expectation/ count on which v.s. Failed --&gt; Success - by luck</t>
  </si>
  <si>
    <t>Need Domain Knowledge - Rare case/ expectation v.s. Failed</t>
  </si>
  <si>
    <t>Need Domain Knowledge - Use Aggregation or not v.s. Failed</t>
  </si>
  <si>
    <t>Success - next iteration v.s. Failed</t>
  </si>
  <si>
    <t>Success - next iteration v.s. Success</t>
  </si>
  <si>
    <t>Success v.s. Failed</t>
  </si>
  <si>
    <t>Success v.s. Failed - DID NOT DO SUBSTRING --&gt; Success</t>
  </si>
  <si>
    <t>Success v.s. Failed --&gt; Success</t>
  </si>
  <si>
    <t>Success v.s. Failed* VERY CLOSE.. CHECK</t>
  </si>
  <si>
    <t>Success v.s. Success</t>
  </si>
  <si>
    <t>Success*  grouped by continent - did not remove the empty conservation_status - I would not call this failed.. v.s. Success*</t>
  </si>
  <si>
    <t>Success*  grouped by continent - did not remove the empty continent - I would not call this failed.. v.s. Success*</t>
  </si>
  <si>
    <t>Success*  grouped by continent - did not remove the empty fac_type - I would not call this failed.. v.s. Success*</t>
  </si>
  <si>
    <t>Success* bad test case : Dec_2012 vs Dec_2013 v.s. Success*</t>
  </si>
  <si>
    <t>success -&gt; failed</t>
  </si>
  <si>
    <t>failed -&gt; success</t>
  </si>
  <si>
    <t>Success - preprocessing</t>
  </si>
  <si>
    <t>Success - takes more itr?</t>
  </si>
  <si>
    <t>Success-itr2</t>
  </si>
  <si>
    <t>Success - preprocessing v.s. Failed - syntax --&gt; Success</t>
  </si>
  <si>
    <t>Success - preprocessing v.s. Failed --&gt; Success - takes more itr?</t>
  </si>
  <si>
    <t>Success v.s. Failed --&gt; Success-itr2</t>
  </si>
  <si>
    <t>Success - preprocessing v.s. Success</t>
  </si>
  <si>
    <t>Success* bad test case : Dec_2012 vs Dec_2013 v.s. Failed --&gt; Success* bad test case : Dec_2012 vs Dec_2013</t>
  </si>
  <si>
    <t>Success - next iteration v.s. GUESS IT CAN SUCCESS --&gt; Success</t>
  </si>
  <si>
    <t>Ankita's baseline with target samples</t>
  </si>
  <si>
    <t>one-big-prompt</t>
  </si>
  <si>
    <t>react</t>
  </si>
  <si>
    <t>React - After Fix</t>
  </si>
  <si>
    <t>Folder Name</t>
  </si>
  <si>
    <t>Target Data Name</t>
  </si>
  <si>
    <t>Target Data Schema</t>
  </si>
  <si>
    <t>Target Data Sample</t>
  </si>
  <si>
    <t>Target Data Description</t>
  </si>
  <si>
    <t>Source Data Name</t>
  </si>
  <si>
    <t>3 Samples of Source Data</t>
  </si>
  <si>
    <t>Source Data Schema</t>
  </si>
  <si>
    <t>Failed SQL by GPT</t>
  </si>
  <si>
    <t>Failed Cases</t>
  </si>
  <si>
    <t>Ground Truth SQL</t>
  </si>
  <si>
    <t>Prompt_1(with csv)</t>
  </si>
  <si>
    <t>Prompt_2(with samples)</t>
  </si>
  <si>
    <t>sim score(with samples)</t>
  </si>
  <si>
    <t>PathsToSource1csv</t>
  </si>
  <si>
    <t>PathsToSource2csv</t>
  </si>
  <si>
    <t>Comment(with samples)</t>
  </si>
  <si>
    <t>validation using s.csv and t.csv</t>
  </si>
  <si>
    <t>Final comments</t>
  </si>
  <si>
    <t>Accuracy Prompt 1</t>
  </si>
  <si>
    <t>sim score in Prompt 1</t>
  </si>
  <si>
    <t>error if any</t>
  </si>
  <si>
    <t>error in second run</t>
  </si>
  <si>
    <t>comment</t>
  </si>
  <si>
    <t>React Result</t>
  </si>
  <si>
    <t>Round 2 Accuracy Promp2 (with Target sample)</t>
  </si>
  <si>
    <t>Round2 Accuracy Prompt1</t>
  </si>
  <si>
    <t>L1_0</t>
  </si>
  <si>
    <t>Target1_0</t>
  </si>
  <si>
    <t>['State', 'AverageTemperature']</t>
  </si>
  <si>
    <t>[['Acre', 25.76959388646288], ['Adygey', 10.203819706498953], ['Aga Buryat', -3.9832969187675102]]</t>
  </si>
  <si>
    <t>In target, the state wise average is computed from source.</t>
  </si>
  <si>
    <t>Source1_0</t>
  </si>
  <si>
    <t>[['2002-11-01', 4.19, 0.187, 'Rostov', 'Russia'], ['1923-11-01', 26.761, 0.413, 'Sergipe', 'Brazil'], ['1994-09-01', 25.56, 0.245, 'Manipur', 'India']]</t>
  </si>
  <si>
    <t>['dt', 'AverageTemperature', 'AverageTemperatureUncertainty', 'State', 'Country']</t>
  </si>
  <si>
    <t>failed</t>
  </si>
  <si>
    <t>failed, could not do aggregation</t>
  </si>
  <si>
    <t>L1_1</t>
  </si>
  <si>
    <t>Target1_1</t>
  </si>
  <si>
    <t>['Student ID', 'student_name', 'gender', 'grade', 'school_name', 'reading_score', 'math_score', 'School ID', 'type', 'size', 'budget']</t>
  </si>
  <si>
    <t>[[0, 'Paul Bradley', 'M', '9th', 'Huang High School', 66, 79, 0, 'District', 2917, 1910635], [1, 'Victor Smith', 'M', '12th', 'Huang High School', 94, 61, 0, 'District', 2917, 1910635], [2, 'Kevin Rodriguez', 'M', '12th', 'Huang High School', 90, 60, 0, 'District', 2917, 1910635]]</t>
  </si>
  <si>
    <t>Perform join on both source table and in case of ambiguity use school_name from source1_0</t>
  </si>
  <si>
    <t>[[0, 'Paul Bradley', 'M', '9th', 'Huang High School', 66, 79], [1, 'Victor Smith', 'M', '12th', 'Huang High School', 94, 61], [2, 'Kevin Rodriguez', 'M', '12th', 'Huang High School', 90, 60]]</t>
  </si>
  <si>
    <t>['Student ID', 'student_name', 'gender', 'grade', 'school_name', 'reading_score', 'math_score']</t>
  </si>
  <si>
    <t>CREATE TABLE IF NOT EXISTS Source1_0 (
    "Student ID" INT,
    student_name TEXT,
    gender CHAR(1),
    grade VARCHAR(10),
    school_name TEXT,
    reading_score INT,
    math_score INT
);
-- Insert data into 'Source_0'
INSERT INTO Source1_0 ("Student ID", student_name, gender, grade, school_name, reading_score, math_score)
VALUES
    (0, 'Paul Bradley', 'M', '9th', 'Huang High School', 66, 79),
    (1, 'Victor Smith', 'M', '12th', 'Huang High School', 94, 61),
    (2, 'Kevin Rodriguez', 'M', '12th', 'Huang High School', 90, 60);
-- Drop the second source table 'Source1_1' if it exists
DROP TABLE IF EXISTS Source1_1;
-- Create the second source table 'Source1_1'
CREATE TABLE Source1_1 (
    "School ID" INT,
    school_name TEXT,
    type TEXT,
    size INT,
    budget INT
);
-- Insert data into 'Source1_1'
INSERT INTO Source1_1 ("School ID", school_name, type, size, budget)
VALUES
    (0, 'Huang High School', 'District', 2917, 1910635),
    (1, 'Figueroa High School', 'District', 2949, 1884411),
    (2, 'Shelton High School', 'Charter', 1761, 1056600);
-- Create the target table 'target1'
CREATE TABLE IF NOT EXISTS target1_1(
    "Student ID" INT,
    student_name TEXT,
    gender CHAR(1),
    grade VARCHAR(10),
    school_name TEXT,
    reading_score INT,
    math_score INT,
    "School ID" INT,
    type TEXT,
    size INT,
    budget INT
);
-- Insert data into 'target1' by selecting only the necessary columns
INSERT INTO target1_1 (
    "Student ID", student_name, gender, grade, school_name, reading_score, math_score,
    "School ID", type, size, budget
)
SELECT
    s0."Student ID", s0.student_name, s0.gender, s0.grade, s0.school_name, s0.reading_score, s0.math_score,
    s1."School ID", s1.type, s1.size, s1.budget
FROM Source2_0 s0
JOIN Source2_1 s1 ON s0.school_name = s1.school_name;</t>
  </si>
  <si>
    <t>Source1_1</t>
  </si>
  <si>
    <t>[[0, 'Huang High School', 'District', 2917, 1910635], [1, 'Figueroa High School', 'District', 2949, 1884411], [2, 'Shelton High School', 'Charter', 1761, 1056600]]</t>
  </si>
  <si>
    <t>['School ID', 'school_name', 'type', 'size', 'budget']</t>
  </si>
  <si>
    <t>L1_10</t>
  </si>
  <si>
    <t>['PRECINCT', 'ELIGIBLE_VOTERS', 'POLLS', 'EARLY_VOING', 'ABSENTEE', 'PROVISIONAL']</t>
  </si>
  <si>
    <t>[['001-000', 612, 408, 39, 19, 3], ['001-001', 27791, 13648, 5179, 1247, 462], ['001-002', 13695, 6576, 2601, 495, 307]]</t>
  </si>
  <si>
    <t>In target, the attributes are sum from source for each PRECINCT</t>
  </si>
  <si>
    <t>Source10_0</t>
  </si>
  <si>
    <t>[['Allegany', 6.0, '01C', '001-000', 'DEMOCRAT', 83, 9, 4, 1, 126.0], ['Allegany', 6.0, '01C', '001-000', 'GREEN', 1, 0, 0, 1, 2.0], ['Allegany', 6.0, '01C', '001-000', 'LIBERTARIAN', 3, 0, 0, 0, 3.0]]</t>
  </si>
  <si>
    <t>['LBE', 'CONGRESSIONAL_DISTRICT_CODE', 'LEGISLATIVE_DISTRICT_CODE', 'PRECINCT', 'PARTY', 'POLLS', 'EARLY_VOING', 'ABSENTEE', 'PROVISIONAL', 'ELIGIBLE_VOTERS']</t>
  </si>
  <si>
    <t>succes</t>
  </si>
  <si>
    <t>L1_11</t>
  </si>
  <si>
    <t>['sex', 'births']</t>
  </si>
  <si>
    <t>[['F', 90993], ['M', 80202]]</t>
  </si>
  <si>
    <t>In target table births is sum of births from source table. sex is group by as 'M' and 'F' and order by sex.</t>
  </si>
  <si>
    <t>Source11_0</t>
  </si>
  <si>
    <t>[['Mary', 'F', 7065], ['Anna', 'F', 2604], ['Emma', 'F', 2003]]</t>
  </si>
  <si>
    <t>['name', 'sex', 'births']</t>
  </si>
  <si>
    <t>data type mismatch to be resolved. Done</t>
  </si>
  <si>
    <t>L1_12</t>
  </si>
  <si>
    <t>Target1_12</t>
  </si>
  <si>
    <t>['Athlete', 'Age', 'Year', 'Closing Ceremony Date', 'Gold Medals', 'Silver Medals', 'Bronze Medals', 'Total Medals', 'Country']</t>
  </si>
  <si>
    <t>[['Michael Phelps', 23.0, 2008, '08/24/2008', 8, 0, 0, 8, 'United States'], ['Michael Phelps', 19.0, 2004, '08/29/2004', 6, 0, 2, 8, 'United States'], ['Michael Phelps', 27.0, 2012, '08/12/2012', 4, 2, 0, 6, 'United States']]</t>
  </si>
  <si>
    <t>Use join on source tables.</t>
  </si>
  <si>
    <t>Source12_0</t>
  </si>
  <si>
    <t>[['Michael Phelps', 23.0, 2008, '08/24/2008', 8, 0, 0, 8], ['Michael Phelps', 19.0, 2004, '08/29/2004', 6, 0, 2, 8], ['Michael Phelps', 27.0, 2012, '08/12/2012', 4, 2, 0, 6]]</t>
  </si>
  <si>
    <t>['Athlete', 'Age', 'Year', 'Closing Ceremony Date', 'Gold Medals', 'Silver Medals', 'Bronze Medals', 'Total Medals']</t>
  </si>
  <si>
    <t>Source12_1</t>
  </si>
  <si>
    <t>[['Michael Phelps', 'United States'], ['Natalie Coughlin', 'United States'], ['Aleksey Nemov', 'Russia']]</t>
  </si>
  <si>
    <t>['Athlete', 'Country']</t>
  </si>
  <si>
    <t>L1_13</t>
  </si>
  <si>
    <t>['sex', 'smoker', 'tip_pct']</t>
  </si>
  <si>
    <t>[['Female', 'No', 0.15441878619164726], ['Female', 'Yes', 0.19843132079721], ['Male', 'No', 0.16243793099990006]]</t>
  </si>
  <si>
    <t xml:space="preserve">In target, for sex and smoker the tip_pct is averaged from source. </t>
  </si>
  <si>
    <t>Source13_0</t>
  </si>
  <si>
    <t>[[16.99, 1.01, 'Female', 'No', 'Sun', 'Dinner', 2, 0.059446733372572114], [10.34, 1.66, 'Male', 'No', 'Sun', 'Dinner', 3, 0.16054158607350094], [21.01, 3.5, 'Male', 'No', 'Sun', 'Dinner', 3, 0.16658733936220846]]</t>
  </si>
  <si>
    <t>['total_bill', 'tip', 'sex', 'smoker', 'day', 'time', 'size', 'tip_pct']</t>
  </si>
  <si>
    <t>fail</t>
  </si>
  <si>
    <t>L1_14</t>
  </si>
  <si>
    <t>Target1_14</t>
  </si>
  <si>
    <t>['PLAYER', '2017-18', '#', 'Player', 'Team', 'GP', 'MPG', 'FGM', 'FGA', 'FG%', '3PM', '3PA', '3P%', 'FTM', 'FTA', 'FT%', 'TOV', 'PF', 'ORB', 'DRB', 'RPG', 'APG', 'SPG', 'BPG', 'PPG']</t>
  </si>
  <si>
    <t>[['Stephen Curry', 34682550, 1, 'Stephen Curry', 'GSW', 51, 32.0, 8.4, 16.9, 0.495, 4.2, 9.8, 0.423, 5.5, 5.9, 0.921, 3.0, 2.2, 0.7, 4.4, 5.1, 6.1, 1.6, 0.2, 26.4], ['Kevin Durant', 25000000, 2, 'Kevin Durant', 'GSW', 68, 34.2, 9.3, 18.0, 0.516, 2.5, 6.1, 0.419, 5.3, 5.9, 0.889, 3.0, 2.0, 0.5, 6.4, 6.8, 5.4, 0.7, 1.8, 26.4], ['Klay Thompson', 17826150, 3, 'Klay Thompson', 'GSW', 73, 34.3, 7.9, 16.1, 0.488, 3.1, 7.1, 0.44, 1.1, 1.3, 0.8370000000000001, 1.8, 1.6, 0.4, 3.4, 3.8, 2.5, 0.8, 0.5, 20.0]]</t>
  </si>
  <si>
    <t>In target, join is done on source tables.</t>
  </si>
  <si>
    <t>Source14_0</t>
  </si>
  <si>
    <t>[['Stephen Curry', 34682550], ['Kevin Durant', 25000000], ['Klay Thompson', 17826150]]</t>
  </si>
  <si>
    <t>['PLAYER', '2017-18']</t>
  </si>
  <si>
    <t>DROP TABLE IF EXISTS Source14_0;
CREATE TABLE Source14_0 (
    "PLAYER" VARCHAR(255),
    "2017-18" NUMERIC
);
-- Insert data into the first table Source14_0
COPY Source14_0 ("PLAYER", "2017-18")
FROM 'D:\lab\ChatGPTwithSQLscript\github-pipelines\length1_14\test_0.csv'
DELIMITER ',' CSV HEADER NULL 'nan';
-- Create the second table Source14_1
DROP TABLE IF EXISTS Source14_1;
CREATE TABLE Source14_1 (
    "#" INTEGER,
    "Player" VARCHAR(255),
    "Team" VARCHAR(255),
    "GP" INTEGER,
    "MPG" NUMERIC,
    "FGM" NUMERIC,
    "FGA" NUMERIC,
    "FG%" NUMERIC,
    "3PM" NUMERIC,
    "3PA" NUMERIC,
    "3P%" NUMERIC,
    "FTM" NUMERIC,
    "FTA" NUMERIC,
    "FT%" NUMERIC,
    "TOV" NUMERIC,
    "PF" NUMERIC,
    "ORB" NUMERIC,
    "DRB" NUMERIC,
    "RPG" NUMERIC,
    "APG" NUMERIC,
    "SPG" NUMERIC,
    "BPG" NUMERIC,
    "PPG" NUMERIC
);
-- Insert data into the second table Source14_1
COPY Source14_1 ("#", "Player", "Team", "GP", "MPG", "FGM", "FGA", "FG%", "3PM", "3PA", "3P%", "FTM", "FTA", "FT%", "TOV", "PF", "ORB", "DRB", "RPG", "APG", "SPG", "BPG", "PPG")
FROM 'D:\lab\ChatGPTwithSQLscript\github-pipelines\length1_14\test_1.csv'
DELIMITER ',' CSV HEADER NULL 'nan';
-- Create the target table Target1_14
DROP TABLE IF EXISTS Target1_14;
CREATE TABLE Target1_14 AS
SELECT "PLAYER", "2017-18", "#", "Player", "Team", "GP", "MPG", "FGM", "FGA", "FG%", "3PM", "3PA", "3P%", "FTM", "FTA", "FT%", "TOV", "PF", "ORB", "DRB", "RPG", "APG", "SPG", "BPG", "PPG"
FROM Source14_0
JOIN Source14_1 ON Source14_0."PLAYER" = Source14_1."Player";
-- Export the result to a CSV file
COPY Target1_14 TO 'D:\lab\ChatGPTwithSQLscript\github-pipelines\length1_14\Target1_14_result.csv' DELIMITER ',' CSV HEADER;</t>
  </si>
  <si>
    <t>SQL Result: Table name not identified from last INSERT INTO query.</t>
  </si>
  <si>
    <t>[1.0, 1.0, 1.0, 1.0, 1.0, 1.0, 1.0, 1.0, 1.0, 1.0, 1.0, 1.0, 1.0, 1.0, 1.0, 1.0, 1.0, 1.0, 1.0, 1.0, 1.0, 1.0, 1.0, 1.0, 1.0]</t>
  </si>
  <si>
    <t>second time running the script gives correct result., no chnages were made.</t>
  </si>
  <si>
    <t>Fail</t>
  </si>
  <si>
    <t>ERROR:  column "player" specified more than once</t>
  </si>
  <si>
    <t>Source14_1</t>
  </si>
  <si>
    <t>[[1, 'Stephen Curry', 'GSW', 51, 32.0, 8.4, 16.9, 0.495, 4.2, 9.8, 0.423, 5.5, 5.9, 0.921, 3.0, 2.2, 0.7, 4.4, 5.1, 6.1, 1.6, 0.2, 26.4], [2, 'Kevin Durant', 'GSW', 68, 34.2, 9.3, 18.0, 0.516, 2.5, 6.1, 0.419, 5.3, 5.9, 0.889, 3.0, 2.0, 0.5, 6.4, 6.8, 5.4, 0.7, 1.8, 26.4], [3, 'Klay Thompson', 'GSW', 73, 34.3, 7.9, 16.1, 0.488, 3.1, 7.1, 0.44, 1.1, 1.3, 0.8370000000000001, 1.8, 1.6, 0.4, 3.4, 3.8, 2.5, 0.8, 0.5, 20.0]]</t>
  </si>
  <si>
    <t>['#', 'Player', 'Team', 'GP', 'MPG', 'FGM', 'FGA', 'FG%', '3PM', '3PA', '3P%', 'FTM', 'FTA', 'FT%', 'TOV', 'PF', 'ORB', 'DRB', 'RPG', 'APG', 'SPG', 'BPG', 'PPG']</t>
  </si>
  <si>
    <t>On executing this queri in postgres, gives correct result.,</t>
  </si>
  <si>
    <t>L1_15</t>
  </si>
  <si>
    <t>Target1_15</t>
  </si>
  <si>
    <t>['State', 'Participation_x', 'English', 'Math_x', 'Reading', 'Science', 'Composite', 'Participation_y', 'Evidence-Based Reading and Writing', 'Math_y', 'Total']</t>
  </si>
  <si>
    <t>[['Alabama', '100%', 18.9, 18.4, 19.7, 19.4, 19.2, '5%', 593, 572, 1165], ['Alaska', '65%', 18.7, 19.8, 20.4, 19.9, 19.8, '38%', 547, 533, 1080], ['Arizona', '62%', 18.6, 19.8, 20.1, 19.8, 19.7, '30%', 563, 553, 1116]]</t>
  </si>
  <si>
    <t xml:space="preserve">Participation is percentage value and join is performed </t>
  </si>
  <si>
    <t>Source15_0</t>
  </si>
  <si>
    <t>[['National', ' 60%', 20.3, 20.7, 21.4, 21.0, 21.0], ['Alabama', '100%', 18.9, 18.4, 19.7, 19.4, 19.2], ['Alaska', '65%', 18.7, 19.8, 20.4, 19.9, 19.8]]</t>
  </si>
  <si>
    <t>['State', 'Participation', 'English', 'Math', 'Reading', 'Science', 'Composite']</t>
  </si>
  <si>
    <t>[1.0, 1.0, 1.0, 1.0, 1.0, 1.0, 1.0, 1.0, 1.0, 1.0, 1.0]</t>
  </si>
  <si>
    <t>The result and sql seems correct, but still match failed. Can check later why failed</t>
  </si>
  <si>
    <t>Source15_1</t>
  </si>
  <si>
    <t>[['Alabama', '5%', 593, 572, 1165], ['Alaska', '38%', 547, 533, 1080], ['Arizona', '30%', 563, 553, 1116]]</t>
  </si>
  <si>
    <t>['State', 'Participation', 'Evidence-Based Reading and Writing', 'Math', 'Total']</t>
  </si>
  <si>
    <t>L1_16</t>
  </si>
  <si>
    <t>['CUSTOMERNAME', 'ORDERNUMBER']</t>
  </si>
  <si>
    <t>[['Alpha Cognac', 7], ['Amica Models &amp; Co.', 19], ['Auto-Moto Classics Inc.', 3]]</t>
  </si>
  <si>
    <t>In target, the ordernumber is count for each customername from source table.</t>
  </si>
  <si>
    <t>Source16_0</t>
  </si>
  <si>
    <t>[[10107, 30.0, 95.7, 2.0, 2871.0, '2/24/2003 0:00', 'Shipped', 1.0, 2.0, 2003.0, 'Motorcycles', 95.0, 'S10_1678', 'Land of Toys Inc.', '2125557818', '897 Long Airport Avenue', nan, 'NYC', 'NY', 10022, 'USA', nan, 'Yu', 'Kwai', 'Small'], [10121, 34.0, 81.35, 5.0, 2765.9, '5/7/2003 0:00', 'Shipped', 2.0, 5.0, 2003.0, 'Motorcycles', 95.0, 'S10_1678', 'Reims Collectables', '26.47.1555', "59 rue de l'Abbaye", nan, 'Reims', nan, 51100, 'France', 'EMEA', 'Henriot', 'Paul', 'Small'], [10134, 41.0, 94.74, 2.0, 3884.34, '7/1/2003 0:00', 'Shipped', 3.0, 7.0, 2003.0, 'Motorcycles', 95.0, 'S10_1678', 'Lyon Souveniers', '+33 1 46 62 7555', '27 rue du Colonel Pierre Avia', nan, 'Paris', nan, 75508, 'France', 'EMEA', 'Da Cunha', 'Daniel', 'Medium']]</t>
  </si>
  <si>
    <t>['ORDERNUMBER', 'QUANTITYORDERED', 'PRICEEACH', 'ORDERLINENUMBER', 'SALES', 'ORDERDATE', 'STATUS', 'QTR_ID', 'MONTH_ID', 'YEAR_ID', 'PRODUCTLINE', 'MSRP', 'PRODUCTCODE', 'CUSTOMERNAME', 'PHONE', 'ADDRESSLINE1', 'ADDRESSLINE2', 'CITY', 'STATE', 'POSTALCODE', 'COUNTRY', 'TERRITORY', 'CONTACTLASTNAME', 'CONTACTFIRSTNAME', 'DEALSIZE']</t>
  </si>
  <si>
    <t>Error: ERROR:  invalid input syntax for type integer: "10180,29,86.13,9,2497.77,11/11/2003 0:00,Shipped,4,11,2003,Motorcycles,95,S10_1678,Daedalus Designs Imports,20.16.1555,"184, chausse de Tournai",,Lille,,59000,France,EMEA,Rance,Martine,Small"
CONTEXT:  COPY source16_0, line 8, column ordernumber: "10180,29,86.13,9,2497.77,11/11/2003 0:00,Shipped,4,11,2003,Motorcycles,95,S10_1678,Daedalus Designs ..."</t>
  </si>
  <si>
    <t>Error: ERROR:  invalid input syntax for type integer: ""</t>
  </si>
  <si>
    <t>Still failed even after clean.py pre processing</t>
  </si>
  <si>
    <t>L1_17</t>
  </si>
  <si>
    <t>Target1_17</t>
  </si>
  <si>
    <t>['School ID', 'school_name', 'type', 'size', 'budget', 'Student ID', 'student_name', 'gender', 'grade', 'reading_score', 'math_score']</t>
  </si>
  <si>
    <t>[[0, 'Huang High School', 'District', 2917, 1910635, 0, 'Paul Bradley', 'M', '9th', 66, 79], [0, 'Huang High School', 'District', 2917, 1910635, 1, 'Victor Smith', 'M', '12th', 94, 61], [0, 'Huang High School', 'District', 2917, 1910635, 2, 'Kevin Rodriguez', 'M', '12th', 90, 60]]</t>
  </si>
  <si>
    <t>Join is perfomed from source table.</t>
  </si>
  <si>
    <t>Source17_0</t>
  </si>
  <si>
    <t>0.9996936430942047, 1.0, 1.0, 0.9996936430942047, 0.9996936430942047, 0.6655603778401838, 1.0, 1.0, 1.0, 0.6762318100587184, 0.6737809548123564</t>
  </si>
  <si>
    <t>Source17_1</t>
  </si>
  <si>
    <t>L1_18</t>
  </si>
  <si>
    <t>['y', 'sepal length (cm)', 'sepal width (cm)', 'petal length (cm)', 'petal width (cm)']</t>
  </si>
  <si>
    <t>[[0, 50, 50, 50, 50], [1, 25, 25, 25, 25]]</t>
  </si>
  <si>
    <t>In target, for each y, the count of attribute is calculated from source tables.</t>
  </si>
  <si>
    <t>Source18_0</t>
  </si>
  <si>
    <t>[[5.1, 3.5, 1.4, 0.2, 0.0], [4.9, 3.0, 1.4, 0.2, 0.0], [4.7, 3.2, 1.3, 0.2, 0.0]]</t>
  </si>
  <si>
    <t>['sepal length (cm)', 'sepal width (cm)', 'petal length (cm)', 'petal width (cm)', 'y']</t>
  </si>
  <si>
    <t>L1_19</t>
  </si>
  <si>
    <t>Target1_19</t>
  </si>
  <si>
    <t>['ocd_prop_id',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t>
  </si>
  <si>
    <t>[['ocd-contest/e0c5f9f0-63a9-4c15-9a5c-017e20ac15bc',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'2016-07-01', 'KORMUNDOY', 'EDWARD', 'LOS ANGELES', 'CA', 90026,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'2016-07-03', 'CARSON', 'RICHARD', 'NEVADA CITY', 'CA', 95959,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'2016-09-20', 'MORRISON', 'JAMES', 'HUNTINGTON BEACH', 'CA', 92647, 'RETIRED', 'RETIRED', False, 59.0]]</t>
  </si>
  <si>
    <t>contributor_zip type should be string in the tables</t>
  </si>
  <si>
    <t>Source19_0</t>
  </si>
  <si>
    <t>[['ocd-contest/b51dc64d-3562-4913-a190-69f5088c22a6',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t>
  </si>
  <si>
    <t>['ocd_prop_id', 'calaccess_prop_id', 'ccdc_prop_id', 'prop_name', 'ccdc_committee_id', 'calaccess_committee_id', 'committee_name', 'committee_position']</t>
  </si>
  <si>
    <t>CREATE TABLE IF NOT EXISTS Source19_0 (
    ocd_prop_id TEXT,
    calaccess_prop_id INTEGER,
    ccdc_prop_id INTEGER,
    prop_name TEXT,
    ccdc_committee_id INTEGER,
    calaccess_committee_id INTEGER,
    committee_name TEXT,
    committee_position TEXT
);
CREATE TABLE IF NOT EXISTS Source19_1 (
    calaccess_committee_id INTEGER,
    committee_name TEXT,
    calaccess_filing_id INTEGER,
    date_received DATE,
    contributor_lastname TEXT,
    contributor_firstname TEXT,
    contributor_city TEXT,
    contributor_state TEXT,
    contributor_zip INTEGER,
    contributor_employer TEXT,
    contributor_occupation TEXT,
    contributor_is_self_employed BOOLEAN,
    amount FLOAT
);
-- Step 2: Insert data into the source tables from CSV files
COPY Source19_0 FROM 'D:\lab\ChatGPTwithSQLscript\github-pipelines\length1_19\test_0.csv' DELIMITER ',' CSV HEADER NULL '';
COPY Source19_1 FROM 'D:\lab\ChatGPTwithSQLscript\github-pipelines\length1_19\test_1.csv' DELIMITER ',' CSV HEADER NULL '';
-- Step 3: Create the target table
CREATE TABLE IF NOT EXISTS Target1_19 (
    ocd_prop_id TEXT,
    calaccess_prop_id INTEGER,
    ccdc_prop_id INTEGER,
    prop_name TEXT,
    ccdc_committee_id INTEGER,
    calaccess_committee_id INTEGER,
    committee_name_x TEXT,
    committee_position TEXT,
    committee_name_y TEXT,
    calaccess_filing_id INTEGER,
    date_received DATE,
    contributor_lastname TEXT,
    contributor_firstname TEXT,
    contributor_city TEXT,
    contributor_state TEXT,
    contributor_zip INTEGER,
    contributor_employer TEXT,
    contributor_occupation TEXT,
    contributor_is_self_employed BOOLEAN,
    amount FLOAT
);
-- Step 4: Insert data into the target table by joining the source tables
INSERT INTO Target1_19 (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
SELECT
    s0.ocd_prop_id,
    s0.calaccess_prop_id,
    s0.ccdc_prop_id,
    s0.prop_name,
    s0.ccdc_committee_id,
    s0.calaccess_committee_id,
    s0.committee_name,
    s0.committee_position,
    s1.committee_name,
    s1.calaccess_filing_id,
    s1.date_received,
    s1.contributor_lastname,
    s1.contributor_firstname,
    s1.contributor_city,
    s1.contributor_state,
    s1.contributor_zip,
    s1.contributor_employer,
    s1.contributor_occupation,
    s1.contributor_is_self_employed,
    s1.amount
FROM Source19_0 s0
JOIN Source19_1 s1 ON s0.calaccess_committee_id = s1.calaccess_committee_id;
-- Step 5: Export the result to a CSV file
COPY (SELECT * FROM Target1_19) TO 'D:\lab\ChatGPTwithSQLscript\github-pipelines\length1_19\Target1_19_result.csv' DELIMITER ',' CSV HEADER;</t>
  </si>
  <si>
    <t>ERROR:  invalid input syntax for type integer: "20036-5610"
CONTEXT:  COPY source19_1, line 56, column contributor_zip: "20036-5610"</t>
  </si>
  <si>
    <t>1.0, 1.0, 1.0, 1.0, 1.0, 1.0, 1.0, 1.0, 1.0, 1.0, 1.0, 1.0, 1.0, 1.0, 1.0, 1.0, 1.0, 1.0, 0.0, 1.0</t>
  </si>
  <si>
    <t xml:space="preserve">The csv file cont to compare is same but still last second column shows 0 matching. Check later. </t>
  </si>
  <si>
    <t>Source19_1</t>
  </si>
  <si>
    <t>[[1386560,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t>
  </si>
  <si>
    <t>['calaccess_committee_id', 'committee_name', 'calaccess_filing_id', 'date_received', 'contributor_lastname', 'contributor_firstname', 'contributor_city', 'contributor_state', 'contributor_zip', 'contributor_employer', 'contributor_occupation', 'contributor_is_self_employed', 'amount']</t>
  </si>
  <si>
    <t>L1_2</t>
  </si>
  <si>
    <t>Target1_2</t>
  </si>
  <si>
    <t>['tripduration', 'starttime', 'stoptime', 'start station id', 'start station name', 'start station latitude', 'start station longitude', 'end station id', 'end station name', 'end station latitude', 'end station longitude', 'bikeid', 'usertype', 'birth year', 'gender']</t>
  </si>
  <si>
    <t>[[131, '2018-05-01 07:29:57.5490', '2018-05-01 07:32:08.6160', 3183, 'Exchange Place', 40.7162469, -74.0334588, 3184, 'Paulus Hook', 40.7141454, -74.0335519, 29617, 'Subscriber', 1966, 1], [73, '2018-05-01 08:13:58.2560', '2018-05-01 08:15:11.9230', 3183, 'Exchange Place', 40.7162469, -74.0334588, 3184, 'Paulus Hook', 40.7141454, -74.0335519, 29288, 'Subscriber', 1975, 1], [4929, '2018-05-01 08:17:21.3110', '2018-05-01 09:39:31.0770', 3183, 'Exchange Place', 40.7162469, -74.0334588, 3183, 'Exchange Place', 40.7162469, -74.0334588, 29520, 'Customer', 1969, 0]]</t>
  </si>
  <si>
    <t>Source2_0</t>
  </si>
  <si>
    <t>[[329, '2018-06-01 07:07:00.2990', '2018-06-01 07:12:30.2220', 3183, 'Exchange Place', 40.7162469, -74.0334588, 3276, 'Marin Light Rail', 40.71458403535893, -74.04281705617905, 29513, 'Subscriber', 1991, 1], [259, '2018-06-01 08:24:43.8490', '2018-06-01 08:29:03.8450', 3183, 'Exchange Place', 40.7162469, -74.0334588, 3267, 'Morris Canal', 40.7124188237569, -74.03852552175522, 26221, 'Subscriber', 1989, 2], [686, '2018-06-01 09:17:49.5730', '2018-06-01 09:29:16.1770', 3183, 'Exchange Place', 40.7162469, -74.0334588, 3202, 'Newport PATH', 40.7272235, -74.03375890000002, 29266, 'Subscriber', 1990, 1]]</t>
  </si>
  <si>
    <t>DROP TABLE IF EXISTS Source2_0;
CREATE TABLE Source2_0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DROP TABLE IF EXISTS Source2_1;
CREATE TABLE Source2_1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 Step 2: Insert data from CSV files into the source tables
COPY Source2_0 FROM 'D:\lab\ChatGPTwithSQLscript\github-pipelines\length1_2\test_0.csv' DELIMITER ',' CSV HEADER NULL '';
COPY Source2_1 FROM 'D:\lab\ChatGPTwithSQLscript\github-pipelines\length1_2\test_1.csv' DELIMITER ',' CSV HEADER NULL '';
-- Step 3: Create the target table
DROP TABLE IF EXISTS Target1_2;
CREATE TABLE Target1_2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 Step 4: Insert data from source tables into the target table
INSERT INTO Target1_2 (
    tripduration,
    starttime,
    stoptime,
    "start station id",
    "start station name",
    "start station latitude",
    "start station longitude",
    "end station id",
    "end station name",
    "end station latitude",
    "end station longitude",
    bikeid,
    usertype,
    "birth year",
    gender
)
SELECT
    tripduration,
    starttime,
    stoptime,
    "start station id",
    "start station name",
    "start station latitude",
    "start station longitude",
    "end station id",
    "end station name",
    "end station latitude",
    "end station longitude",
    bikeid,
    usertype,
    "birth year",
    gender
FROM
    Source2_0
UNION ALL
SELECT
    tripduration,
    starttime,
    stoptime,
    "start station id",
    "start station name",
    "start station latitude",
    "start station longitude",
    "end station id",
    "end station name",
    "end station latitude",
    "end station longitude",
    bikeid,
    usertype,
    "birth year",
    gender
FROM
    Source2_1;
-- Step 5: Export the result to a CSV file
COPY (
    SELECT *
    FROM Target1_2
) TO 'D:\lab\ChatGPTwithSQLscript\github-pipelines\length1_2\Target1_2_result.csv' DELIMITER ',' CSV HEADER;</t>
  </si>
  <si>
    <t>[0.0013109023377758358, 0.0, 0.0, 0.09558662879615469, 1.0, 0.09558662879615469, 0.09558662879615469, 0.04040128177117471, 1.0, 0.04040128177117471, 0.04040128177117471, 0.0019117325759230937, 1.0, 0.035813123588959286, 0.5586264656616415]</t>
  </si>
  <si>
    <t>The gpt generate results seems correct but due to ordering the accuracy is so low. Can not figure out the ordering.</t>
  </si>
  <si>
    <t>1.0, 0.0, 0.0, 1.0, 1.0, 1.0, 1.0, 1.0, 1.0, 1.0, 1.0, 1.0, 1.0, 1.0, 1.0</t>
  </si>
  <si>
    <t xml:space="preserve">The sim score is different </t>
  </si>
  <si>
    <t>Source2_1</t>
  </si>
  <si>
    <t xml:space="preserve">After checking both files, ordering </t>
  </si>
  <si>
    <t>L1_20</t>
  </si>
  <si>
    <t>['sex', 'smoker', 'total_bill', 'tip', 'size']</t>
  </si>
  <si>
    <t>[['Female', 'No', 18.846206896551728, 2.8279310344827597, 2.5172413793103448], ['Female', 'Yes', 18.504, 2.992, 2.0], ['Male', 'No', 19.666615384615387, 3.1616923076923067, 2.569230769230769]]</t>
  </si>
  <si>
    <t>Source20_0</t>
  </si>
  <si>
    <t>[[16.99, 1.01, 'Female', 'No', 'Sun', 'Dinner', 2], [10.34, 1.66, 'Male', 'No', 'Sun', 'Dinner', 3], [21.01, 3.5, 'Male', 'No', 'Sun', 'Dinner', 3]]</t>
  </si>
  <si>
    <t>['total_bill', 'tip', 'sex', 'smoker', 'day', 'time', 'size']</t>
  </si>
  <si>
    <t>L1_21</t>
  </si>
  <si>
    <t>['Major_category', 'Median']</t>
  </si>
  <si>
    <t>[['Agriculture &amp; Natural Resources', 55000.0], ['Biology &amp; Life Science', 51833.33333333334], ['Communications &amp; Journalism', 49500.0]]</t>
  </si>
  <si>
    <t>In target, for Major_category and Median type the  , Median are averaged from source table</t>
  </si>
  <si>
    <t>Source21_0</t>
  </si>
  <si>
    <t>[[1100,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t>
  </si>
  <si>
    <t>['Major_code', 'Major', 'Major_category', 'Total', 'Employed', 'Employed_full_time_year_round', 'Unemployed', 'Unemployment_rate', 'Median', 'P25th', 'P75th']</t>
  </si>
  <si>
    <t>DROP TABLE IF EXISTS Source21_0;
CREATE TABLE Source21_0 (
    Major_code INT,
    Major VARCHAR(255),
    Major_category VARCHAR(255),
    Total INT,
    Employed INT,
    Employed_full_time_year_round INT,
    Unemployed INT,
    Unemployment_rate FLOAT,
    Median INT,
    P25th INT,
    P75th INT
);
-- Insert sample rows into the source table
INSERT INTO Source21_0 (Major_code, Major, Major_category, Total, Employed, Employed_full_time_year_round, Unemployed, Unemployment_rate, Median, P25th, P75th)
VALUES (1100,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
-- Create the target table
DROP TABLE IF EXISTS Target1_21;
CREATE TABLE Target1_21 (
    Major_category VARCHAR(255),
    Median FLOAT
);
-- Insert rows from the source table into the target table
INSERT INTO Target1_21 (Major_category, Median)
SELECT Major_category, AVG(Median) AS Median
FROM Source21_0
GROUP BY Major_category;
-- Export the result to a CSV file
SELECT * FROM Target1_21;</t>
  </si>
  <si>
    <t>The SQL result is correct but comparision acc is 0</t>
  </si>
  <si>
    <t>CSV file upload have more columns</t>
  </si>
  <si>
    <t>success</t>
  </si>
  <si>
    <t>L1_22</t>
  </si>
  <si>
    <t>['condition', 'click']</t>
  </si>
  <si>
    <t>[[0, 253], [1, 246]]</t>
  </si>
  <si>
    <t>Source22_0</t>
  </si>
  <si>
    <t>[[1, 0], [0, 0], [0, 0]]</t>
  </si>
  <si>
    <t>L1_23</t>
  </si>
  <si>
    <t>['customer_id', 'amount']</t>
  </si>
  <si>
    <t>[[80.0, 75.0], [90.0, 121.33333333333331], [130.0, 60.0]]</t>
  </si>
  <si>
    <t>Source23_0</t>
  </si>
  <si>
    <t>[[760, 25, '2009-11-06'], [860, 50, '2012-09-28'], [1200, 100, '2005-10-25']]</t>
  </si>
  <si>
    <t>['customer_id', 'amount', 'date']</t>
  </si>
  <si>
    <t>L1_25</t>
  </si>
  <si>
    <t>Target1_25</t>
  </si>
  <si>
    <t>Source25_0</t>
  </si>
  <si>
    <t>DROP TABLE IF EXISTS Source25_0;
CREATE TABLE Source25_0 (
    State TEXT,
    Participation TEXT,
    English FLOAT,
    Math FLOAT,
    Reading FLOAT,
    Science FLOAT,
    Composite FLOAT
);
DROP TABLE IF EXISTS Source25_1;
CREATE TABLE Source25_1 (
    State TEXT,
    Participation TEXT,
    "Evidence-Based Reading and Writing" FLOAT,
    Math FLOAT,
    Total FLOAT
);
-- Step 2: Insert data into the source tables from CSV files
COPY Source25_0 FROM 'D:\lab\ChatGPTwithSQLscript\github-pipelines\length1_25\test_0.csv' DELIMITER ',' CSV HEADER NULL '';
COPY Source25_1 FROM 'D:\lab\ChatGPTwithSQLscript\github-pipelines\length1_25\test_1.csv' DELIMITER ',' CSV HEADER NULL '';
-- Step 3: Create the target table
DROP TABLE IF EXISTS Target1_25;
CREATE TABLE Target1_25 (
    State TEXT,
    Participation_x TEXT,
    English FLOAT,
    Math_x FLOAT,
    Reading FLOAT,
    Science FLOAT,
    Composite FLOAT,
    Participation_y TEXT,
    "Evidence-Based Reading and Writing" FLOAT,
    Math_y FLOAT,
    Total FLOAT
);
-- Step 4: Insert data into the target table by joining the source tables
INSERT INTO Target1_25 (
    State,
    Participation_x,
    English,
    Math_x,
    Reading,
    Science,
    Composite,
    Participation_y,
    "Evidence-Based Reading and Writing",
    Math_y,
    Total
)
SELECT
    s0.State,
    s0.Participation,
    s0.English,
    s0.Math,
    s0.Reading,
    s0.Science,
    s0.Composite,
    s1.Participation,
    s1."Evidence-Based Reading and Writing",
    s1.Math,
    s1.Total
FROM
    Source25_0 s0
JOIN
    Source25_1 s1 ON s0.State = s1.State;
-- Step 5: Export the result to a CSV file
COPY Target1_25 TO 'D:\lab\ChatGPTwithSQLscript\github-pipelines\length1_25\Target1_25_result.csv' DELIMITER ',' CSV HEADER;</t>
  </si>
  <si>
    <t>Source25_1</t>
  </si>
  <si>
    <t>L1_27</t>
  </si>
  <si>
    <t>['day_week', 'ENTRIESn', 'EXITSn', 'ENTRIESn_hourly', 'EXITSn_hourly', 'hour', 'weekday', 'latitude', 'longitude', 'fog', 'precipi', 'pressurei', 'rain', 'tempi', 'wspdi', 'meanprecipi', 'meanpressurei', 'meantempi', 'meanwspdi', 'weather_lat', 'weather_lon']</t>
  </si>
  <si>
    <t>[[0.0, 41334339.33534309, 28585085.11857594, 2586.123169681309, 1856.9204708584552, 9.987941429801896, 1.0, 40.74000497243772, -73.93944350760863, 0.0, 0.0006057995980476603, 29.992896927935597, 0.22078667815101924, 62.5368934826296, 8.040453631926482, 0.0006057995980476656, 29.99287635180396, 62.53808976935586, 8.040841228825597, 40.74122319867967, -73.94012390956115], [1.0, 40986712.2318716, 28448771.972198334, 3105.145027228433, 2198.6319862424757, 9.975351103468043, 1.0, 40.74030948208674, -73.93931545887101, 0.006878761822871883, 0.013511034680424241, 29.97894812267107, 0.2003439380911436, 65.74829464029786, 8.44284895385487, 0.013511034680424087, 29.978948122671277, 65.74829464030088, 8.442848953854938, 40.741456139581906, -73.9399656231016], [2.0, 39965661.09031079, 27758647.87678245, 3268.891773308958, 2325.6416819012798, 10.044606946983548, 1.0, 40.73980380767834, -73.93989930310838, 0.0380255941499086, 0.010756855575868356, 29.97335648994529, 0.5023765996343693, 61.41265082266914, 7.8747714808043625, 0.010756855575868522, 29.97335648994478, 61.412650822667224, 7.874771480804461, 40.7409328270569, -73.94060192504577]]</t>
  </si>
  <si>
    <t>Source27_0</t>
  </si>
  <si>
    <t>[['R003', '05-01-11', '00:00:00', 4388333, 2911002, 0, 0, '2011-05-01 00:00:00', 0, 6, 0, 'CYPRESS HILLS', 40.689945, -73.872564, 'Clear', 0, 0.0, 30.22, 0, 55.9, 3.5, 0.0, 30.25800000000001, 55.98, 7.8599999999999985, 40.700348, -73.88717700000002], ['R003', '05-01-11', '04:00:00', 4388333, 2911002, 0, 0, '2011-05-01 04:00:00', 4, 6, 0, 'CYPRESS HILLS', 40.689945, -73.872564, 'Partly Cloudy', 0, 0.0, 30.25, 0, 52.0, 3.5, 0.0, 30.25800000000001, 55.98, 7.8599999999999985, 40.700348, -73.88717700000002], ['R003', '05-01-11', '12:00:00', 4388333, 2911002, 0, 0, '2011-05-01 12:00:00', 12, 6, 0, 'CYPRESS HILLS', 40.689945, -73.872564, 'Mostly Cloudy', 0, 0.0, 30.28, 0, 62.1, 6.9, 0.0, 30.25800000000001, 55.98, 7.8599999999999985, 40.700348, -73.88717700000002]]</t>
  </si>
  <si>
    <t>['UNIT', 'DATEn', 'TIMEn', 'ENTRIESn', 'EXITSn', 'ENTRIESn_hourly', 'EXITSn_hourly', 'datetime', 'hour', 'day_week', 'weekday', 'station', 'latitude', 'longitude', 'conds', 'fog', 'precipi', 'pressurei', 'rain', 'tempi', 'wspdi', 'meanprecipi', 'meanpressurei', 'meantempi', 'meanwspdi', 'weather_lat', 'weather_lon']</t>
  </si>
  <si>
    <t>L1_29</t>
  </si>
  <si>
    <t>['Gender', '0']</t>
  </si>
  <si>
    <t>[['Female', 56], ['Male', 325], ['Other / Non-Disclosed', 9]]</t>
  </si>
  <si>
    <t>In target, For Gender the 0 is total count for Gender in source table.</t>
  </si>
  <si>
    <t>Source29_0</t>
  </si>
  <si>
    <t>[[0, 'Lisim78', 20, 'Male', 108, 'Extraction, Quickblade Of Trembling Hands', 3.53], [1, 'Lisovynya38', 40, 'Male', 143, 'Frenzied Scimitar', 1.56], [2, 'Ithergue48', 24, 'Male', 92, 'Final Critic', 4.88]]</t>
  </si>
  <si>
    <t>['Purchase ID', 'SN', 'Age', 'Gender', 'Item ID', 'Item Name', 'Price']</t>
  </si>
  <si>
    <t>DROP TABLE IF EXISTS Source29_0;
-- Create the source table
CREATE TABLE Source29_0 (
    "Purchase ID" INTEGER,
    "SN" VARCHAR(255),
    "Age" INTEGER,
    "Gender" VARCHAR(255),
    "Item ID" INTEGER,
    "Item Name" VARCHAR(255),
    "Price" NUMERIC(10, 2)
);
-- Insert sample rows into the source table
INSERT INTO Source29_0 ("Purchase ID", "SN", "Age", "Gender", "Item ID", "Item Name", "Price")
VALUES (0, 'Lisim78', 20, 'Male', 108, 'Extraction, Quickblade Of Trembling Hands', 3.53),
       (1, 'Lisovynya38', 40, 'Male', 143, 'Frenzied Scimitar', 1.56),
       (2, 'Ithergue48', 24, 'Male', 92, 'Final Critic', 4.88);
-- Drop the target table if it exists
DROP TABLE IF EXISTS Target1_29;
-- Create the target table
CREATE TABLE Target1_29 (
    "Gender" VARCHAR(255),
    "0" INTEGER
);
-- Insert rows from the source table into the target table
INSERT INTO Target1_29 ("Gender", "0")
SELECT "Gender", COUNT(*) AS "0"
FROM Source29_0
GROUP BY "Gender";
-- Export the result to a CSV file
COPY (SELECT * FROM Target1_29) TO 'D:\lab\ChatGPTwithSQLscript\github-pipelines\length1_29\Target1_29_result.csv' DELIMITER ',' CSV HEADER;</t>
  </si>
  <si>
    <t>L1_3</t>
  </si>
  <si>
    <t>The median is target is for each major_category in source.</t>
  </si>
  <si>
    <t>Source3_0</t>
  </si>
  <si>
    <t>CREATE TABLE Source3_0 (
    Major_code INT,
    Major VARCHAR(255),
    Major_category VARCHAR(255),
    Total INT,
    Employed INT,
    Employed_full_time_year_round INT,
    Unemployed INT,
    Unemployment_rate FLOAT,
    Median INT,
    P25th INT,
    P75th INT
);
-- Insert sample rows into the source table
INSERT INTO Source3_0 (Major_code, Major, Major_category, Total, Employed, Employed_full_time_year_round, Unemployed, Unemployment_rate, Median, P25th, P75th)
VALUES (1100,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
-- Drop the target table if it exists
DROP TABLE IF EXISTS Target1_3;
-- Create the target table
CREATE TABLE Target1_3 (
    Major_category VARCHAR(255),
    Median INT
);
-- Insert rows from the source table into the target table
INSERT INTO Target1_3 (Major_category, Median)
SELECT Major_category, Median
FROM Source3_0;
SELECT * FROM Target1_3;</t>
  </si>
  <si>
    <t>L1_30</t>
  </si>
  <si>
    <t>Target1_30</t>
  </si>
  <si>
    <t>['movieId', 'title', 'genres', 'userId', 'tag', 'timestamp']</t>
  </si>
  <si>
    <t>[[1, 'Toy Story (1995)', 'Adventure|Animation|Children|Comedy|Fantasy', 501, 'Pixar', 1292956344], [5, 'Father of the Bride Part II (1995)', 'Comedy', 431, 'steve martin', 1140455432], [47, 'Seven (a.k.a. Se7en) (1995)', 'Mystery|Thriller', 364, 'biblical', 1444534976]]</t>
  </si>
  <si>
    <t>Use Join on source tables</t>
  </si>
  <si>
    <t>Source30_0</t>
  </si>
  <si>
    <t>[[15, 339, "sandra 'boring' bullock", 1138537770], [15, 1955, 'dentist', 1193435061], [15, 7478, 'Cambodia', 1170560997]]</t>
  </si>
  <si>
    <t>['userId', 'movieId', 'tag', 'timestamp']</t>
  </si>
  <si>
    <t>DROP TABLE IF EXISTS Source30_0;
CREATE TABLE Source30_0 (
    userId INT,
    movieId INT,
    tag TEXT,
    timestamp INT
);
-- Insert data into the first source table from CSV file
COPY Source30_0 (userId, movieId, tag, timestamp)
FROM 'D:\lab\ChatGPTwithSQLscript\github-pipelines\length1_30\test_0.csv'
DELIMITER ','
CSV HEADER NULL '';
-- Create the second source table
DROP TABLE IF EXISTS Source30_1;
CREATE TABLE Source30_1 (
    movieId INT,
    title TEXT,
    genres TEXT
);
-- Insert data into the second source table from CSV file
COPY Source30_1 (movieId, title, genres)
FROM 'D:\lab\ChatGPTwithSQLscript\github-pipelines\length1_30\test_1.csv'
DELIMITER ','
CSV HEADER NULL '';
-- Create the target table
DROP TABLE IF EXISTS Target1_30;
CREATE TABLE Target1_30 (
    movieId INT,
    title TEXT,
    genres TEXT,
    userId INT,
    tag TEXT,
    timestamp INT
);
-- Insert data into the target table by joining the source tables
INSERT INTO Target1_30 (movieId, title, genres, userId, tag, timestamp)
SELECT s1.movieId, s2.title, s2.genres, s1.userId, s1.tag, s1.timestamp
FROM Source30_0 s1
JOIN Source30_1 s2 ON s1.movieId = s2.movieId;
-- Export the result to a CSV file
COPY (SELECT * FROM Target1_30)
TO 'D:\lab\ChatGPTwithSQLscript\github-pipelines\length1_30\Target1_30_result.csv'
DELIMITER ','
CSV HEADER;</t>
  </si>
  <si>
    <t>1.0, 1.0, 1.0, 0.8536155202821869, 1.0, 0.5343915343915344</t>
  </si>
  <si>
    <t>The SQL is correct and low score is because of exat matching and ordering mismatch in some columns.</t>
  </si>
  <si>
    <t>Source30_1</t>
  </si>
  <si>
    <t>[[1, 'Toy Story (1995)', 'Adventure|Animation|Children|Comedy|Fantasy'], [2, 'Jumanji (1995)', 'Adventure|Children|Fantasy'], [3, 'Grumpier Old Men (1995)', 'Comedy|Romance']]</t>
  </si>
  <si>
    <t>['movieId', 'title', 'genres']</t>
  </si>
  <si>
    <t>L1_31</t>
  </si>
  <si>
    <t>Target1_31</t>
  </si>
  <si>
    <t>['State', 'Participation_x', 'Evidence-Based Reading and Writing', 'Math_x', 'Total', 'Participation_y', 'English', 'Math_y', 'Reading', 'Science', 'Composite']</t>
  </si>
  <si>
    <t>[['Alabama', '5%', 593, 572, 1165, '100%', 18.9, 18.4, 19.7, 19.4, 19.2], ['Alaska', '38%', 547, 533, 1080, '65%', 18.7, 19.8, 20.4, 19.9, 19.8], ['Arizona', '30%', 563, 553, 1116, '62%', 18.6, 19.8, 20.1, 19.8, 19.7]]</t>
  </si>
  <si>
    <t>Source31_0</t>
  </si>
  <si>
    <t>DROP TABLE IF EXISTS Source31_0;
CREATE TABLE Source31_0 (
    State VARCHAR,
    Participation VARCHAR,
    "Evidence-Based Reading and Writing" FLOAT,
    Math FLOAT,
    Total FLOAT
);
-- Insert data into the first source table Source31_0
COPY Source31_0 FROM 'D:\lab\ChatGPTwithSQLscript\github-pipelines\length1_31\test_0.csv' DELIMITER ',' CSV NULL '';
-- Create the second source table Source31_1
DROP TABLE IF EXISTS Source31_1;
CREATE TABLE Source31_1 (
    State VARCHAR,
    Participation VARCHAR,
    English FLOAT,
    Math FLOAT,
    Reading FLOAT,
    Science FLOAT,
    Composite FLOAT
);
-- Insert data into the second source table Source31_1
COPY Source31_1 FROM 'D:\lab\ChatGPTwithSQLscript\github-pipelines\length1_31\test_1.csv' DELIMITER ',' CSV NULL '';
-- Create the target table Target1_31
DROP TABLE IF EXISTS Target1_31;
CREATE TABLE Target1_31 (
    State VARCHAR,
    Participation_x VARCHAR,
    "Evidence-Based Reading and Writing" FLOAT,
    Math_x FLOAT,
    Total FLOAT,
    Participation_y VARCHAR,
    English FLOAT,
    Math_y FLOAT,
    Reading FLOAT,
    Science FLOAT,
    Composite FLOAT
);
-- Insert data into the target table Target1_31 by joining the source tables
INSERT INTO Target1_31 (
    State,
    Participation_x,
    "Evidence-Based Reading and Writing",
    Math_x,
    Total,
    Participation_y,
    English,
    Math_y,
    Reading,
    Science,
    Composite
)
SELECT
    s0.State,
    s0.Participation,
    s0."Evidence-Based Reading and Writing",
    s0.Math,
    s0.Total,
    s1.Participation,
    s1.English,
    s1.Math,
    s1.Reading,
    s1.Science,
    s1.Composite
FROM
    Source31_0 s0
JOIN
    Source31_1 s1 ON s0.State = s1.State;
-- Export the SQL result to a CSV file
COPY (
    SELECT * FROM Target1_31
) TO 'D:\lab\ChatGPTwithSQLscript\github-pipelines\length1_31\Target1_31_result.csv' DELIMITER ',' CSV HEADER;</t>
  </si>
  <si>
    <t>SQL Result: Error: ERROR:  invalid input syntax for type double precision: "Evidence-Based Reading and Writing"
CONTEXT:  COPY source31_0, line 1, column Evidence-Based Reading and Writing: "Evidence-Based Reading and Writing"</t>
  </si>
  <si>
    <t>DROP TABLE IF EXISTS Source31_0;
CREATE TABLE Source31_0 (
    State VARCHAR,
    Participation VARCHAR,
    "Evidence-Based Reading and Writing" INTEGER,
    Math INTEGER,
    Total INTEGER
);
-- Insert data into the first source table
COPY Source31_0 FROM 'D:\lab\ChatGPTwithSQLscript\github-pipelines\length1_31\test_0.csv' DELIMITER ',' CSV HEADER NULL '';
-- Create the second source table
DROP TABLE IF EXISTS Source31_1;
CREATE TABLE Source31_1 (
    State VARCHAR,
    Participation VARCHAR,
    English FLOAT,
    Math FLOAT,
    Reading FLOAT,
    Science FLOAT,
    Composite FLOAT
);
-- Insert data into the second source table
COPY Source31_1 FROM 'D:\lab\ChatGPTwithSQLscript\github-pipelines\length1_31\test_1.csv' DELIMITER ',' CSV HEADER NULL '';
-- Create the target table
DROP TABLE IF EXISTS Target1_31;
CREATE TABLE Target1_31 (
    State VARCHAR,
    Participation_x VARCHAR,
    "Evidence-Based Reading and Writing" INTEGER,
    Math_x INTEGER,
    Total INTEGER,
    Participation_y VARCHAR,
    English FLOAT,
    Math_y FLOAT,
    Reading FLOAT,
    Science FLOAT,
    Composite FLOAT
);
-- Insert data into the target table by joining the source tables
INSERT INTO Target1_31 (
    State,
    Participation_x,
    "Evidence-Based Reading and Writing",
    Math_x,
    Total,
    Participation_y,
    English,
    Math_y,
    Reading,
    Science,
    Composite
)
SELECT
    s0.State,
    s0.Participation,
    s0."Evidence-Based Reading and Writing",
    s0.Math,
    s0.Total,
    s1.Participation,
    s1.English,
    s1.Math,
    s1.Reading,
    s1.Science,
    s1.Composite
FROM
    Source31_0 s0
JOIN
    Source31_1 s1 ON s0.State = s1.State;
-- Export the result to a CSV file
COPY (SELECT * FROM Target1_31) TO 'D:\lab\ChatGPTwithSQLscript\github-pipelines\length1_31\Target1_31_result.csv' DELIMITER ',' CSV HEADER;</t>
  </si>
  <si>
    <t>Source31_1</t>
  </si>
  <si>
    <t>L1_34</t>
  </si>
  <si>
    <t>['V_GENE']</t>
  </si>
  <si>
    <t>[['IGHJ5*02'], ['IGHJ4*02'], ['IGHJ4*02']]</t>
  </si>
  <si>
    <t>J_call should map to V_GENE</t>
  </si>
  <si>
    <t>Source34_0</t>
  </si>
  <si>
    <t>['J_CALL']</t>
  </si>
  <si>
    <t>DROP TABLE IF EXISTS Source34_0;
-- Create the source table
CREATE TABLE Source34_0 (
    J_CALL VARCHAR(255)
);
-- Insert sample rows into the source table
INSERT INTO Source34_0 (J_CALL) VALUES
    ('IGHJ5*02'),
    ('IGHJ4*02'),
    ('IGHJ4*02');
-- Drop the target table if it exists
DROP TABLE IF EXISTS Target1_34;
-- Create the target table
CREATE TABLE Target1_34 (
    V_GENE VARCHAR(255)
);
-- Insert rows from the source table into the target table
INSERT INTO Target1_34 (V_GENE)
SELECT J_CALL AS V_GENE
FROM Source34_0;
-- Export the result to a CSV file
COPY (SELECT * FROM Target1_34) TO 'D:\lab\ChatGPTwithSQLscript\github-pipelines\length1_34\Target1_34_result.csv' DELIMITER ',' CSV HEADER;</t>
  </si>
  <si>
    <t>L1_35</t>
  </si>
  <si>
    <t>['Source Zipcode', 'Counts']</t>
  </si>
  <si>
    <t>[[90230, 1], [90715, 1], [91104, 1]]</t>
  </si>
  <si>
    <t>The Counts in target is total number of counts for each source zipcode.</t>
  </si>
  <si>
    <t>Source35_0</t>
  </si>
  <si>
    <t>[[90230, 'Private Education and Health Services', 1], [90715, 'Accommodations', 1], [91104, 'Financial Services', 1]]</t>
  </si>
  <si>
    <t>['Source Zipcode', 'NAICS Code Description', 'Counts']</t>
  </si>
  <si>
    <t>DROP TABLE IF EXISTS Source35_0;
-- Create the source table
CREATE TABLE Source35_0 (
    "Source Zipcode" INTEGER,
    "NAICS Code Description" VARCHAR,
    "Counts" INTEGER
);
-- Insert sample rows into the source table
INSERT INTO Source35_0 ("Source Zipcode", "NAICS Code Description", "Counts")
VALUES (90230, 'Private Education and Health Services', 1),
       (90715, 'Accommodations', 1),
       (91104, 'Financial Services', 1);
-- Drop the target table if it exists
DROP TABLE IF EXISTS Target1_35;
-- Create the target table
CREATE TABLE Target1_35 (
    "Source Zipcode" INTEGER,
    "Counts" INTEGER
);
-- Insert rows from the source table into the target table
INSERT INTO Target1_35 ("Source Zipcode", "Counts")
SELECT "Source Zipcode", "Counts"
FROM Source35_0;
-- Export the result to a CSV file
COPY (SELECT * FROM Target1_35) TO 'D:\lab\ChatGPTwithSQLscript\github-pipelines\length1_35\Target1_35_result.csv' DELIMITER ',' CSV HEADER;</t>
  </si>
  <si>
    <t>L1_36</t>
  </si>
  <si>
    <t>Target1_36</t>
  </si>
  <si>
    <t>[[201, '2019-01-01 03:09:09.7110', '2019-01-01 03:12:30.8790', 3183, 'Exchange Place', 40.7162469, -74.0334588, 3214, 'Essex Light Rail', 40.71277420000001,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t>
  </si>
  <si>
    <t>starttime and stoptime are time type.</t>
  </si>
  <si>
    <t>Source36_0</t>
  </si>
  <si>
    <t>[[142, '2019-02-01 15:35:02.0820', '2019-02-01 15:37:24.1360', 3183, 'Exchange Place', 40.7162469, -74.0334588, 3639, 'Harborside', 40.71925170000001, -74.034234, 29677, 'Subscriber', 1963, 1], [223, '2019-02-01 17:00:46.8900', '2019-02-01 17:04:30.5500', 3183, 'Exchange Place', 40.7162469, -74.0334588, 3681, 'Grand St', 40.71517767732029, -74.03768330812454, 26234, 'Subscriber', 1992, 2], [106, '2019-02-01 17:08:01.3260', '2019-02-01 17:09:47.4400', 3183, 'Exchange Place', 40.7162469, -74.0334588, 3184, 'Paulus Hook', 40.7141454, -74.0335519, 29588, 'Subscriber', 1960, 1]]</t>
  </si>
  <si>
    <t>DROP TABLE IF EXISTS Source36_0;
CREATE TABLE Source36_0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first source table Source36_0
INSERT INTO Source36_0 (tripduration, starttime, stoptime, "start station id", "start station name", "start station latitude", "start station longitude", "end station id", "end station name", "end station latitude", "end station longitude", bikeid, usertype, "birth year", gender)
VALUES (142, '2019-02-01 15:35:02.0820', '2019-02-01 15:37:24.1360', 3183, 'Exchange Place', 40.7162469, -74.0334588, 3639, 'Harborside', 40.71925170000001, -74.034234, 29677, 'Subscriber', 1963, 1),
       (223, '2019-02-01 17:00:46.8900', '2019-02-01 17:04:30.5500', 3183, 'Exchange Place', 40.7162469, -74.0334588, 3681, 'Grand St', 40.71517767732029, -74.03768330812454, 26234, 'Subscriber', 1992, 2),
       (106, '2019-02-01 17:08:01.3260', '2019-02-01 17:09:47.4400', 3183, 'Exchange Place', 40.7162469, -74.0334588, 3184, 'Paulus Hook', 40.7141454, -74.0335519, 29588, 'Subscriber', 1960, 1);
-- Create the second source table Source36_1
DROP TABLE IF EXISTS Source36_1;
CREATE TABLE Source36_1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second source table Source36_1
INSERT INTO Source36_1 (tripduration, starttime, stoptime, "start station id", "start station name", "start station latitude", "start station longitude", "end station id", "end station name", "end station latitude", "end station longitude", bikeid, usertype, "birth year", gender)
VALUES (201, '2019-01-01 03:09:09.7110', '2019-01-01 03:12:30.8790', 3183, 'Exchange Place', 40.7162469, -74.0334588, 3214, 'Essex Light Rail', 40.71277420000001,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
-- Create the target table Target1_36
DROP TABLE IF EXISTS Target1_36;
CREATE TABLE Target1_36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target table Target1_36 by joining the source tables
INSERT INTO Target1_36 (tripduration, starttime, stoptime, "start station id", "start station name", "start station latitude", "start station longitude", "end station id", "end station name", "end station latitude", "end station longitude", bikeid, usertype, "birth year", gender)
SELECT s0.tripduration, s0.starttime, s0.stoptime, s0."start station id", s0."start station name", s0."start station latitude", s0."start station longitude", s0."end station id", s0."end station name", s0."end station latitude", s0."end station longitude", s0.bikeid, s0.usertype, s0."birth year", s0.gender
FROM Source36_0 s0
UNION ALL
SELECT s1.tripduration, s1.starttime, s1.stoptime, s1."start station id", s1."start station name", s1."start station latitude", s1."start station longitude", s1."end station id", s1."end station name", s1."end station latitude", s1."end station longitude", s1.bikeid, s1.usertype, s1."birth year", s1.gender
FROM Source36_1 s1;
-- Export the result to a CSV file
COPY (SELECT * FROM Target1_36) TO 'D:\lab\ChatGPTwithSQLscript\github-pipelines\length1_36\Target1_36_result.csv' DELIMITER ',' CSV HEADER;</t>
  </si>
  <si>
    <t xml:space="preserve">It is not a join, stack operation could be there. Test_1 file have same City hall values as target. </t>
  </si>
  <si>
    <t>ERROR:  invalid input syntax for type timestamp: "35:02.1"</t>
  </si>
  <si>
    <t>Source36_1</t>
  </si>
  <si>
    <t>L1_37</t>
  </si>
  <si>
    <t>Target1_37</t>
  </si>
  <si>
    <t>['business_id', 'Score', 'date', 'type', 'ViolationTypeID', 'risk_category', 'description']</t>
  </si>
  <si>
    <t>[[10, 94.0, 20140729, 'Routine - Unscheduled', 103129, 'Moderate Risk', 'Insufficient hot water or running water'], [10, 94.0, 20140729, 'Routine - Unscheduled', 103144, 'Low Risk', 'Unapproved or unmaintained equipment or utensils'], [10, 92.0, 20140114, 'Routine - Unscheduled', 103154, 'Low Risk', 'Unclean or degraded floors walls or ceilings']]</t>
  </si>
  <si>
    <t>Use Join on source tables on business_id and date.</t>
  </si>
  <si>
    <t>Source37_0</t>
  </si>
  <si>
    <t>[[10, nan, 20140807, 'Reinspection/Followup'], [10, 94.0, 20140729, 'Routine - Unscheduled'], [10, nan, 20140124, 'Reinspection/Followup']]</t>
  </si>
  <si>
    <t>['business_id', 'Score', 'date', 'type']</t>
  </si>
  <si>
    <t>DROP TABLE IF EXISTS Source37_0;
CREATE TABLE Source37_0 (
    business_id INTEGER,
    Score FLOAT,
    date INTEGER,
    type VARCHAR
);
DROP TABLE IF EXISTS Source37_1;
CREATE TABLE Source37_1 (
    business_id INTEGER,
    date INTEGER,
    ViolationTypeID INTEGER,
    risk_category VARCHAR,
    description VARCHAR
);
-- Step 2: Insert data into the source tables
COPY Source37_0 (business_id, Score, date, type)
FROM 'D:\lab\ChatGPTwithSQLscript\github-pipelines\length1_37\test_0.csv'
DELIMITER ','
CSV HEADER NULL '';
COPY Source37_1 (business_id, date, ViolationTypeID, risk_category, description)
FROM 'D:\lab\ChatGPTwithSQLscript\github-pipelines\length1_37\test_1.csv'
DELIMITER ','
CSV HEADER NULL '';
-- Step 3: Create the target table
DROP TABLE IF EXISTS Target1_37;
CREATE TABLE Target1_37 (
    business_id INTEGER,
    Score FLOAT,
    date INTEGER,
    type VARCHAR,
    ViolationTypeID INTEGER,
    risk_category VARCHAR,
    description VARCHAR
);
-- Step 4: Insert data into the target table
INSERT INTO Target1_37 (business_id, Score, date, type, ViolationTypeID, risk_category, description)
SELECT s0.business_id, s0.Score, s0.date, s0.type, s1.ViolationTypeID, s1.risk_category, s1.description
FROM Source37_0 s0
JOIN Source37_1 s1 ON s0.business_id = s1.business_id AND s0.date = s1.date;
-- Step 5: Export the result to a CSV file
COPY (SELECT * FROM Target1_37)
TO 'D:\lab\ChatGPTwithSQLscript\github-pipelines\length1_37\Target1_37_result.csv'
DELIMITER ','
CSV HEADER;</t>
  </si>
  <si>
    <t>Validation fails due to validation script, sql is correct after target data description. After updating validation script for numerical_similarity, the similarity score was calculated.</t>
  </si>
  <si>
    <t>False [0.8740395809080326, 0.23031431897555296, 0.21373690337601864, 1.0, 0.11590221187427241, 0.6, 0.9701492537313433]</t>
  </si>
  <si>
    <t>Error: ERROR:  invalid input syntax for type double precision: ""
CONTEXT:  COPY source37_0, line 2, column score: ""</t>
  </si>
  <si>
    <t>Source37_1</t>
  </si>
  <si>
    <t>[[10, 20140114, 103154, 'Low Risk', 'Unclean or degraded floors walls or ceilings'], [10, 20140114, 103119, 'Moderate Risk', 'Inadequate and inaccessible handwashing facilities'], [10, 20140114, 103145, 'Low Risk', 'Improper storage of equipment utensils or linens']]</t>
  </si>
  <si>
    <t>['business_id', 'date', 'ViolationTypeID', 'risk_category', 'description']</t>
  </si>
  <si>
    <t>L1_38</t>
  </si>
  <si>
    <t>['user_id', 'sad', 'stressed']</t>
  </si>
  <si>
    <t>[[2.0, 0.4081632653061225, 0.17346938775510204], [4.0, 0.0078125, 0.015625], [5.0, 0.0, 0.037037037037037035]]</t>
  </si>
  <si>
    <t>In target, the sad and stressed are average for each user id in source. Final table have order as per user_id.</t>
  </si>
  <si>
    <t>Source38_0</t>
  </si>
  <si>
    <t>[[2, '2009-01-09 19:38:00', 0, 0, 0, 0, 1, 1], [2, '2009-01-10 13:36:00', 0, 0, 0, 0, 1, 1], [2, '2009-01-11 12:58:00', 0, 0, 0, 0, 0, 0]]</t>
  </si>
  <si>
    <t>['user_id', 'time', 'sore.throat.cough', 'runnynose.congestion.sneezing', 'fever', 'nausea.vomiting.diarrhea', 'sad.depressed', 'open.stressed']</t>
  </si>
  <si>
    <t>DROP TABLE IF EXISTS Source38_0;
-- Create the source table
CREATE TABLE Source38_0 (
    user_id INTEGER,
    time TIMESTAMP,
    sore_throat_cough INTEGER,
    runnynose_congestion_sneezing INTEGER,
    fever INTEGER,
    nausea_vomiting_diarrhea INTEGER,
    sad_depressed INTEGER,
    open_stressed INTEGER
);
-- Insert sample rows into the source table
-- INSERT INTO Source38_0 (user_id, time, sore_throat_cough, runnynose_congestion_sneezing, fever, nausea_vomiting_diarrhea, sad_depressed, open_stressed)
-- VALUES (2, '2009-01-09 19:38:00', 0, 0, 0, 0, 1, 1),
--        (2, '2009-01-10 13:36:00', 0, 0, 0, 0, 1, 1),
--        (2, '2009-01-11 12:58:00', 0, 0, 0, 0, 0, 0);
copy Source38_0 
FROM 'D:\lab\ChatGPTwithSQLscript\github-pipelines\length1_38\test_0.csv' DELIMITER ',' CSV HEADER ENCODING 'UTF8' ESCAPE '''';
-- Drop the target table if it exists
DROP TABLE IF EXISTS Target1_38;
-- Create the target table
CREATE TABLE Target1_38 (
    user_id INTEGER,
    sad FLOAT,
    stressed FLOAT
);
-- Insert rows from the source table into the target table
INSERT INTO Target1_38 (user_id, sad, stressed)
SELECT user_id, AVG(sad_depressed) AS sad, AVG(open_stressed) AS stressed
FROM Source38_0
GROUP BY user_id;
-- Export the result to a CSV file
COPY (SELECT * FROM Target1_38) TO 'D:\lab\ChatGPTwithSQLscript\github-pipelines\length1_38\Target1_38_result.csv' CSV HEADER;</t>
  </si>
  <si>
    <t>Order By user_id</t>
  </si>
  <si>
    <t>DROP TABLE IF EXISTS Source38_0;
-- Create the source table
CREATE TABLE Source38_0 (
    user_id INTEGER,
    time TIMESTAMP,
    sore_throat_cough INTEGER,
    runnynose_congestion_sneezing INTEGER,
    fever INTEGER,
    nausea_vomiting_diarrhea INTEGER,
    sad_depressed INTEGER,
    open_stressed INTEGER
);
-- Insert sample rows into the source table
-- INSERT INTO Source38_0 (user_id, time, sore_throat_cough, runnynose_congestion_sneezing, fever, nausea_vomiting_diarrhea, sad_depressed, open_stressed)
-- VALUES (2, '2009-01-09 19:38:00', 0, 0, 0, 0, 1, 1),
--        (2, '2009-01-10 13:36:00', 0, 0, 0, 0, 1, 1),
--        (2, '2009-01-11 12:58:00', 0, 0, 0, 0, 0, 0);
copy Source38_0 
FROM 'D:\lab\ChatGPTwithSQLscript\github-pipelines\length1_38\test_0.csv' DELIMITER ',' CSV HEADER ENCODING 'UTF8' ESCAPE '''';
-- Drop the target table if it exists
DROP TABLE IF EXISTS Target1_38;
-- Create the target table
CREATE TABLE Target1_38 (
    user_id INTEGER,
    sad FLOAT,
    stressed FLOAT
);
-- Insert rows from the source table into the target table
INSERT INTO Target1_38 (user_id, sad, stressed)
SELECT user_id, AVG(sad_depressed) AS sad, AVG(open_stressed) AS stressed
FROM Source38_0
GROUP BY user_id
ORDER BY user_id;
-- Export the result to a CSV file
COPY (SELECT * FROM Target1_38) TO 'D:\lab\ChatGPTwithSQLscript\github-pipelines\length1_38\Target1_38_result.csv' CSV HEADER;</t>
  </si>
  <si>
    <t>This query would fail if target discrption does not have order by hint.</t>
  </si>
  <si>
    <t>L1_4</t>
  </si>
  <si>
    <t>['fname', 'count_of_obs']</t>
  </si>
  <si>
    <t>[['01_1D_11', 24], ['01_1D_13', 24], ['01_1D_15', 24]]</t>
  </si>
  <si>
    <t>In target table, the count_of_obs has the total count of fname for each fname. The final result should have order as per fname.</t>
  </si>
  <si>
    <t>Source4_0</t>
  </si>
  <si>
    <t>[[40, 91, 38, 0.0, 119, 1, 0, 0, '26_6B', 11, '26_6B_11'], [46, 100, 29, 1.459, 170, 1, 0, 0, '01_2C', 15, '01_2C_15'], [26, 12, 76, 0.0, 149, 1, 0, 0, '71_1C', 11, '71_1C_11']]</t>
  </si>
  <si>
    <t>['Slice n°', 'X', 'Y', 'Distance', 'Pixel Value', 'ok_col_names', 'ok_col_num', 'ok_row_num', 'cop_name', 'day', 'fname']</t>
  </si>
  <si>
    <t>COPY Source4_0
FROM 'D:\lab\ChatGPTwithSQLscript\github-pipelines\length1_4\test_0.csv' CSV HEADER NULL AS 'nan';</t>
  </si>
  <si>
    <t>Slice nÃ‚Â° name could not be read. Had to make it 'Slice n'</t>
  </si>
  <si>
    <t>DROP TABLE IF EXISTS Source4_0;
-- Create the source table
CREATE TABLE Source4_0 (
    "Slice n" INTEGER,
    "X" INTEGER,
    "Y" INTEGER,
    "Distance" FLOAT,
    "Pixel Value" INTEGER,
    "ok_col_names" INTEGER,
    "ok_col_num" INTEGER,
    "ok_row_num" INTEGER,
    "cop_name" VARCHAR(10),
    "day" INTEGER,
    "fname" VARCHAR(10)
);
copy Source4_0 FROM 'D:\lab\ChatGPTwithSQLscript\github-pipelines\length1_4\test_0.csv' DELIMITER ',' CSV HEADER ENCODING 'UTF8' ESCAPE '''';
-- Insert sample rows into the source table
-- INSERT INTO Source4_0 ("Slice n ", "X", "Y", "Distance", "Pixel Value", "ok_col_names", "ok_col_num", "ok_row_num", "cop_name", "day", "fname")
-- VALUES (40, 91, 38, 0.0, 119, 1, 0, 0, '26_6B', 11, '26_6B_11'),
--        (46, 100, 29, 1.459, 170, 1, 0, 0, '01_2C', 15, '01_2C_15'),
--        (26, 12, 76, 0.0, 149, 1, 0, 0, '71_1C', 11, '71_1C_11');
-- Drop the target table if it exists
DROP TABLE IF EXISTS Target1_4;
-- Create the target table
CREATE TABLE Target1_4 (
    "fname" VARCHAR(10),
    "count_of_obs" INTEGER
);
-- Insert rows from the source table into the target table
INSERT INTO Target1_4 ("fname", "count_of_obs")
SELECT "fname", COUNT("fname")
FROM Source4_0
GROUP BY "fname"
ORDER BY "fname";
-- Export the result to a CSV file
COPY (SELECT * FROM Target1_4) TO 'D:\lab\ChatGPTwithSQLscript\github-pipelines\length1_4\Target1_4_result_new.csv' CSV HEADER;</t>
  </si>
  <si>
    <t>This query would execute if we upload the csv file by making attribute name change manually and add ORDER BY "fname" in SQL query to get exact row-by-row match.</t>
  </si>
  <si>
    <t>L1_40</t>
  </si>
  <si>
    <t>['CUSTOMERNAME', 'ORDERNUMBER', 'QUANTITYORDERED']</t>
  </si>
  <si>
    <t>[['Alpha Cognac', 10136, 102], ['Alpha Cognac', 10178, 155], ['Amica Models &amp; Co.', 10280, 432]]</t>
  </si>
  <si>
    <t xml:space="preserve">In target table, quantityordered is the sum of qualtityordered in source for each order number. </t>
  </si>
  <si>
    <t>Source40_0</t>
  </si>
  <si>
    <t>DROP TABLE IF EXISTS Source40_0;
-- Create the source table
CREATE TABLE Source40_0 (
    ORDERNUMBER INTEGER,
    QUANTITYORDERED NUMERIC,
    PRICEEACH NUMERIC,
    ORDERLINENUMBER NUMERIC,
    SALES NUMERIC,
    ORDERDATE TIMESTAMP,
    STATUS VARCHAR(255),
    QTR_ID NUMERIC,
    MONTH_ID NUMERIC,
    YEAR_ID NUMERIC,
    PRODUCTLINE VARCHAR(255),
    MSRP NUMERIC,
    PRODUCTCODE VARCHAR(255),
    CUSTOMERNAME VARCHAR(255),
    PHONE VARCHAR(255),
    ADDRESSLINE1 VARCHAR(255),
    ADDRESSLINE2 VARCHAR(255),
    CITY VARCHAR(255),
    STATE VARCHAR(255),
    POSTALCODE INTEGER,
    COUNTRY VARCHAR(255),
    TERRITORY VARCHAR(255),
    CONTACTLASTNAME VARCHAR(255),
    CONTACTFIRSTNAME VARCHAR(255),
    DEALSIZE VARCHAR(255)
);
-- entire file
COPY Source40_0
FROM 'D:\lab\ChatGPTwithSQLscript\github-pipelines\length1_40\test_0.csv' CSV HEADER NULL AS 'nan'; 
-- Insert sample rows into the source table
-- INSERT INTO Source40_0 (ORDERNUMBER, QUANTITYORDERED, PRICEEACH, ORDERLINENUMBER, SALES, ORDERDATE, STATUS, QTR_ID, MONTH_ID, YEAR_ID, PRODUCTLINE, MSRP, PRODUCTCODE, CUSTOMERNAME, PHONE, ADDRESSLINE1, ADDRESSLINE2, CITY, STATE, POSTALCODE, COUNTRY, TERRITORY, CONTACTLASTNAME, CONTACTFIRSTNAME, DEALSIZE)
-- VALUES (10107, 30.0, 95.7, 2.0, 2871.0, '2003-02-24 00:00:00', 'Shipped', 1.0, 2.0, 2003.0, 'Motorcycles', 95.0, 'S10_1678', 'Land of Toys Inc.', '2125557818', '897 Long Airport Avenue', NULL, 'NYC', 'NY', 10022, 'USA', NULL, 'Yu', 'Kwai', 'Small'),
--        (10121, 34.0, 81.35, 5.0, 2765.9, '2003-05-07 00:00:00', 'Shipped', 2.0, 5.0, 2003.0, 'Motorcycles', 95.0, 'S10_1678', 'Reims Collectables', '26.47.1555', '59 rue de l''Abbaye', NULL, 'Reims', NULL, 51100, 'France', 'EMEA', 'Henriot', 'Paul', 'Small'),
--        (10134, 41.0, 94.74, 2.0, 3884.34, '2003-07-01 00:00:00', 'Shipped', 3.0, 7.0, 2003.0, 'Motorcycles', 95.0, 'S10_1678', 'Lyon Souveniers', '+33 1 46 62 7555', '27 rue du Colonel Pierre Avia', NULL, 'Paris', NULL, 75508, 'France', 'EMEA', 'Da Cunha', 'Daniel', 'Medium');
-- Drop the target table if it exists
DROP TABLE IF EXISTS Target1_40;
-- Create the target table
CREATE TABLE Target1_40 (
    CUSTOMERNAME VARCHAR(255),
    ORDERNUMBER INTEGER,
    QUANTITYORDERED NUMERIC
);
-- Insert rows from the source table into the target table
INSERT INTO Target1_40 (CUSTOMERNAME, ORDERNUMBER, QUANTITYORDERED)
SELECT CUSTOMERNAME, ORDERNUMBER, SUM(QUANTITYORDERED)
FROM Source40_0
GROUP BY CUSTOMERNAME, ORDERNUMBER;
-- Export the result to a CSV file
COPY (SELECT * FROM Target1_40) TO 'D:\lab\ChatGPTwithSQLscript\github-pipelines\length1_40\Target1_40_result.csv' DELIMITER ',' CSV HEADER;</t>
  </si>
  <si>
    <t>ERROR:  invalid input syntax for type integer: ""
CONTEXT:  COPY source40_0, line 6, column postalcode: ""
SQL state: 22P02</t>
  </si>
  <si>
    <t>This failure is due to the csv file read have issue with , in the data, e.g.line 6 in test_0.csv</t>
  </si>
  <si>
    <t xml:space="preserve">ERROR: Error: ERROR:  invalid input syntax for type integer: "10180,29,86.13,9,2497.77,11/11/2003 0:00,Shipped,4,11,2003,Motorcycles,95,S10_1678,Daedalus Designs Imports,20.16.1555,"184, chausse de Tournai",,Lille,,59000,France,EMEA,Rance,Martine,Small"
CONTEXT:  COPY source40_0, line 8, column ordernumber: "10180,29,86.13,9,2497.77,11/11/2003 0:00,Shipped,4,11,2003,Motorcycles,95,S10_1678,Daedalus Designs ..."      </t>
  </si>
  <si>
    <t>data pre processing error</t>
  </si>
  <si>
    <t>L1_41</t>
  </si>
  <si>
    <t>['zipcode', 'AGI_STUB', 'N1', 'A00100']</t>
  </si>
  <si>
    <t>[[0, 546, 75619290, 4857739566], [1001, 21, 8780, 458716], [1002, 21, 9460, 732849]]</t>
  </si>
  <si>
    <t xml:space="preserve">In target, the AGI_STUB , N1, A00100 are the sum for each zipcode in source table. </t>
  </si>
  <si>
    <t>Source41_0</t>
  </si>
  <si>
    <t>[[1, 'AL', 0, 1, 889920, 490850, 129070, 256900, 526740, 1505430, 598680, 11517112, 712630, 9014595, 116620, 101108, 49750, 92178, 43200, 59907, 150240, 873349, 9120, 35010, -3916, 38910, 221795, 112470, 1072785, 65230, 265804, 34100, 59389, 260, 843, 62190, 968541, 62120, 850798, 24840, 23577, 29040, 23668, 33360, 27495, 60070, 90908, 31110, 181519, 46490, 121095, 356200, 1962972, 112340, 38443, 39440, 12168, 9920, 3393, 1680, 408, 406300, 1178852, 379060, 1071400, 266230, 335781, 0, 0, 269140, 168057, 387720, 314297, 59310, 40782, 785950, 2040191], [1, 'AL', 0, 2, 491150, 194370, 159200, 123350, 293480, 1034650, 387700, 17617800, 428710, 14482697, 107970, 101203, 43720, 101793, 37910, 68476, 61720, 277466, 9210, 30710, 21881, 34870, 314019, 102070, 1750044, 30620, 109617, 85660, 521123, 360, 1962, 129250, 4897366, 129230, 1914481, 92510, 151956, 27820, 34819, 87590, 67397, 124940, 286169, 83250, 486909, 103450, 358997, 471490, 8655664, 213860, 195459, 128810, 116182, 29670, 17003, 8030, 3038, 128140, 235609, 107760, 202016, 102930, 153772, 0, 0, 370140, 854669, 389320, 937609, 62450, 85568, 421290, 1185415], [1, 'AL', 0, 3, 254280, 68160, 148960, 31480, 157230, 591880, 188670, 15644666, 221520, 12162751, 94810, 102766, 41880, 121653, 36720, 83798, 39520, 254111, 8150, 30190, 47365, 27460, 337870, 72270, 1692583, 15190, 59496, 57280, 807546, 340, 2559, 112570, 6984334, 112550, 1914831, 91960, 229994, 17400, 25542, 92990, 82247, 112220, 368093, 87520, 581501, 96530, 404644, 253210, 9996182, 112520, 169569, 78390, 119471, 19160, 10007, 7240, 2715, 120, 3, 90, 2, 10020, 12913, 100, 73, 242260, 1214154, 245280, 1286668, 55290, 113674, 193020, 550512]]</t>
  </si>
  <si>
    <t>['STATEFIPS', 'STATE', 'zipcode', 'AGI_STUB', 'N1', 'MARS1', 'MARS2', 'MARS4', 'PREP', 'N2', 'NUMDEP', 'A00100', 'N00200', 'A00200', 'N00300', 'A00300', 'N00600', 'A00600', 'N00650', 'A00650', 'N00900', 'A00900', 'SCHF', 'N01000', 'A01000', 'N01400', 'A01400', 'N01700', 'A01700', 'N02300', 'A02300', 'N02500', 'A02500', 'N03300', 'A03300', 'N00101', 'A00101', 'N04470', 'A04470', 'N18425', 'A18425', 'N18450', 'A18450', 'N18500', 'A18500', 'N18300', 'A18300', 'N19300', 'A19300', 'N19700', 'A19700', 'N04800', 'A04800', 'N07100', 'A07100', 'N07220', 'A07220', 'N07180', 'A07180', 'N07260', 'A07260', 'N59660', 'A59660', 'N59720', 'A59720', 'N11070', 'A11070', 'N09600', 'A09600', 'N06500', 'A06500', 'N10300', 'A10300', 'N11901', 'A11901', 'N11902', 'A11902']</t>
  </si>
  <si>
    <t>DROP TABLE IF EXISTS Source41_0;
CREATE TABLE Source41_0 (
    STATEFIPS INT,
    STATE VARCHAR(2),
    zipcode INT,
    AGI_STUB INT,
    N1 INT,
    MARS1 INT,
    MARS2 INT,
    MARS4 INT,
    PREP INT,
    N2 INT,
    NUMDEP INT,
    A00100 INT,
    N00200 INT,
    A00200 INT,
    N00300 INT,
    A00300 INT,
    N00600 INT,
    A00600 INT,
    N00650 INT,
    A00650 INT,
    N00900 INT,
    A00900 INT,
    SCHF INT,
    N01000 INT,
    A01000 INT,
    N01400 INT,
    A01400 INT,
    N01700 INT,
    A01700 INT,
    N02300 INT,
    A02300 INT,
    N02500 INT,
    A02500 INT,
    N03300 INT,
    A03300 INT,
    N00101 INT,
    A00101 INT,
    N04470 INT,
    A04470 INT,
    N18425 INT,
    A18425 INT,
    N18450 INT,
    A18450 INT,
    N18500 INT,
    A18500 INT,
    N18300 INT,
    A18300 INT,
    N19300 INT,
    A19300 INT,
    N19700 INT,
    A19700 INT,
    N04800 INT,
    A04800 INT,
    N07100 INT,
    A07100 INT,
    N07220 INT,
    A07220 INT,
    N07180 INT,
    A07180 INT,
    N07260 INT,
    A07260 INT,
    N59660 INT,
    A59660 INT,
    N59720 INT,
    A59720 INT,
    N11070 INT,
    A11070 INT,
    N09600 INT,
    A09600 INT,
    N06500 INT,
    A06500 INT,
    N10300 INT,
    A10300 INT,
    N11901 INT,
    A11901 INT,
    N11902 INT,
    A11902 INT
);
--entire file
copy Source41_0
from 'D:\lab\ChatGPTwithSQLscript\github-pipelines\length1_41\test_0.csv'  CSV HEADER NULL AS 'nan'; 
-- Step 3: Create the target table
DROP TABLE IF EXISTS Target1_41;
CREATE TABLE Target1_41 (
    zipcode INT,
    AGI_STUB INT,
    N1 INT,
    A00100 INT
);
-- Step 4: Insert rows from source table into target table
INSERT INTO Target1_41 (zipcode, AGI_STUB, N1, A00100)
SELECT zipcode, AGI_STUB, SUM(N1), SUM(A00100)
FROM Source41_0
GROUP BY zipcode, AGI_STUB;
-- Step 5: Export the result to a CSV file
COPY (SELECT * FROM Target1_41) TO 'D:\lab\ChatGPTwithSQLscript\github-pipelines\length1_41\Target1_41_result.csv' DELIMITER ',' CSV HEADER;</t>
  </si>
  <si>
    <t>SQL Query executes but total number of rows are different. Target has 13862 rows but gpt produced 83156</t>
  </si>
  <si>
    <t>The conversion seems sum of source values but , target results are not matching the results.</t>
  </si>
  <si>
    <t>Need to figure out the duplicate values as number of rows are way too much different.</t>
  </si>
  <si>
    <t>L1_42</t>
  </si>
  <si>
    <t>Target1_42</t>
  </si>
  <si>
    <t>['user_id', 'item_id', 'rating', 'timestamp', 'movie title']</t>
  </si>
  <si>
    <t>[[196, 242, 3, 881250949, 'Kolya (1996)'], [63, 242, 3, 875747190, 'Kolya (1996)'], [226, 242, 5, 883888671, 'Kolya (1996)']]</t>
  </si>
  <si>
    <t>Source42_0</t>
  </si>
  <si>
    <t>[[196, 242, 3, 881250949], [186, 302, 3, 891717742], [22, 377, 1, 878887116]]</t>
  </si>
  <si>
    <t>['user_id', 'item_id', 'rating', 'timestamp']</t>
  </si>
  <si>
    <t>The csv file had extra column with space that was making extra , and making extra column</t>
  </si>
  <si>
    <t>DROP TABLE IF EXISTS Source42_0;
CREATE TABLE Source42_0 (
    user_id INTEGER,
    item_id INTEGER,
    rating INTEGER,
    timestamp INTEGER
);
-- Insert rows into Source42_0
INSERT INTO Source42_0 (user_id, item_id, rating, timestamp)
VALUES (196, 242, 3, 881250949),
       (186, 302, 3, 891717742),
       (22, 377, 1, 878887116);
-- Create the second source table Source42_1
DROP TABLE IF EXISTS Source42_1;
CREATE TABLE Source42_1 (
    item_id INTEGER,
    movie_title VARCHAR(255),
    release_date VARCHAR(20),
    video_release_date VARCHAR(20),
    imdb_url VARCHAR(255),
    unknown INTEGER,
    action INTEGER,
    adventure INTEGER,
    animation INTEGER,
    childrens INTEGER,
    comedy INTEGER,
    crime INTEGER,
    documentary INTEGER,
    drama INTEGER,
    fantasy INTEGER,
    film_noir INTEGER,
    horror INTEGER,
    musical INTEGER,
    mystery INTEGER,
    romance INTEGER,
    sci_fi INTEGER,
    thriller INTEGER,
    war INTEGER,
    western INTEGER
);
-- Insert rows into Source42_1
INSERT INTO Source42_1 (item_id, movie_title, release_date, video_release_date, imdb_url, unknown, action, adventure, animation, childrens, comedy, crime, documentary, drama, fantasy, film_noir, horror, musical, mystery, romance, sci_fi, thriller, war, western)
VALUES (1, 'Toy Story (1995)', '01-Jan-1995', NULL, 'http://us.imdb.com/M/title-exact?Toy%20Story%20(1995)', 0, 0, 0, 1, 1, 1, 0, 0, 0, 0, 0, 0, 0, 0, 0, 0, 0, 0),
       (2, 'GoldenEye (1995)', '01-Jan-1995', NULL, 'http://us.imdb.com/M/title-exact?GoldenEye%20(1995)', 0, 1, 1, 0, 0, 0, 0, 0, 0, 0, 0, 0, 0, 0, 0, 0, 1, 0, 0),
       (3, 'Four Rooms (1995)', '01-Jan-1995', NULL, 'http://us.imdb.com/M/title-exact?Four%20Rooms%20(1995)', 0, 0, 0, 0, 0, 0, 0, 0, 0, 0, 0, 0, 0, 0, 0, 0, 1, 0, 0);
-- Create the target table Target1_42
DROP TABLE IF EXISTS Target1_42;
CREATE TABLE Target1_42 (
    user_id INTEGER,
    item_id INTEGER,
    rating INTEGER,
    timestamp INTEGER,
    movie_title VARCHAR(255)
);
-- Insert rows into Target1_42 by joining Source42_0 and Source42_1
INSERT INTO Target1_42 (user_id, item_id, rating, timestamp, movie_title)
SELECT s0.user_id, s0.item_id, s0.rating, s0.timestamp, s1.movie_title
FROM Source42_0 s0
JOIN Source42_1 s1 ON s0.item_id = s1.item_id;
-- Export the result to a CSV file
COPY (SELECT * FROM Target1_42) TO 'D:\lab\ChatGPTwithSQLscript\github-pipelines\length1_42\Target1_42_result.csv' DELIMITER ',' CSV HEADER;</t>
  </si>
  <si>
    <t>ERROR:  INSERT has more target columns than expressions
LINE 45: ..., musical, mystery, romance, sci_fi, thriller, war, western)
                                                                ^
SQL state: 42601</t>
  </si>
  <si>
    <t>ERROR:  extra data after last expected column
CONTEXT:  COPY source42_0, line 2: "0,196,242,3,881250949"
SQL state: 22P04</t>
  </si>
  <si>
    <t>Source42_1</t>
  </si>
  <si>
    <t>[[1,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t>
  </si>
  <si>
    <t>['item_id', 'movie title', 'release date', 'video release date', 'IMDb URL', 'unknown', 'Action', 'Adventure', 'Animation', 'Childrens', 'Comedy', 'Crime', 'Documentary', 'Drama', 'Fantasy', 'Film-Noir', 'Horror', 'Musical', 'Mystery', 'Romance', 'Sci-Fi', 'Thriller', 'War', 'Western']</t>
  </si>
  <si>
    <t>L1_43</t>
  </si>
  <si>
    <t>['fac_type', 'facid', 'capacity', 'fac_name', 'fac_address', 'city_state_zip', 'owner', 'operator']</t>
  </si>
  <si>
    <t>[['NF', 137, 137, 137, 137, 137, 137, 137], ['RCF', 184, 183, 184, 184, 184, 184, 184]]</t>
  </si>
  <si>
    <t>In target table, for each fac_type, the rest attributes are count of the attribtues in source table.</t>
  </si>
  <si>
    <t>Source43_0</t>
  </si>
  <si>
    <t>[[385008, 'NF', 96.0, 'Presbyterian Community Care Center', '1085 N Oregon St', 'Ontario, OR 97914', 'Presbyterian Nursing Home, Inc.', 'Presbyterian Nursing Home, Inc.'], [385010, 'NF', 159.0, 'Laurelhurst Village Rehabilitation Center', '3060 SE Stark St', 'Portland, OR 97214', 'Laurelhurst Operations, LLC', 'Laurelhurst Operations, LLC'], [385015, 'NF', 128.0, 'Regency Gresham Nursing &amp; Rehabilitation Center', '5905 SE Powell Valley Rd', 'Gresham, OR 97080', 'Regency Gresham Nursing &amp; Rehabilitation Center, LLC', 'Regency Pacific Management, LLC']]</t>
  </si>
  <si>
    <t>['facid', 'fac_type', 'capacity', 'fac_name', 'fac_address', 'city_state_zip', 'owner', 'operator']</t>
  </si>
  <si>
    <t>DROP TABLE IF EXISTS Source43_0;
-- Create the source table
CREATE TABLE Source43_0 (
    facid INTEGER,
    fac_type VARCHAR(2),
    capacity NUMERIC(5,1),
    fac_name VARCHAR(100),
    fac_address VARCHAR(100),
    city_state_zip VARCHAR(100),
    owner VARCHAR(100),
    operator VARCHAR(100)
);
-- Insert sample rows into the source table
INSERT INTO Source43_0 (facid, fac_type, capacity, fac_name, fac_address, city_state_zip, owner, operator)
VALUES (385008, 'NF', 96.0, 'Presbyterian Community Care Center', '1085 N Oregon St', 'Ontario, OR 97914', 'Presbyterian Nursing Home, Inc.', 'Presbyterian Nursing Home, Inc.'),
       (385010, 'NF', 159.0, 'Laurelhurst Village Rehabilitation Center', '3060 SE Stark St', 'Portland, OR 97214', 'Laurelhurst Operations, LLC', 'Laurelhurst Operations, LLC'),
       (385015, 'NF', 128.0, 'Regency Gresham Nursing &amp; Rehabilitation Center', '5905 SE Powell Valley Rd', 'Gresham, OR 97080', 'Regency Gresham Nursing &amp; Rehabilitation Center, LLC', 'Regency Pacific Management, LLC');
-- Drop the target table if it exists
DROP TABLE IF EXISTS Target1_43;
-- Create the target table
CREATE TABLE Target1_43 (
    fac_type VARCHAR(2),
    facid INTEGER,
    capacity_count INTEGER,
    fac_name_count INTEGER,
    fac_address_count INTEGER,
    city_state_zip_count INTEGER,
    owner_count INTEGER,
    operator_count INTEGER
);
-- Insert rows from the source table into the target table
INSERT INTO Target1_43 (fac_type, facid, capacity_count, fac_name_count, fac_address_count, city_state_zip_count, owner_count, operator_count)
SELECT fac_type, facid, COUNT(capacity) AS capacity_count, COUNT(fac_name) AS fac_name_count, COUNT(fac_address) AS fac_address_count, COUNT(city_state_zip) AS city_state_zip_count, COUNT(owner) AS owner_count, COUNT(operator) AS operator_count
FROM Source43_0
GROUP BY fac_type, facid;
-- Export the result to a CSV file
COPY (SELECT * FROM Target1_43) TO 'D:\lab\ChatGPTwithSQLscript\github-pipelines\length1_43\Target1_43_result.csv' DELIMITER ',' CSV HEADER;</t>
  </si>
  <si>
    <t xml:space="preserve">It should be a count, can not be a sum </t>
  </si>
  <si>
    <t>ERROR: Error: ERROR:  invalid input syntax for type integer: "38A001"
CONTEXT:  COPY source43_0, line 120, column facid: "38A001"</t>
  </si>
  <si>
    <t>L1_46</t>
  </si>
  <si>
    <t>['Date', 'Water Use', 'Power Use']</t>
  </si>
  <si>
    <t>[['Apr_2006', 4351.0999999999985, 25274], ['Apr_2007', 6148.879999999999, 34389], ['Apr_2008', 4618.79, 31594]]</t>
  </si>
  <si>
    <t xml:space="preserve">In target, for each date the water use and power use is sum from source table. </t>
  </si>
  <si>
    <t>Source46_0</t>
  </si>
  <si>
    <t>[['Mar_2008', 'Mar-08', '90230\n(33.99506171100046, -118.39500957899969)', 16.7, 396], ['Jul_2011', 'Jul-11', '90272\n(34.04886156900045, -118.53572692799969)', 35.73, 1013], ['Apr_2010', 'Apr-10', '90272\n(34.04886156900045, -118.53572692799969)', 23.53, 916]]</t>
  </si>
  <si>
    <t>['Text Date', 'Value Date', 'Zip Code', 'Water Use', 'Power Use']</t>
  </si>
  <si>
    <t>DROP TABLE IF EXISTS Source46_0;
-- Create the source table
CREATE TABLE Source46_0 (
    "Text Date" VARCHAR,
    "Value Date" VARCHAR,
    "Zip Code" VARCHAR,
    "Water Use" NUMERIC,
    "Power Use" NUMERIC
);
-- Insert sample rows into the source table
INSERT INTO Source46_0 ("Text Date", "Value Date", "Zip Code", "Water Use", "Power Use")
VALUES ('Mar_2008', 'Mar-08', '90230\n(33.99506171100046, -118.39500957899969)', 16.7, 396),
       ('Jul_2011', 'Jul-11', '90272\n(34.04886156900045, -118.53572692799969)', 35.73, 1013),
       ('Apr_2010', 'Apr-10', '90272\n(34.04886156900045, -118.53572692799969)', 23.53, 916);
-- Drop the target table if it exists
DROP TABLE IF EXISTS Target1_46;
-- Create the target table
CREATE TABLE Target1_46 (
    "Date" VARCHAR,
    "Water Use" NUMERIC,
    "Power Use" NUMERIC
);
-- Insert rows from the source table into the target table
INSERT INTO Target1_46 ("Date", "Water Use", "Power Use")
SELECT "Text Date", SUM("Water Use"), SUM("Power Use")
FROM Source46_0
GROUP BY "Text Date";
-- Export the result to a CSV file
COPY (SELECT * FROM Target1_46) TO 'D:\lab\ChatGPTwithSQLscript\github-pipelines\length1_46\Target1_46_result.csv' DELIMITER ',' CSV HEADER;</t>
  </si>
  <si>
    <t>wrong sql generation, as description was not used</t>
  </si>
  <si>
    <t>L1_5</t>
  </si>
  <si>
    <t>Target1_5</t>
  </si>
  <si>
    <t>['ProvinciaID', 'ProvinciaNombre', 'RegionID', 'ComunaID', 'ComunaNombre']</t>
  </si>
  <si>
    <t>[[1, "'Arica'", 1, 1, "'Arica'"], [1, "'Arica'", 1, 2, "'Camarones'"], [2, "'Parinacota'", 1, 3, "'General Lagos'"]]</t>
  </si>
  <si>
    <t>Source5_0</t>
  </si>
  <si>
    <t>[[1, "'Arica'", 1], [2, "'Camarones'", 1], [3, "'General Lagos'", 2]]</t>
  </si>
  <si>
    <t>['ComunaID', 'ComunaNombre', 'ProvinciaID']</t>
  </si>
  <si>
    <t>[1.0, 1.0, 1.0, 1.0, 1.0]</t>
  </si>
  <si>
    <t>Source5_1</t>
  </si>
  <si>
    <t>[[1, "'Arica'", 1], [2, "'Parinacota'", 1], [3, "'Iquique'", 2]]</t>
  </si>
  <si>
    <t>['ProvinciaID', 'ProvinciaNombre', 'RegionID']</t>
  </si>
  <si>
    <t>L1_52</t>
  </si>
  <si>
    <t>['condition', '0']</t>
  </si>
  <si>
    <t>In target, '0' is total count of click from source table.</t>
  </si>
  <si>
    <t>Source52_0</t>
  </si>
  <si>
    <t>DROP TABLE IF EXISTS Source52_0;
CREATE TABLE Source52_0 (
    condition INT,
    click INT
);
-- Insert sample rows into source table
INSERT INTO Source52_0 (condition, click)
VALUES (1, 0), (0, 0), (0, 0);
-- Create target table
DROP TABLE IF EXISTS Target1_52;
CREATE TABLE Target1_52 (
    condition INT,
    "0" INT
);
-- Insert rows from source table into target table
INSERT INTO Target1_52 (condition, "0")
SELECT condition, COUNT(click) AS "0"
FROM Source52_0
GROUP BY condition;
-- Export result to CSV file
COPY (SELECT * FROM Target1_52) TO 'D:\lab\ChatGPTwithSQLscript\github-pipelines\length1_52\Target1_52_result.csv' DELIMITER ',' CSV HEADER;</t>
  </si>
  <si>
    <t>1.0, 0.0</t>
  </si>
  <si>
    <t>correct sql generation but failing due to mismatch in number of rows to compare in target.</t>
  </si>
  <si>
    <t>need to check why these are failing and some are success</t>
  </si>
  <si>
    <t>L1_53</t>
  </si>
  <si>
    <t>['continent', 'beer_servings', 'spirit_servings', 'wine_servings', 'total_litres_of_pure_alcohol']</t>
  </si>
  <si>
    <t>[['AF', 67.11538461538461, 15.576923076923075, 18.69230769230769, 2.7884615384615383], ['AS', 31.9, 56.5, 10.75, 2.0], ['EU', 195.70833333333331, 141.79166666666666, 145.95833333333334, 8.962500000000002]]</t>
  </si>
  <si>
    <t xml:space="preserve">In target, for each continent, the average is calculated from source attributes. </t>
  </si>
  <si>
    <t>Source53_0</t>
  </si>
  <si>
    <t>[['Afghanistan', 0, 0, 0, 0.0, 'AS'], ['Albania', 89, 132, 54, 4.9, 'EU'], ['Algeria', 25, 0, 14, 0.7, 'AF']]</t>
  </si>
  <si>
    <t>['country', 'beer_servings', 'spirit_servings', 'wine_servings', 'total_litres_of_pure_alcohol', 'continent']</t>
  </si>
  <si>
    <t>DROP TABLE IF EXISTS Source53_0;
-- Create the source table
CREATE TABLE Source53_0 (
    country VARCHAR,
    beer_servings INTEGER,
    spirit_servings INTEGER,
    wine_servings INTEGER,
    total_litres_of_pure_alcohol FLOAT,
    continent VARCHAR
);
-- Insert data from the CSV file into the source table
COPY Source53_0 FROM 'D:\lab\ChatGPTwithSQLscript\github-pipelines\length1_53\test_0.csv' WITH (FORMAT CSV, HEADER, NULL '');
-- Drop the target table if it exists
DROP TABLE IF EXISTS Target1_53;
-- Create the target table
CREATE TABLE Target1_53 (
    continent VARCHAR,
    beer_servings INTEGER,
    spirit_servings INTEGER,
    wine_servings INTEGER,
    total_litres_of_pure_alcohol FLOAT
);
-- Insert data from the source table into the target table
INSERT INTO Target1_53 (continent, beer_servings, spirit_servings, wine_servings, total_litres_of_pure_alcohol)
SELECT continent, AVG(beer_servings), AVG(spirit_servings), AVG(wine_servings), AVG(total_litres_of_pure_alcohol)
FROM Source53_0
GROUP BY continent;
-- Copy the result of the SQL query into a CSV file
COPY (SELECT * FROM Target1_53) TO 'D:\lab\ChatGPTwithSQLscript\github-pipelines\length1_53\Target1_53_result.csv' WITH (FORMAT CSV, HEADER);</t>
  </si>
  <si>
    <t>two rows are missing from sql results</t>
  </si>
  <si>
    <t>wrong sql as no description</t>
  </si>
  <si>
    <t>why in this case target samples did not help</t>
  </si>
  <si>
    <t>L1_57</t>
  </si>
  <si>
    <t>['movieId', 'rating']</t>
  </si>
  <si>
    <t>[[1.0, 3.8192307692307694], [2.0, 3.411290322580645], [3.0, 3.4615384615384617]]</t>
  </si>
  <si>
    <t>In target, rating is average from source table for each movieid</t>
  </si>
  <si>
    <t>Source57_0</t>
  </si>
  <si>
    <t>[[1.0, 31.0, 2.5, 1260759144.0], [1.0, 1029.0, 3.0, 1260759179.0], [1.0, 1061.0, 3.0, 1260759182.0]]</t>
  </si>
  <si>
    <t>['userId', 'movieId', 'rating', 'timestamp']</t>
  </si>
  <si>
    <t>L1_59</t>
  </si>
  <si>
    <t>['PRODUCTLINE', 'SALES']</t>
  </si>
  <si>
    <t>[['Classic Cars', 1489382.800000001], ['Motorcycles', 364712.20000000007], ['Planes', 116886.11]]</t>
  </si>
  <si>
    <t>In target, the sales is sum of sales for each productline type from source table.</t>
  </si>
  <si>
    <t>Source59_0</t>
  </si>
  <si>
    <t>DROP TABLE IF EXISTS Source59_0;
-- Create the source table
CREATE TABLE Source59_0 (
    ORDERNUMBER INTEGER,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INTEGER,
    COUNTRY VARCHAR(255),
    TERRITORY VARCHAR(255),
    CONTACTLASTNAME VARCHAR(255),
    CONTACTFIRSTNAME VARCHAR(255),
    DEALSIZE VARCHAR(255)
);
-- Insert data from CSV into the source table
COPY Source59_0 FROM 'D:\lab\ChatGPTwithSQLscript\github-pipelines\length1_59\test_0.csv' DELIMITER ',' CSV HEADER NULL '';
-- Drop the target table if it exists
DROP TABLE IF EXISTS Target1_59;
-- Create the target table
CREATE TABLE Target1_59 (
    PRODUCTLINE VARCHAR(255),
    SALES FLOAT
);
-- Insert data into the target table
INSERT INTO Target1_59 (PRODUCTLINE, SALES)
SELECT PRODUCTLINE, SUM(SALES)
FROM Source59_0
GROUP BY PRODUCTLINE;
-- Copy the result into a CSV file
COPY (SELECT * FROM Target1_59) TO 'D:\lab\ChatGPTwithSQLscript\github-pipelines\length1_59\Target1_59_result.csv' DELIMITER ',' CSV HEADER;</t>
  </si>
  <si>
    <t>SQL Result: Error: ERROR:  invalid input syntax for type integer: "10180,29,86.13,9,2497.77,11/11/2003 0:00,Shipped,4,11,2003,Motorcycles,95,S10_1678,Daedalus Designs Imports,20.16.1555,"184, chausse de Tournai",,Lille,,59000,France,EMEA,Rance,Martine,Small"
CONTEXT:  COPY source59_0, line 8, column ordernumber: "10180,29,86.13,9,2497.77,11/11/2003 0:00,Shipped,4,11,2003,Motorcycles,95,S10_1678,Daedalus Designs ..."</t>
  </si>
  <si>
    <t>DROP TABLE IF EXISTS Source59_0;
CREATE TABLE Source59_0 (
    ORDERNUMBER INT,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
    COUNTRY VARCHAR(255),
    TERRITORY VARCHAR(255),
    CONTACTLASTNAME VARCHAR(255),
    CONTACTFIRSTNAME VARCHAR(255),
    DEALSIZE VARCHAR(255)
);
-- Create the second source table Source_0
DROP TABLE IF EXISTS Source_0;
CREATE TABLE Source_0 (
    ORDERNUMBER INT,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
    COUNTRY VARCHAR(255),
    TERRITORY VARCHAR(255),
    CONTACTLASTNAME VARCHAR(255),
    CONTACTFIRSTNAME VARCHAR(255),
    DEALSIZE VARCHAR(255)
);
-- Insert rows into the first source table Source59_0
INSERT INTO Source59_0 (ORDERNUMBER, QUANTITYORDERED, PRICEEACH, ORDERLINENUMBER, SALES, ORDERDATE, STATUS, QTR_ID, MONTH_ID, YEAR_ID, PRODUCTLINE, MSRP, PRODUCTCODE, CUSTOMERNAME, PHONE, ADDRESSLINE1, ADDRESSLINE2, CITY, STATE, POSTALCODE, COUNTRY, TERRITORY, CONTACTLASTNAME, CONTACTFIRSTNAME, DEALSIZE)
VALUES (10107, 30.0, 95.7, 2.0, 2871.0, '2003-02-24 00:00:00', 'Shipped', 1.0, 2.0, 2003.0, 'Motorcycles', 95.0, 'S10_1678', 'Land of Toys Inc.', '2125557818', '897 Long Airport Avenue', NULL, 'NYC', 'NY', 10022, 'USA', NULL, 'Yu', 'Kwai', 'Small'),
       (10121, 34.0, 81.35, 5.0, 2765.9, '2003-05-07 00:00:00', 'Shipped', 2.0, 5.0, 2003.0, 'Motorcycles', 95.0, 'S10_1678', 'Reims Collectables', '26.47.1555', '59 rue de l''Abbaye', NULL, 'Reims', NULL, 51100, 'France', 'EMEA', 'Henriot', 'Paul', 'Small'),
       (10134, 41.0, 94.74, 2.0, 3884.34, '2003-07-01 00:00:00', 'Shipped', 3.0, 7.0, 2003.0, 'Motorcycles', 95.0, 'S10_1678', 'Lyon Souveniers', '+33 1 46 62 7555', '27 rue du Colonel Pierre Avia', NULL, 'Paris', NULL, 75508, 'France', 'EMEA', 'Da Cunha', 'Daniel', 'Medium');
-- Insert rows into the second source table Source_0
INSERT INTO Source_0 (ORDERNUMBER, QUANTITYORDERED, PRICEEACH, ORDERLINENUMBER, SALES, ORDERDATE, STATUS, QTR_ID, MONTH_ID, YEAR_ID, PRODUCTLINE, MSRP, PRODUCTCODE, CUSTOMERNAME, PHONE, ADDRESSLINE1, ADDRESSLINE2, CITY, STATE, POSTALCODE, COUNTRY, TERRITORY, CONTACTLASTNAME, CONTACTFIRSTNAME, DEALSIZE)
VALUES (10107, 30.0, 95.7, 2.0, 2871.0, '2003-02-24 00:00:00', 'Shipped', 1.0, 2.0, 2003.0, 'Motorcycles', 95.0, 'S10_1678', 'Land of Toys Inc.', '2125557818', '897 Long Airport Avenue', NULL, 'NYC', 'NY', 10022, 'USA', NULL, 'Yu', 'Kwai', 'Small'),
       (10121, 34.0, 81.35, 5.0, 2765.9, '2003-05-07 00:00:00', 'Shipped', 2.0, 5.0, 2003.0, 'Motorcycles', 95.0, 'S10_1678', 'Reims Collectables', '26.47.1555', '59 rue de l''Abbaye', NULL, 'Reims', NULL, 51100, 'France', 'EMEA', 'Henriot', 'Paul', 'Small'),
       (10134, 41.0, 94.74, 2.0, 3884.34, '2003-07-01 00:00:00', 'Shipped', 3.0, 7.0, 2003.0, 'Motorcycles', 95.0, 'S10_1678', 'Lyon Souveniers', '+33 1 46 62 7555', '27 rue du Colonel Pierre Avia', NULL, 'Paris', NULL, 75508, 'France', 'EMEA', 'Da Cunha', 'Daniel', 'Medium');
-- Create the target table Target1_59
DROP TABLE IF EXISTS Target1_59;
CREATE TABLE Target1_59 (
    PRODUCTLINE VARCHAR(255),
    SALES FLOAT
);
-- Insert rows into the target table Target1_59 by joining the source tables
INSERT INTO Target1_59 (PRODUCTLINE, SALES)
SELECT s.PRODUCTLINE, s.SALES
FROM Source59_0 s
JOIN Source_0 s0 ON s.ORDERNUMBER = s0.ORDERNUMBER;
-- Export the result to a CSV file
COPY (SELECT * FROM Target1_59) TO 'D:\lab\ChatGPTwithSQLscript\github-pipelines\length1_59\Target1_59_result.csv' DELIMITER ',' CSV HEADER;</t>
  </si>
  <si>
    <t>ERROR: Error: ERROR:  invalid input syntax for type integer: ""
CONTEXT:  COPY source59_0, line 6, column postalcode: ""</t>
  </si>
  <si>
    <t>0.5 success [1,0.7] score.</t>
  </si>
  <si>
    <t>ERROR: Error: ERROR:  invalid input syntax for type integer: "2003.0"
CONTEXT:  COPY source59_0, line 2, column year_id: "2003.0"</t>
  </si>
  <si>
    <t>L1_6</t>
  </si>
  <si>
    <t>['provider_id', 'provider_name', 'provider_zip_code', 'average_covered_charges', 'average_total_payments', 'average_medicare_payments']</t>
  </si>
  <si>
    <t>[[10001, 'SOUTHEAST ALABAMA MEDICAL CENTER', 36301, 45757.55797619046, 10177.445952380953, 8907.124523809522], [10005, 'MARSHALL MEDICAL CENTER SOUTH', 35957, 17601.732068965513, 7403.27448275862, 5947.807586206897], [10006, 'ELIZA COFFEE MEMORIAL HOSPITAL', 35631, 56096.88644067797, 11159.26627118644, 9789.64288135593]]</t>
  </si>
  <si>
    <t>Source6_0</t>
  </si>
  <si>
    <t>[[17734.69, 3154.38, 4303.92, '195 - SIMPLE PNEUMONIA &amp; PLEURISY W/O CC/MCC', 'TN - Johnson City', 'JOHNSON CITY', 440184, 'FRANKLIN WOODS COMMUNITY HOSPITAL', 'TN', '300 MED TECH PARKWAY', 37604, 13], [28375.14, 8231.48, 9003.1, '180 - RESPIRATORY NEOPLASMS W MCC', 'FL - Orlando', 'THE VILLAGES', 100290, 'VILLAGES REGIONAL HOSPITAL, THE', 'FL', '1451 EL CAMINO REAL', 32159, 21], [68931.09, 9809.0, 13479.96, '707 - MAJOR MALE PELVIC PROCEDURES W CC/MCC', 'TX - Houston', 'HOUSTON', 450358, 'METHODIST HOSPITAL,THE', 'TX', '6565 FANNIN', 77030, 23]]</t>
  </si>
  <si>
    <t>['average_covered_charges', 'average_medicare_payments', 'average_total_payments', 'drg_definition', 'hospital_referral_region_hrr_description', 'provider_city', 'provider_id', 'provider_name', 'provider_state', 'provider_street_address', 'provider_zip_code', 'total_discharges']</t>
  </si>
  <si>
    <t>CREATE TABLE Source6_0 (
    average_covered_charges NUMERIC,
    average_medicare_payments NUMERIC,
    average_total_payments NUMERIC,
    drg_definition VARCHAR(100),
    hospital_referral_region_hrr_description VARCHAR(100),
    provider_city VARCHAR(100),
    provider_id INTEGER,
    provider_name VARCHAR(100),
    provider_state VARCHAR(2),
    provider_street_address VARCHAR(100),
    provider_zip_code INTEGER,
    total_discharges INTEGER
);
-- Insert sample rows into the source table
INSERT INTO Source6_0 (average_covered_charges, average_medicare_payments, average_total_payments, drg_definition, hospital_referral_region_hrr_description, provider_city, provider_id, provider_name, provider_state, provider_street_address, provider_zip_code, total_discharges)
VALUES (17734.69, 3154.38, 4303.92, '195 - SIMPLE PNEUMONIA &amp; PLEURISY W/O CC/MCC', 'TN - Johnson City', 'JOHNSON CITY', 440184, 'FRANKLIN WOODS COMMUNITY HOSPITAL', 'TN', '300 MED TECH PARKWAY', 37604, 13),
       (28375.14, 8231.48, 9003.1, '180 - RESPIRATORY NEOPLASMS W MCC', 'FL - Orlando', 'THE VILLAGES', 100290, 'VILLAGES REGIONAL HOSPITAL, THE', 'FL', '1451 EL CAMINO REAL', 32159, 21),
       (68931.09, 9809.0, 13479.96, '707 - MAJOR MALE PELVIC PROCEDURES W CC/MCC', 'TX - Houston', 'HOUSTON', 450358, 'METHODIST HOSPITAL,THE', 'TX', '6565 FANNIN', 77030, 23);
-- Drop the target table if it exists
DROP TABLE IF EXISTS Target1_6;
-- Create the target table
CREATE TABLE Target1_6 (
    provider_id INTEGER,
    provider_name VARCHAR(100),
    provider_zip_code INTEGER,
    average_covered_charges NUMERIC,
    average_total_payments NUMERIC,
    average_medicare_payments NUMERIC
);
-- Insert rows from the source table into the target table
INSERT INTO Target1_6 (provider_id, provider_name, provider_zip_code, average_covered_charges, average_total_payments, average_medicare_payments)
SELECT provider_id, provider_name, provider_zip_code, AVG(average_covered_charges), AVG(average_total_payments), AVG(average_medicare_payments)
FROM Source6_0
GROUP BY provider_id, provider_name, provider_zip_code;
-- Export the result to a CSV file
COPY (SELECT * FROM Target1_6) TO 'D:\lab\ChatGPTwithSQLscript\github-pipelines\length1_6\Target1_6_result.csv' DELIMITER ',' CSV HEADER;</t>
  </si>
  <si>
    <t xml:space="preserve">Generated SQL result does not match at all, num of rows are different. </t>
  </si>
  <si>
    <t xml:space="preserve">Its challenging to figure out mapping from source to target values. </t>
  </si>
  <si>
    <t>L1_60</t>
  </si>
  <si>
    <t>['type', 'driver_count']</t>
  </si>
  <si>
    <t>[['Urban', 2149]]</t>
  </si>
  <si>
    <t xml:space="preserve">In target table, the driver_count is total count of driver from source table for each type. </t>
  </si>
  <si>
    <t>Source60_0</t>
  </si>
  <si>
    <t>[['Richardfort', 38, 'Urban'], ['Williamsstad', 59, 'Urban'], ['Port Angela', 67, 'Urban']]</t>
  </si>
  <si>
    <t>['city', 'driver_count', 'type']</t>
  </si>
  <si>
    <t>DROP TABLE IF EXISTS Source60_0;
-- Create the source table
CREATE TABLE Source60_0 (
    city VARCHAR,
    driver_count INTEGER,
    type VARCHAR
);
-- Insert sample rows into the source table
INSERT INTO Source60_0 (city, driver_count, type)
VALUES ('Richardfort', 38, 'Urban'),
       ('Williamsstad', 59, 'Urban'),
       ('Port Angela', 67, 'Urban');
-- Drop the target table if it exists
DROP TABLE IF EXISTS Target1_60;
-- Create the target table
CREATE TABLE Target1_60 (
    type VARCHAR,
    driver_count INTEGER
);
-- Insert rows from the source table into the target table
INSERT INTO Target1_60 (type, driver_count)
SELECT type, SUM(driver_count)
FROM Source60_0
GROUP BY type;
-- Export the result to a CSV file
COPY (SELECT * FROM Target1_60) TO 'D:\lab\ChatGPTwithSQLscript\github-pipelines\length1_60\Target1_60_result.csv' DELIMITER ',' CSV HEADER;</t>
  </si>
  <si>
    <t>[1.0, 0.0]</t>
  </si>
  <si>
    <t>The result is not a exact match, may be because only using test file not training.</t>
  </si>
  <si>
    <t>L1_64</t>
  </si>
  <si>
    <t>Target1_64</t>
  </si>
  <si>
    <t>['name', 'Gender', 'Eye color', 'Race', 'Hair color', 'Height', 'Publisher', 'Skin color', 'Alignment', 'Weight', 'hero_names',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t>
  </si>
  <si>
    <t>[['A-Bomb', 'Male', 'yellow', 'Human', 'No Hair', 203, 'Marvel Comics', '-', 'good', 441.0,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'Male', 'blue', 'Icthyo Sapien', 'No Hair', 191, 'Dark Horse Comics', 'blue', 'good', 65.0,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['Abin Sur', 'Male', 'blue', 'Ungaran', 'No Hair', 185, 'DC Comics', 'red', 'good', 90.0, 'Abin Sur',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</si>
  <si>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Source64_0</t>
  </si>
  <si>
    <t>[['A-Bomb', 'Male', 'yellow', 'Human', 'No Hair', 203, 'Marvel Comics', '-', 'good', 441.0], ['Abe Sapien', 'Male', 'blue', 'Icthyo Sapien', 'No Hair', 191, 'Dark Horse Comics', 'blue', 'good', 65.0], ['Abin Sur', 'Male', 'blue', 'Ungaran', 'No Hair', 185, 'DC Comics', 'red', 'good', 90.0]]</t>
  </si>
  <si>
    <t>['name', 'Gender', 'Eye color', 'Race', 'Hair color', 'Height', 'Publisher', 'Skin color', 'Alignment', 'Weight']</t>
  </si>
  <si>
    <t>DROP TABLE IF EXISTS Source64_0;
CREATE TABLE Source64_0 (
    name VARCHAR(255),
    Gender VARCHAR(255),
    "Eye color" VARCHAR(255),
    Race VARCHAR(255),
    "Hair color" VARCHAR(255),
    Height INTEGER,
    Publisher VARCHAR(255),
    "Skin color" VARCHAR(255),
    Alignment VARCHAR(255),
    Weight FLOAT
);
DROP TABLE IF EXISTS Source64_1;
CREATE TABLE Source64_1 (
    hero_names VARCHAR(255),
    Agility BOOLEAN,
    "Accelerated Healing" BOOLEAN,
    "Lantern Power Ring" BOOLEAN,
    "Dimensional Awareness" BOOLEAN,
    "Cold Resistance" BOOLEAN,
    Durability BOOLEAN,
    Stealth BOOLEAN,
    "Energy Absorption" BOOLEAN,
    Flight BOOLEAN,
    "Danger Sense" BOOLEAN,
    "Underwater breathing" BOOLEAN,
    Marksmanship BOOLEAN,
    "Weapons Master" BOOLEAN,
    "Power Augmentation" BOOLEAN,
    "Animal Attributes" BOOLEAN,
    Longevity BOOLEAN,
    Intelligence BOOLEAN,
    "Super Strength" BOOLEAN,
    Cryokinesis BOOLEAN,
    Telepathy BOOLEAN,
    "Energy Armor" BOOLEAN,
    "Energy Blasts" BOOLEAN,
    Duplication BOOLEAN,
    "Size Changing" BOOLEAN,
    "Density Control" BOOLEAN,
    Stamina BOOLEAN,
    "Astral Travel" BOOLEAN,
    "Audio Control" BOOLEAN,
    Dexterity BOOLEAN,
    Omnitrix BOOLEAN,
    "Super Speed" BOOLEAN,
    Possession BOOLEAN,
    "Animal Oriented Powers" BOOLEAN,
    "Weapon-based Powers" BOOLEAN,
    Electrokinesis BOOLEAN,
    "Darkforce Manipulation" BOOLEAN,
    "Death Touch" BOOLEAN,
    Teleportation BOOLEAN,
    "Enhanced Senses" BOOLEAN,
    Telekinesis BOOLEAN,
    "Energy Beams" BOOLEAN,
    Magic BOOLEAN,
    Hyperkinesis BOOLEAN,
    Jump BOOLEAN,
    Clairvoyance BOOLEAN,
    "Dimensional Travel" BOOLEAN,
    "Power Sense" BOOLEAN,
    Shapeshifting BOOLEAN,
    "Peak Human Condition" BOOLEAN,
    Immortality BOOLEAN,
    Camouflage BOOLEAN,
    "Element Control" BOOLEAN,
    Phasing BOOLEAN,
    "Astral Projection" BOOLEAN,
    "Electrical Transport" BOOLEAN,
    "Fire Control" BOOLEAN,
    Projection BOOLEAN,
    Summoning BOOLEAN,
    "Enhanced Memory" BOOLEAN,
    Reflexes BOOLEAN,
    Invulnerability BOOLEAN,
    "Energy Constructs" BOOLEAN,
    "Force Fields" BOOLEAN,
    "Self-Sustenance" BOOLEAN,
    "Anti-Gravity" BOOLEAN,
    Empathy BOOLEAN,
    "Power Nullifier" BOOLEAN,
    "Radiation Control" BOOLEAN,
    "Psionic Powers" BOOLEAN,
    Elasticity BOOLEAN,
    "Substance Secretion" BOOLEAN,
    "Elemental Transmogrification" BOOLEAN,
    "Technopath/Cyberpath" BOOLEAN,
    "Photographic Reflexes" BOOLEAN,
    "Seismic Power" BOOLEAN,
    Animation BOOLEAN,
    Precognition BOOLEAN,
    "Mind Control" BOOLEAN,
    "Fire Resistance" BOOLEAN,
    "Power Absorption" BOOLEAN,
    "Enhanced Hearing" BOOLEAN,
    "Nova Force" BOOLEAN,
    Insanity BOOLEAN,
    Hypnokinesis BOOLEAN,
    "Animal Control" BOOLEAN,
    "Natural Armor" BOOLEAN,
    Intangibility BOOLEAN,
    "Enhanced Sight" BOOLEAN,
    "Molecular Manipulation" BOOLEAN,
    "Heat Generation" BOOLEAN,
    Adaptation BOOLEAN,
    Gliding BOOLEAN,
    "Power Suit" BOOLEAN,
    "Mind Blast" BOOLEAN,
    "Probability Manipulation" BOOLEAN,
    "Gravity Control" BOOLEAN,
    Regeneration BOOLEAN,
    "Light Control" BOOLEAN,
    Echolocation BOOLEAN,
    Levitation BOOLEAN,
    "Toxin and Disease Control" BOOLEAN,
    Banish BOOLEAN,
    "Energy Manipulation" BOOLEAN,
    "Heat Resistance" BOOLEAN,
    "Natural Weapons" BOOLEAN,
    "Time Travel" BOOLEAN,
    "Enhanced Smell" BOOLEAN,
    Illusions BOOLEAN,
    Thirstokinesis BOOLEAN,
    "Hair Manipulation" BOOLEAN,
    Illumination BOOLEAN,
    Omnipotent BOOLEAN,
    Cloaking BOOLEAN,
    "Changing Armor" BOOLEAN,
    "Power Cosmic" BOOLEAN,
    Biokinesis BOOLEAN,
    "Water Control" BOOLEAN,
    "Radiation Immunity" BOOLEAN,
    "Vision - Telescopic" BOOLEAN,
    "Toxin and Disease Resistance" BOOLEAN,
    "Spatial Awareness" BOOLEAN,
    "Energy Resistance" BOOLEAN,
    "Telepathy Resistance" BOOLEAN,
    "Molecular Combustion" BOOLEAN,
    Omnilingualism BOOLEAN,
    "Portal Creation" BOOLEAN,
    Magnetism BOOLEAN,
    "Mind Control Resistance" BOOLEAN,
    "Plant Control" BOOLEAN,
    Sonar BOOLEAN,
    "Sonic Scream" BOOLEAN,
    "Time Manipulation" BOOLEAN,
    "Enhanced Touch" BOOLEAN,
    "Magic Resistance" BOOLEAN,
    Invisibility BOOLEAN,
    "Sub-Mariner" BOOLEAN,
    "Radiation Absorption" BOOLEAN,
    "Intuitive aptitude" BOOLEAN,
    "Vision - Microscopic" BOOLEAN,
    Melting BOOLEAN,
    "Wind Control" BOOLEAN,
    "Super Breath" BOOLEAN,
    Wallcrawling BOOLEAN,
    "Vision - Night" BOOLEAN,
    "Vision - Infrared" BOOLEAN,
    "Grim Reaping" BOOLEAN,
    "Matter Absorption" BOOLEAN,
    "The Force" BOOLEAN,
    Resurrection BOOLEAN,
    Terrakinesis BOOLEAN,
    "Vision - Heat" BOOLEAN,
    Vitakinesis BOOLEAN,
    "Radar Sense" BOOLEAN,
    "Qwardian Power Ring" BOOLEAN,
    "Weather Control" BOOLEAN,
    "Vision - X-Ray" BOOLEAN,
    "Vision - Thermal" BOOLEAN,
    "Web Creation" BOOLEAN,
    "Reality Warping" BOOLEAN,
    "Odin Force" BOOLEAN,
    "Symbiote Costume" BOOLEAN,
    "Speed Force" BOOLEAN,
    "Phoenix Force" BOOLEAN,
    "Molecular Dissipation" BOOLEAN,
    "Vision - Cryo" BOOLEAN,
    Omnipresent BOOLEAN,
    Omniscient BOOLEAN
);
-- Step 2: Insert data into the source tables
COPY Source64_0 FROM 'D:\lab\ChatGPTwithSQLscript\github-pipelines\length1_64\test_0.csv' DELIMITER ',' CSV HEADER NULL '';
COPY Source64_1 FROM 'D:\lab\ChatGPTwithSQLscript\github-pipelines\length1_64\test_1.csv' DELIMITER ',' CSV HEADER NULL '';
-- Step 3: Create the target table
DROP TABLE IF EXISTS Target1_64;
CREATE TABLE Target1_64 AS
SELECT
    s0.name,
    s0.Gender,
    s0."Eye color",
    s0.Race,
    s0."Hair color",
    s0.Height,
    s0.Publisher,
    s0."Skin color",
    s0.Alignment,
    s0.Weight,
    s1.hero_names,
    s1.Agility,
    s1."Accelerated Healing",
    s1."Lantern Power Ring",
    s1."Dimensional Awareness",
    s1."Cold Resistance",
    s1.Durability,
    s1.Stealth,
    s1."Energy Absorption",
    s1.Flight,
    s1."Danger Sense",
    s1."Underwater breathing",
    s1.Marksmanship,
    s1."Weapons Master",
    s1."Power Augmentation",
    s1."Animal Attributes",
    s1.Longevity,
    s1.Intelligence,
    s1."Super Strength",
    s1.Cryokinesis,
    s1.Telepathy,
    s1."Energy Armor",
    s1."Energy Blasts",
    s1.Duplication,
    s1."Size Changing",
    s1."Density Control",
    s1.Stamina,
    s1."Astral Travel",
    s1."Audio Control",
    s1.Dexterity,
    s1.Omnitrix,
    s1."Super Speed",
    s1.Possession,
    s1."Animal Oriented Powers",
    s1."Weapon-based Powers",
    s1.Electrokinesis,
    s1."Darkforce Manipulation",
    s1."Death Touch",
    s1.Teleportation,
    s1."Enhanced Senses",
    s1.Telekinesis,
    s1."Energy Beams",
    s1.Magic,
    s1.Hyperkinesis,
    s1.Jump,
    s1.Clairvoyance,
    s1."Dimensional Travel",
    s1."Power Sense",
    s1.Shapeshifting,
    s1."Peak Human Condition",
    s1.Immortality,
    s1.Camouflage,
    s1."Element Control",
    s1.Phasing,
    s1."Astral Projection",
    s1."Electrical Transport",
    s1."Fire Control",
    s1.Projection,
    s1.Summoning,
    s1."Enhanced Memory",
    s1.Reflexes,
    s1.Invulnerability,
    s1."Energy Constructs",
    s1."Force Fields",
    s1."Self-Sustenance",
    s1."Anti-Gravity",
    s1.Empathy,
    s1."Power Nullifier",
    s1."Radiation Control",
    s1."Psionic Powers",
    s1.Elasticity,
    s1."Substance Secretion",
    s1."Elemental Transmogrification",
    s1."Technopath/Cyberpath",
    s1."Photographic Reflexes",
    s1."Seismic Power",
    s1.Animation,
    s1.Precognition,
    s1."Mind Control",
    s1."Fire Resistance",
    s1."Power Absorption",
    s1."Enhanced Hearing",
    s1."Nova Force",
    s1.Insanity,
    s1.Hypnokinesis,
    s1."Animal Control",
    s1."Natural Armor",
    s1.Intangibility,
    s1."Enhanced Sight",
    s1."Molecular Manipulation",
    s1."Heat Generation",
    s1.Adaptation,
    s1.Gliding,
    s1."Power Suit",
    s1."Mind Blast",
    s1."Probability Manipulation",
    s1."Gravity Control",
    s1.Regeneration,
    s1."Light Control",
    s1.Echolocation,
    s1.Levitation,
    s1."Toxin and Disease Control",
    s1.Banish,
    s1."Energy Manipulation",
    s1."Heat Resistance",
    s1."Natural Weapons",
    s1."Time Travel",
    s1."Enhanced Smell",
    s1.Illusions,
    s1.Thirstokinesis,
    s1."Hair Manipulation",
    s1.Illumination,
    s1.Omnipotent,
    s1.Cloaking,
    s1."Changing Armor",
    s1."Power Cosmic",
    s1.Biokinesis,
    s1."Water Control",
    s1."Radiation Immunity",
    s1."Vision - Telescopic",
    s1."Toxin and Disease Resistance",
    s1."Spatial Awareness",
    s1."Energy Resistance",
    s1."Telepathy Resistance",
    s1."Molecular Combustion",
    s1.Omnilingualism,
    s1."Portal Creation",
    s1.Magnetism,
    s1."Mind Control Resistance",
    s1."Plant Control",
    s1.Sonar,
    s1."Sonic Scream",
    s1."Time Manipulation",
    s1."Enhanced Touch",
    s1."Magic Resistance",
    s1.Invisibility,
    s1."Sub-Mariner",
    s1."Radiation Absorption",
    s1."Intuitive aptitude",
    s1."Vision - Microscopic",
    s1.Melting,
    s1."Wind Control",
    s1."Super Breath",
    s1.Wallcrawling,
    s1."Vision - Night",
    s1."Vision - Infrared",
    s1."Grim Reaping",
    s1."Matter Absorption",
    s1."The Force",
    s1.Resurrection,
    s1.Terrakinesis,
    s1."Vision - Heat",
    s1.Vitakinesis,
    s1."Radar Sense",
    s1."Qwardian Power Ring",
    s1."Weather Control",
    s1."Vision - X-Ray",
    s1."Vision - Thermal",
    s1."Web Creation",
    s1."Reality Warping",
    s1."Odin Force",
    s1."Symbiote Costume",
    s1."Speed Force",
    s1."Phoenix Force",
    s1."Molecular Dissipation",
    s1."Vision - Cryo",
    s1.Omnipresent,
    s1.Omniscient
FROM Source64_0 s0
JOIN Source64_1 s1 ON s0.name = s1.hero_names;
-- Step 4: Export the result to a CSV file
COPY Target1_64 TO 'D:\lab\ChatGPTwithSQLscript\github-pipelines\length1_64\Target1_64_result.csv' DELIMITER ',' CSV HEADER;</t>
  </si>
  <si>
    <t xml:space="preserve">This type of error can be resolved if rerun. </t>
  </si>
  <si>
    <t>Error in the previous response: Error: ERROR:  extra data after last expected column
CONTEXT:  COPY source64_1, line 2: "3-D Man,True,False,False,False,False,False,False,False,False,False,False,False,False,False,False,Fal..."</t>
  </si>
  <si>
    <t>Source64_1</t>
  </si>
  <si>
    <t>[['3-D Man', True, False, False, False, False, False, False, False, False, False, False, False, False, False, False, False, False, True, False, False, False, False, False, False, False, True,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</si>
  <si>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t>
  </si>
  <si>
    <t>L1_65</t>
  </si>
  <si>
    <t>['year', '0']</t>
  </si>
  <si>
    <t>[[1940, 1], [1960, 1], [1962, 1]]</t>
  </si>
  <si>
    <t xml:space="preserve">In target, for each year the '0' is count for the year in order. </t>
  </si>
  <si>
    <t>Source65_0</t>
  </si>
  <si>
    <t>[[237000000, '[{"id": 28, "name": "Action"}, {"id": 12, "name": "Adventure"}, {"id": 14, "name": "Fantasy"}, {"id": 878, "name": "Science Fiction"}]', 'http://www.avatarmovie.com/', 19995, '[{"id":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 'en', 'Avatar', 'In the 22nd century, a paraplegic Marine is dispatched to the moon Pandora on a unique mission, but becomes torn between following orders and protecting an alien civilization.', 150.437577, '[{"name": "Ingenious Film Partners", "id": 289}, {"name": "Twentieth Century Fox Film Corporation", "id": 306}, {"name": "Dune Entertainment", "id": 444}, {"name": "Lightstorm Entertainment", "id": 574}]', '[{"iso_3166_1": "US", "name": "United States of America"}, {"iso_3166_1": "GB", "name": "United Kingdom"}]', '2009-12-10', 2787965087, 162, '[{"iso_639_1": "en", "name": "English"}, {"iso_639_1": "es", "name": "Espa\\u00f1ol"}]', 'Released', 'Enter the World of Pandora.', 'Avatar', 7.2, 11800, 2009], [300000000, '[{"id": 12, "name": "Adventure"}, {"id": 14, "name": "Fantasy"}, {"id": 28, "name": "Action"}]', 'http://disney.go.com/disneypictures/pirates/', 285, '[{"id":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 'en', "Pirates of the Caribbean: At World's End", 'Captain Barbossa, long believed to be dead, has come back to life and is headed to the edge of the Earth with Will Turner and Elizabeth Swann. But nothing is quite as it seems.', 139.082615, '[{"name": "Walt Disney Pictures", "id": 2}, {"name": "Jerry Bruckheimer Films", "id": 130}, {"name": "Second Mate Productions", "id": 19936}]', '[{"iso_3166_1": "US", "name": "United States of America"}]', '2007-05-19', 961000000, 169, '[{"iso_639_1": "en", "name": "English"}]', 'Released', 'At the end of the world, the adventure begins.', "Pirates of the Caribbean: At World's End", 6.9, 4500, 2007], [245000000, '[{"id": 28, "name": "Action"}, {"id": 12, "name": "Adventure"}, {"id": 80, "name": "Crime"}]', 'http://www.sonypictures.com/movies/spectre/', 206647, '[{"id": 470, "name": "spy"}, {"id": 818, "name": "based on novel"}, {"id": 4289, "name": "secret agent"}, {"id": 9663, "name": "sequel"}, {"id": 14555, "name": "mi6"}, {"id": 156095, "name": "british secret service"}, {"id": 158431, "name": "united kingdom"}]', 'en', 'Spectre', 'A cryptic message from Bond’s past sends him on a trail to uncover a sinister organization. While M battles political forces to keep the secret service alive, Bond peels back the layers of deceit to reveal the terrible truth behind SPECTRE.', 107.376788, '[{"name": "Columbia Pictures", "id": 5}, {"name": "Danjaq", "id": 10761}, {"name": "B24", "id": 69434}]', '[{"iso_3166_1": "GB", "name": "United Kingdom"}, {"iso_3166_1": "US", "name": "United States of America"}]', '2015-10-26', 880674609, 148, '[{"iso_639_1": "fr", "name": "Fran\\u00e7ais"}, {"iso_639_1": "en", "name": "English"}, {"iso_639_1": "es", "name": "Espa\\u00f1ol"}, {"iso_639_1": "it", "name": "Italiano"}, {"iso_639_1": "de", "name": "Deutsch"}]', 'Released', 'A Plan No One Escapes', 'Spectre', 6.3, 4466, 2015]]</t>
  </si>
  <si>
    <t>['budget', 'genres', 'homepage', 'movie_id', 'keywords', 'original_language', 'original_title', 'overview', 'popularity', 'production_companies', 'production_countries', 'release_date', 'revenue', 'runtime', 'spoken_languages', 'status', 'tagline', 'title', 'vote_average', 'vote_count', 'year']</t>
  </si>
  <si>
    <t>DROP TABLE IF EXISTS Source65_0;
-- Create the source table
CREATE TABLE Source65_0 (
    budget NUMERIC,
    genres JSONB,
    homepage TEXT,
    movie_id INTEGER,
    keywords JSONB,
    original_language TEXT,
    original_title TEXT,
    overview TEXT,
    popularity NUMERIC,
    production_companies JSONB,
    production_countries JSONB,
    release_date DATE,
    revenue NUMERIC,
    runtime INTEGER,
    spoken_languages JSONB,
    status TEXT,
    tagline TEXT,
    title TEXT,
    vote_average NUMERIC,
    vote_count INTEGER,
    year INTEGER
);
-- Insert data from the CSV file into the source table
COPY Source65_0 FROM 'D:\lab\ChatGPTwithSQLscript\github-pipelines\length1_65\test_0.csv' DELIMITER ',' CSV HEADER NULL '';
-- Drop the target table if it exists
DROP TABLE IF EXISTS Target1_65;
-- Create the target table
CREATE TABLE Target1_65 (
    year INTEGER,
    "0" INTEGER
);
-- Insert data from the source table into the target table
INSERT INTO Target1_65 (year, "0")
SELECT year, COUNT(*) AS "0"
FROM Source65_0
GROUP BY year;
-- Export the result to a CSV file
COPY (SELECT * FROM Target1_65) TO 'D:\lab\ChatGPTwithSQLscript\github-pipelines\length1_65\Target1_65_result.csv' DELIMITER ',' CSV HEADER;</t>
  </si>
  <si>
    <t>[0.018867924528301886, 0.07547169811320754]</t>
  </si>
  <si>
    <t xml:space="preserve">The hints made sim score better, the order of row should match exactly. </t>
  </si>
  <si>
    <t>L1_69</t>
  </si>
  <si>
    <t>Target1_69</t>
  </si>
  <si>
    <t>['city', 'driver_count', 'type', 'date', 'fare', 'ride_id']</t>
  </si>
  <si>
    <t>[['Kelseyland', 63, 'Urban', '2016-08-19 04:27:52', 5.51, 6246006544795], ['Kelseyland', 63, 'Urban', '2016-04-17 06:59:50', 5.54, 7466473222333], ['Kelseyland', 63, 'Urban', '2016-05-04 15:06:07', 30.54, 2140501382736]]</t>
  </si>
  <si>
    <t>Source69_0</t>
  </si>
  <si>
    <t>[['Kelseyland', 63, 'Urban'], ['Nguyenbury', 8, 'Urban'], ['East Douglas', 12, 'Urban']]</t>
  </si>
  <si>
    <t>DROP TABLE IF EXISTS Source_0;
CREATE TABLE Source_0 (
    city VARCHAR,
    driver_count INTEGER,
    type VARCHAR
);
DROP TABLE IF EXISTS Source_1;
CREATE TABLE Source_1 (
    city VARCHAR,
    date TIMESTAMP,
    fare FLOAT,
    ride_id BIGINT
);
-- Step 2: Insert data into the source tables from CSV files
COPY Source_0(city, driver_count, type)
FROM 'D:\lab\ChatGPTwithSQLscript\github-pipelines\length1_69\test_0.csv'
DELIMITER ',' CSV HEADER NULL '';
COPY Source_1(city, date, fare, ride_id)
FROM 'D:\lab\ChatGPTwithSQLscript\github-pipelines\length1_69\test_1.csv'
DELIMITER ',' CSV HEADER NULL '';
-- Step 3: Create the target table
DROP TABLE IF EXISTS Target1_69;
CREATE TABLE Target1_69 (
    city VARCHAR,
    driver_count INTEGER,
    type VARCHAR,
    date TIMESTAMP,
    fare FLOAT,
    ride_id BIGINT
);
-- Step 4: Insert data into the target table by joining the source tables
INSERT INTO Target1_69 (city, driver_count, type, date, fare, ride_id)
SELECT s0.city, s0.driver_count, s0.type, s1.date, s1.fare, s1.ride_id
FROM Source_0 s0
JOIN Source_1 s1 ON s0.city = s1.city;
-- Step 5: Export the result to a CSV file
COPY (SELECT * FROM Target1_69)
TO 'D:\lab\ChatGPTwithSQLscript\github-pipelines\length1_69\Target1_69_result.csv'
DELIMITER ',' CSV HEADER;</t>
  </si>
  <si>
    <t>[1.0, 0.02358887952822241, 1.0, 1.0, 0.0008424599831508003, 0.0008424599831508003]</t>
  </si>
  <si>
    <t>Source69_1</t>
  </si>
  <si>
    <t>[['Sarabury', '2016-01-16 13:49:27', 38.35, 5403689035038], ['South Roy', '2016-01-02 18:42:34', 17.49, 4036272335942], ['Wiseborough', '2016-01-21 17:35:29', 44.18, 3645042422587]]</t>
  </si>
  <si>
    <t>['city', 'date', 'fare', 'ride_id']</t>
  </si>
  <si>
    <t>L1_70</t>
  </si>
  <si>
    <t>Target1_70</t>
  </si>
  <si>
    <t>['order_id', 'order_status', 'order_approved_at', 'product_id', 'seller_id', 'price', 'freight_value']</t>
  </si>
  <si>
    <t>[['53cdb2fc8bc7dce0b6741e2150273451', 'delivered', '2018-07-26 03:24:27', '595fac2a385ac33a80bd5114aec74eb8', '289cdb325fb7e7f891c38608bf9e0962', 118.7, 22.76], ['47770eb9100c2d0c44946d9cf07ec65d', 'delivered', '2018-08-08 08:55:23', 'aa4383b373c6aca5d8797843e5594415', '4869f7a5dfa277a7dca6462dcf3b52b2', 159.9, 19.22], ['136cce7faa42fdb2cefd53fdc79a6098', 'invoiced', '2017-04-13 13:25:17', 'a1804276d9941ac0733cfd409f5206eb', 'dc8798cbf453b7e0f98745e396cc5616', 49.9, 16.05]]</t>
  </si>
  <si>
    <t>Source70_0</t>
  </si>
  <si>
    <t>[['e481f51cbdc54678b7cc49136f2d6af7', '9ef432eb6251297304e76186b10a928d', 'delivered', '2017-10-02 10:56:33', '2017-10-02 11:07:15', '2017-10-04 19:55:00', '2017-10-10 21:25:13', '2017-10-18 00:00:00'], ['53cdb2fc8bc7dce0b6741e2150273451', 'b0830fb4747a6c6d20dea0b8c802d7ef', 'delivered', '2018-07-24 20:41:37', '2018-07-26 03:24:27', '2018-07-26 14:31:00', '2018-08-07 15:27:45', '2018-08-13 00:00:00'], ['47770eb9100c2d0c44946d9cf07ec65d', '41ce2a54c0b03bf3443c3d931a367089', 'delivered', '2018-08-08 08:38:49', '2018-08-08 08:55:23', '2018-08-08 13:50:00', '2018-08-17 18:06:29', '2018-09-04 00:00:00']]</t>
  </si>
  <si>
    <t>['order_id', 'customer_id', 'order_status', 'order_purchase_timestamp', 'order_approved_at', 'order_delivered_carrier_date', 'order_delivered_customer_date', 'order_estimated_delivery_date']</t>
  </si>
  <si>
    <t>DROP TABLE IF EXISTS Source70_0;
CREATE TABLE Source70_0 (
    order_id VARCHAR,
    customer_id VARCHAR,
    order_status VARCHAR,
    order_purchase_timestamp TIMESTAMP,
    order_approved_at TIMESTAMP,
    order_delivered_carrier_date TIMESTAMP,
    order_delivered_customer_date TIMESTAMP,
    order_estimated_delivery_date TIMESTAMP
);
DROP TABLE IF EXISTS Source70_1;
CREATE TABLE Source70_1 (
    order_id VARCHAR,
    order_item_id INTEGER,
    product_id VARCHAR,
    seller_id VARCHAR,
    price NUMERIC,
    freight_value NUMERIC
);
-- Step 2: Insert data into the source tables from CSV files
COPY Source70_0 (order_id, customer_id, order_status, order_purchase_timestamp, order_approved_at, order_delivered_carrier_date, order_delivered_customer_date, order_estimated_delivery_date)
FROM 'D:\lab\ChatGPTwithSQLscript\github-pipelines\length1_70\test_0.csv'
DELIMITER ','
CSV HEADER NULL '';
COPY Source70_1 (order_id, order_item_id, product_id, seller_id, price, freight_value)
FROM 'D:\lab\ChatGPTwithSQLscript\github-pipelines\length1_70\test_1.csv'
DELIMITER ','
CSV HEADER NULL '';
-- Step 3: Create the target table
DROP TABLE IF EXISTS Target1_70;
CREATE TABLE Target1_70 (
    order_id VARCHAR,
    order_status VARCHAR,
    order_approved_at TIMESTAMP,
    product_id VARCHAR,
    seller_id VARCHAR,
    price NUMERIC,
    freight_value NUMERIC
);
-- Step 4: Insert data into the target table from the source tables
INSERT INTO Target1_70 (order_id, order_status, order_approved_at, product_id, seller_id, price, freight_value)
SELECT s0.order_id, s0.order_status, s0.order_approved_at, s1.product_id, s1.seller_id, s1.price, s1.freight_value
FROM Source70_0 s0
JOIN Source70_1 s1 ON s0.order_id = s1.order_id;
-- Step 5: Export the result to a CSV file
COPY (SELECT * FROM Target1_70)
TO 'D:\lab\ChatGPTwithSQLscript\github-pipelines\length1_70\Target1_70_result.csv'
DELIMITER ','
CSV HEADER;</t>
  </si>
  <si>
    <t xml:space="preserve">Ordering row would make acc 1. We do not know which ordering target file is using. No target data description was given. </t>
  </si>
  <si>
    <t>Source70_1</t>
  </si>
  <si>
    <t>[['00010242fe8c5a6d1ba2dd792cb16214', 1, '4244733e06e7ecb4970a6e2683c13e61', '48436dade18ac8b2bce089ec2a041202', 58.9, 13.29], ['00018f77f2f0320c557190d7a144bdd3', 1, 'e5f2d52b802189ee658865ca93d83a8f', 'dd7ddc04e1b6c2c614352b383efe2d36', 239.9, 19.93], ['000229ec398224ef6ca0657da4fc703e', 1, 'c777355d18b72b67abbeef9df44fd0fd', '5b51032eddd242adc84c38acab88f23d', 199.0, 17.87]]</t>
  </si>
  <si>
    <t>['order_id', 'order_item_id', 'product_id', 'seller_id', 'price', 'freight_value']</t>
  </si>
  <si>
    <t>1.0, 1.0, 0.9999574793774981, 1.0, 1.0, 0.00388814913448735, 0.0037283621837549932</t>
  </si>
  <si>
    <t>Running with 'E'</t>
  </si>
  <si>
    <t>L1_71</t>
  </si>
  <si>
    <t>['Region', 'Poblacion', 'Superficie']</t>
  </si>
  <si>
    <t>[['Antofagasta', 551627, 126048.8], ['Arica y Parinacota', 308271, 17446.2], ['Atacama', 292054, 74806.3]]</t>
  </si>
  <si>
    <t>In target, Poblacion and superficie are sum from source table for each Region in order.</t>
  </si>
  <si>
    <t>Source71_0</t>
  </si>
  <si>
    <t>[[1, 'Arica y Parinacota', 'Arica', 'Arica', 4799.4, 210936, 38.4, 0.736], [1, 'Arica y Parinacota', 'Arica', 'Camarones', 3927.0, 679, 0.3, 0.7509999999999999], [1, 'Arica y Parinacota', 'Parinacota', 'General Lagos', 2244.4, 739, 0.5, 0.67]]</t>
  </si>
  <si>
    <t>['RegionID', 'Region', 'Provincia', 'Comuna', 'Superficie', 'Poblacion', 'Densidad', 'IDH_2005']</t>
  </si>
  <si>
    <t>DROP TABLE IF EXISTS Source71_0;
-- Create the source table
CREATE TABLE Source71_0 (
    RegionID INT,
    Region VARCHAR(255),
    Provincia VARCHAR(255),
    Comuna VARCHAR(255),
    Superficie FLOAT,
    Poblacion INT,
    Densidad FLOAT,
    IDH_2005 FLOAT
);
-- Insert data from the CSV file into the source table
COPY Source71_0 FROM 'D:\lab\ChatGPTwithSQLscript\github-pipelines\length1_71\test_0.csv' DELIMITER ',' CSV HEADER NULL '';
-- Drop the target table if it exists
DROP TABLE IF EXISTS Target1_71;
-- Create the target table
CREATE TABLE Target1_71 (
    Region VARCHAR(255),
    Poblacion INT,
    Superficie FLOAT
);
-- Insert data from the source table into the target table
INSERT INTO Target1_71 (Region, Poblacion, Superficie)
SELECT Region, SUM(Poblacion), SUM(Superficie)
FROM Source71_0
GROUP BY Region;
-- Copy the result from the target table to a CSV file
COPY (SELECT * FROM Target1_71) TO 'D:\lab\ChatGPTwithSQLscript\github-pipelines\length1_71\Target1_71_result.csv' DELIMITER ',' CSV HEADER;</t>
  </si>
  <si>
    <t>1.0, 0.0, 0.0</t>
  </si>
  <si>
    <t>L1_72</t>
  </si>
  <si>
    <t xml:space="preserve">In target, for each condition, '0' is total count. </t>
  </si>
  <si>
    <t>Source72_0</t>
  </si>
  <si>
    <t>DROP TABLE IF EXISTS Source72_0;
-- Create the source table
CREATE TABLE Source72_0 (
  condition INTEGER,
  click INTEGER
);
-- Insert data from the CSV file into the source table
COPY Source72_0 (condition, click)
FROM 'D:\lab\ChatGPTwithSQLscript\github-pipelines\length1_72\test_0.csv'
WITH (FORMAT csv, HEADER true, NULL '');
-- Drop the target table if it exists
DROP TABLE IF EXISTS Target1_72;
-- Create the target table
CREATE TABLE Target1_72 (
  condition INTEGER,
  "0" INTEGER
);
-- Insert data from the source table into the target table
INSERT INTO Target1_72 (condition, "0")
SELECT condition, COUNT(*) AS "0"
FROM Source72_0
GROUP BY condition;
-- Copy the result of the SQL query into a CSV file
COPY (
  SELECT *
  FROM Target1_72
) TO 'D:\lab\ChatGPTwithSQLscript\github-pipelines\length1_72\Target1_72_result.csv'
WITH (FORMAT csv, HEADER true);</t>
  </si>
  <si>
    <t>should have done aggregation</t>
  </si>
  <si>
    <t>L1_73</t>
  </si>
  <si>
    <t>Target1_73</t>
  </si>
  <si>
    <t>['Country', 'Region', 'Happiness_Rank_15', 'Happiness_Score_15', 'Standard_Error_15', 'Economy_15', 'Family_15', 'Life_Expectancy_15', 'Freedom_15', 'Trust_15', 'Generosity_15', 'Dystopia_15', 'Happiness_Rank_17', 'Happiness_Score_17', 'Whisker_High_17', 'Whisker_Low_17', 'Economy_17', 'Family_17', 'Life_Expectancy_17', 'Freedom_17', 'Generosity_17', 'Trust_17', 'Dystopia_17']</t>
  </si>
  <si>
    <t>[['Switzerland', 'Western Europe', 1, 7.5870000000000015, 0.03411, 1.39651, 1.34951, 0.94143, 0.66557, 0.41978, 0.29678000000000004, 2.51738, 4, 7.493999958, 7.56177242, 7.426227496, 1.564979553, 1.516911745, 0.858131289, 0.620070577, 0.290549278, 0.367007285, 2.276716232], ['Iceland', 'Western Europe', 2, 7.561, 0.04884, 1.30232, 1.40223, 0.94784, 0.6287699999999999, 0.14145, 0.4363, 2.70201, 3, 7.504000187000001, 7.622030473, 7.385969901, 1.48063302, 1.610574007, 0.8335521220000001, 0.627162635, 0.475540221, 0.153526559, 2.322715282], ['Denmark', 'Western Europe', 3, 7.527, 0.033280000000000004, 1.32548, 1.36058, 0.87464, 0.6493800000000001, 0.48357, 0.34139, 2.4920400000000003, 2, 7.521999836, 7.581728065, 7.462271607000001, 1.4823830130000002, 1.5511215930000002, 0.792565525, 0.6260067220000001, 0.355280489, 0.400770068, 2.313707352]]</t>
  </si>
  <si>
    <t>Use Join on source table</t>
  </si>
  <si>
    <t>Source73_0</t>
  </si>
  <si>
    <t>[['Norway', 1, 7.537000179, 7.5944448210000015, 7.479555538, 1.616463184, 1.53352356, 0.796666503, 0.635422587, 0.362012237, 0.315963835, 2.277026653], ['Denmark', 2, 7.521999836, 7.581728065, 7.462271607000001, 1.4823830130000002, 1.5511215930000002, 0.792565525, 0.6260067220000001, 0.355280489, 0.400770068, 2.313707352], ['Iceland', 3, 7.504000187000001, 7.622030473, 7.385969901, 1.48063302, 1.610574007, 0.8335521220000001, 0.627162635, 0.475540221, 0.153526559, 2.322715282]]</t>
  </si>
  <si>
    <t>['Country', 'Happiness_Rank_17', 'Happiness_Score_17', 'Whisker_High_17', 'Whisker_Low_17', 'Economy_17', 'Family_17', 'Life_Expectancy_17', 'Freedom_17', 'Generosity_17', 'Trust_17', 'Dystopia_17']</t>
  </si>
  <si>
    <t>DROP TABLE IF EXISTS Source73_0;
CREATE TABLE Source73_0 (
    Country VARCHAR,
    Happiness_Rank_17 INTEGER,
    Happiness_Score_17 FLOAT,
    Whisker_High_17 FLOAT,
    Whisker_Low_17 FLOAT,
    Economy_17 FLOAT,
    Family_17 FLOAT,
    Life_Expectancy_17 FLOAT,
    Freedom_17 FLOAT,
    Generosity_17 FLOAT,
    Trust_17 FLOAT,
    Dystopia_17 FLOAT
);
-- Insert data into the first table Source73_0
COPY Source73_0 FROM 'D:\lab\ChatGPTwithSQLscript\github-pipelines\length1_73\test_0.csv' DELIMITER ',' CSV HEADER NULL '';
-- Create the second table Source73_1
DROP TABLE IF EXISTS Source73_1;
CREATE TABLE Source73_1 (
    Country VARCHAR,
    Region VARCHAR,
    Happiness_Rank INTEGER,
    Happiness_Score FLOAT,
    Standard_Error FLOAT,
    Economy FLOAT,
    Family FLOAT,
    Life_Expectancy FLOAT,
    Freedom FLOAT,
    Trust FLOAT,
    Generosity FLOAT,
    Dystopia_Residual FLOAT
);
-- Insert data into the second table Source73_1
COPY Source73_1 FROM 'D:\lab\ChatGPTwithSQLscript\github-pipelines\length1_73\test_1.csv' DELIMITER ',' CSV HEADER NULL '';
-- Create the target table Target1_73
DROP TABLE IF EXISTS Target1_73;
CREATE TABLE Target1_73 (
    Country VARCHAR,
    Region VARCHAR,
    Happiness_Rank_15 INTEGER,
    Happiness_Score_15 FLOAT,
    Standard_Error_15 FLOAT,
    Economy_15 FLOAT,
    Family_15 FLOAT,
    Life_Expectancy_15 FLOAT,
    Freedom_15 FLOAT,
    Trust_15 FLOAT,
    Generosity_15 FLOAT,
    Dystopia_15 FLOAT,
    Happiness_Rank_17 INTEGER,
    Happiness_Score_17 FLOAT,
    Whisker_High_17 FLOAT,
    Whisker_Low_17 FLOAT,
    Economy_17 FLOAT,
    Family_17 FLOAT,
    Life_Expectancy_17 FLOAT,
    Freedom_17 FLOAT,
    Generosity_17 FLOAT,
    Trust_17 FLOAT,
    Dystopia_17 FLOAT
);
-- Insert data into the target table Target1_73 by joining the two source tables
INSERT INTO Target1_73 (
    Country,
    Region,
    Happiness_Rank_17,
    Happiness_Score_17,
    Economy_17,
    Family_17,
    Life_Expectancy_17,
    Freedom_17,
    Generosity_17,
    Trust_17,
    Dystopia_17
)
SELECT
    s0.Country,
    s1.Region,
    s0.Happiness_Rank_17,
    s0.Happiness_Score_17,
    s0.Economy_17,
    s0.Family_17,
    s0.Life_Expectancy_17,
    s0.Freedom_17,
    s0.Generosity_17,
    s0.Trust_17,
    s0.Dystopia_17
FROM
    Source73_0 s0
JOIN
    Source73_1 s1 ON s0.Country = s1.Country;
-- Export the result to a CSV file
COPY Target1_73 TO 'D:\lab\ChatGPTwithSQLscript\github-pipelines\length1_73\Target1_73_result.csv' DELIMITER ',' CSV HEADER;</t>
  </si>
  <si>
    <t>[1.0, 1.0, 0.0, 0.0, 0.0, 0.0, 0.0, 0.0, 0.0, 0.013333333333333334, 0.0, 0.0, 0.08, 0.08, 0.0, 0.0, 0.08, 0.08, 0.08, 0.08, 0.08, 0.08, 0.08]</t>
  </si>
  <si>
    <t>Some columns are empty hence the low similarity score.</t>
  </si>
  <si>
    <t>Source73_1</t>
  </si>
  <si>
    <t>[['Switzerland', 'Western Europe', 1, 7.5870000000000015, 0.03411, 1.39651, 1.34951, 0.94143, 0.66557, 0.41978, 0.29678000000000004, 2.51738], ['Iceland', 'Western Europe', 2, 7.561, 0.04884, 1.30232, 1.40223, 0.94784, 0.6287699999999999, 0.14145, 0.4363, 2.70201], ['Denmark', 'Western Europe', 3, 7.527, 0.033280000000000004, 1.32548, 1.36058, 0.87464, 0.6493800000000001, 0.48357, 0.34139, 2.4920400000000003]]</t>
  </si>
  <si>
    <t>['Country', 'Region', 'Happiness Rank', 'Happiness Score', 'Standard Error', 'Economy (GDP per Capita)', 'Family', 'Health (Life Expectancy)', 'Freedom', 'Trust (Government Corruption)', 'Generosity', 'Dystopia Residual']</t>
  </si>
  <si>
    <t>L1_75</t>
  </si>
  <si>
    <t>['neighbourhood', 'id', 'name', 'host_id', 'host_name', 'neighbourhood_group', 'latitude', 'longitude', 'room_type', 'price', 'minimum_nights', 'number_of_reviews', 'last_review', 'reviews_per_month', 'calculated_host_listings_count', 'availability_365']</t>
  </si>
  <si>
    <t>[['Can Baró', 21, 21, 21, 21, 21, 21, 21, 21, 21, 21, 21, 19, 19, 21, 21], ['Canyelles', 3, 3, 3, 3, 3, 3, 3, 3, 3, 3, 3, 2, 2, 3, 3], ['Ciutat Meridiana', 5, 5, 5, 5, 5, 5, 5, 5, 5, 5, 5, 5, 5, 5, 5]]</t>
  </si>
  <si>
    <t>Source75_0</t>
  </si>
  <si>
    <t>[[18666, 'Flat with Sunny Terrace', 71615, 'Mireia And Maria', 'Sant Martí', "el Camp de l'Arpa del Clot", 41.408886211580345, 2.1855453256058017, 'Entire home/apt', 130, 3, 1, '2015-10-10', 0.03, 34, 20], [18674, 'Huge flat for 8 people close to Sagrada Familia', 71615, 'Mireia And Maria', 'Eixample', 'la Sagrada Família', 41.404196784819064, 2.1730577177402504, 'Entire home/apt', 55, 1, 5, '2018-06-18', 0.07, 34, 40], [21605, 'Nice and sunny duble room', 82522, 'Meritxell', 'Sant Martí', 'el Poblenou', 41.4056041572247, 2.19820512273065, 'Private room', 33, 2, 103, '2018-11-30', 3.26, 3, 290]]</t>
  </si>
  <si>
    <t>['id', 'name', 'host_id', 'host_name', 'neighbourhood_group', 'neighbourhood', 'latitude', 'longitude', 'room_type', 'price', 'minimum_nights', 'number_of_reviews', 'last_review', 'reviews_per_month', 'calculated_host_listings_count', 'availability_365']</t>
  </si>
  <si>
    <t>L1_77</t>
  </si>
  <si>
    <t>['fac_type', 'capacity']</t>
  </si>
  <si>
    <t>[['NF', 11201], ['RCF', 7136]]</t>
  </si>
  <si>
    <t>Source77_0</t>
  </si>
  <si>
    <t>ERROR: Error: ERROR:  invalid input syntax for type integer: "38A001"
CONTEXT:  COPY source77_0, line 120, column facid: "38A001"</t>
  </si>
  <si>
    <t>L1_78</t>
  </si>
  <si>
    <t>['Product', 'Price']</t>
  </si>
  <si>
    <t>[['P0000005913', 1590.0], ['P0000006591', 999.0], ['P0000011163', 790.0]]</t>
  </si>
  <si>
    <t>Source78_0</t>
  </si>
  <si>
    <t>[['2015-07-01 00:00:01', 'order', 'U312622727', 'P0006944501', 1, 1069.0], ['2015-07-01 00:00:03', 'order', 'U239012343', 'P0006018073', 1, 1680.0], ['2015-07-01 00:00:19', 'order', 'U10007697373', 'P0002267974', 1, 285.0]]</t>
  </si>
  <si>
    <t>['Dates', 'Action', 'User', 'Product', 'Quantity', 'Price']</t>
  </si>
  <si>
    <t>ERROR: Error: ERROR:  syntax error at or near "User"
LINE 6:     User VARCHAR,
            ^</t>
  </si>
  <si>
    <t>L1_8</t>
  </si>
  <si>
    <t>Target1_8</t>
  </si>
  <si>
    <t>['index_track', 'track_id', 'dummy']</t>
  </si>
  <si>
    <t>[[1, 2359314, 1], [11, 2621486, 1], [12, 2621488, 1]]</t>
  </si>
  <si>
    <t>Use join on source tables</t>
  </si>
  <si>
    <t>Source8_0</t>
  </si>
  <si>
    <t>[[1316175, 1], [3885714, 1], [3091270, 1]]</t>
  </si>
  <si>
    <t>['track_id', 'dummy']</t>
  </si>
  <si>
    <t>Source8_1</t>
  </si>
  <si>
    <t>[[0, 1048594], [1, 2359314], [2, 1835030]]</t>
  </si>
  <si>
    <t>['index_track', 'track_id']</t>
  </si>
  <si>
    <t>L1_44</t>
  </si>
  <si>
    <t>['Country / territory of asylum/residence', 'Year']</t>
  </si>
  <si>
    <t>[['Albania', 211552], ['Australia', 6563431], ['Austria', 6958781]]</t>
  </si>
  <si>
    <t>Source44_0</t>
  </si>
  <si>
    <t>[['Canada', 'Djibouti', 2010, 'May', 17], ['Belgium', 'The former Yugoslav Rep. of Macedonia', 2007, 'May', 4], ['Ireland', 'Libya', 2013, 'January', 2]]</t>
  </si>
  <si>
    <t>['Country / territory of asylum/residence', 'Origin', 'Year', 'Month', 'Value']</t>
  </si>
  <si>
    <t>ERROR: Error: ERROR:  invalid input syntax for type integer: "*"
CONTEXT:  COPY source_0, line 26, column Value: "*"</t>
  </si>
  <si>
    <t>L1_62</t>
  </si>
  <si>
    <t>['Month', 'Water Use', 'Power Use']</t>
  </si>
  <si>
    <t>Source62_0</t>
  </si>
  <si>
    <t>L1_80</t>
  </si>
  <si>
    <t>Source80_0</t>
  </si>
  <si>
    <t>L1_99</t>
  </si>
  <si>
    <t>['user_id', 'timestamp', 'source', 'device', 'operative_system', 'test', 'price', 'converted']</t>
  </si>
  <si>
    <t>[[639459, '2015-05-02 13:45:32', 'ads_facebook', 'mobile', 'iOS', 0, 39, 0], [285124, '2015-03-26 18:28:13', 'seo-google', 'mobile', 'other', 1, 59, 0], [275927, '2015-03-13 07:06:45', 'seo-google', 'web', 'windows', 0, 39, 0]]</t>
  </si>
  <si>
    <t>Source99_0</t>
  </si>
  <si>
    <t>data procesessing error</t>
  </si>
  <si>
    <t>check p1 response, why not preprocesin g error</t>
  </si>
  <si>
    <t>L2_26</t>
  </si>
  <si>
    <t>Target2_26</t>
  </si>
  <si>
    <t>['user_id', 'time', 'bet', 'win', 'email', 'geo']</t>
  </si>
  <si>
    <t>[['user_1000', 5, 1, 0, 5, 5], ['user_900', 8, 2, 1, 8, 8], ['user_901', 5, 0, 0, 5, 5]]</t>
  </si>
  <si>
    <t>Source26_0</t>
  </si>
  <si>
    <t>[['user_943', 'Accumanst@gmail.com', 'Ижевск'], ['user_908', 'Advismowr@mail.ru', 'Ижевск'], ['user_962', 'Anachso@ukr.net', 'Краснодар']]</t>
  </si>
  <si>
    <t>['user_id', 'email', 'geo']</t>
  </si>
  <si>
    <t>Source26_1</t>
  </si>
  <si>
    <t>[['user_919', '[2019-01-01 14:06:51', nan, nan], ['user_973', '[2019-01-01 14:51:16', nan, nan], ['user_903', '[2019-01-01 16:31:16', nan, nan]]</t>
  </si>
  <si>
    <t>['user_id', 'time', 'bet', 'win']</t>
  </si>
  <si>
    <t>L2_44</t>
  </si>
  <si>
    <t>Target2_44</t>
  </si>
  <si>
    <t>['city', 'fare', 'ride_id']</t>
  </si>
  <si>
    <t>[['Amandaburgh', 23.072, 15], ['Barajasview', 28.754375, 16], ['Carriemouth', 27.250476190476192, 21]]</t>
  </si>
  <si>
    <t>[['Lake Jonathanshire', '2018-01-14 10:14:22', 13.83, 5739410935873], ['South Michelleport', '2018-03-04 18:24:09', 30.24, 2343912425577], ['Port Samanthamouth', '2018-02-24 04:29:00', 33.44, 2005065760003]]</t>
  </si>
  <si>
    <t>Source44_1</t>
  </si>
  <si>
    <t>L2_62</t>
  </si>
  <si>
    <t>Target2_62</t>
  </si>
  <si>
    <t>['city', 'driver_count']</t>
  </si>
  <si>
    <t>[['Amandaburgh', 12], ['Barajasview', 26], ['Carriemouth', 52]]</t>
  </si>
  <si>
    <t>Source62_1</t>
  </si>
  <si>
    <t>L2_80</t>
  </si>
  <si>
    <t>Target2_80</t>
  </si>
  <si>
    <t>['0', '1', '2', '3']</t>
  </si>
  <si>
    <t>[[0.8814461055685514, 0.5528350673993359, 0.424363111682073, -1.5633158532575984], [-2.154050040012661, 0.4643952008043402, 0.3803460852376078, 1.944852361758166], [2.4446149781602804, -0.3806431069606226, 0.06266350330003836, 2.058244993436092]]</t>
  </si>
  <si>
    <t>L2_99</t>
  </si>
  <si>
    <t>Target2_99</t>
  </si>
  <si>
    <t>Source99_1</t>
  </si>
  <si>
    <t>L3_25</t>
  </si>
  <si>
    <t>Target3_25</t>
  </si>
  <si>
    <t>['title', 'user_id', 'movie_id', 'rating', 'timestamp', 'age', 'occupation']</t>
  </si>
  <si>
    <t>[['$1,000,000 Duck (1971)', 1964.833333333333, 2031, 3.6666666666666665, 973809729.5, 30.16666666666667, 8.166666666666666], ["'Night Mother (1986)", 3879.5, 3112, 3.0, 966715936.75, 35.0, 1.5], ["'Til There Was You (1997)", 528.0, 779, 3.0, 980041013.0, 18.0, 17.0]]</t>
  </si>
  <si>
    <t>[[1, 'F', 1, 10, 48067], [2, 'M', 56, 16, 70072], [3, 'M', 25, 15, 55117]]</t>
  </si>
  <si>
    <t>['user_id', 'gender', 'age', 'occupation', 'zip']</t>
  </si>
  <si>
    <t>[[2619, 3798, 4, 973658301], [2825, 3424, 5, 972612877], [275, 1258, 5, 976592546]]</t>
  </si>
  <si>
    <t>['user_id', 'movie_id', 'rating', 'timestamp']</t>
  </si>
  <si>
    <t>Source25_2</t>
  </si>
  <si>
    <t>[[1, 'Toy Story (1995)', "Animation|Children's|Comedy"], [2, 'Jumanji (1995)', "Adventure|Children's|Fantasy"], [3, 'Grumpier Old Men (1995)', 'Comedy|Romance']]</t>
  </si>
  <si>
    <t>['movie_id', 'title', 'genres']</t>
  </si>
  <si>
    <t>L3_43</t>
  </si>
  <si>
    <t>Target3_43</t>
  </si>
  <si>
    <t>['type', 'Total Students', 'Total School Budget', 'Average Math Score', 'Average Reading Score', 'School Size']</t>
  </si>
  <si>
    <t>[['Charter', 1842.5, 1093757.5, 83.26176215406309, 83.87693735977467, 1842.5], ['District', 3869.25, 2485498.5, 76.93311232228885, 81.03334502384055, 3869.25]]</t>
  </si>
  <si>
    <t>Source43_1</t>
  </si>
  <si>
    <t>L3_61</t>
  </si>
  <si>
    <t>Target3_61</t>
  </si>
  <si>
    <t>['Timepoint', 'Capomulin', 'Ceftamin', 'Infubinol', 'Ketapril', 'Naftisol', 'Placebo', 'Propriva', 'Ramicane', 'Stelasyn', 'Zoniferol']</t>
  </si>
  <si>
    <t>[[0.0, 45.0, 45.0, 45.0, 45.0, 45.0, 45.0, 45.0, 45.0, 45.0, 45.0], [5.0, 44.26608641544399, 46.5030509580381, 47.06200103308799, 47.38917452114347, 46.7960980984913, 47.12558918843749, 47.24896703293201, 43.944859399664004, 47.527451674148, 46.851818267095844], [10.0, 43.08429058188399, 48.285125215944994, 49.40390857087143, 49.582268974622714, 48.694209604047636, 49.4233294786875, 49.10154084291304, 42.53195729572083, 49.46384376145653, 48.68988143470909]]</t>
  </si>
  <si>
    <t>Source61_0</t>
  </si>
  <si>
    <t>[['f234', 'Stelasyn'], ['x402', 'Stelasyn'], ['a492', 'Stelasyn']]</t>
  </si>
  <si>
    <t>['Mouse ID', 'Drug']</t>
  </si>
  <si>
    <t>[1.0, 0.2, 0.4, 0.2, 0.4, 0.4, 0.2, 0.2,                                                                               0.4, 0.4, 0.4]</t>
  </si>
  <si>
    <t>Source61_1</t>
  </si>
  <si>
    <t>[['b128', 0, 45.0, 0], ['f932', 0, 45.0, 0], ['g107', 0, 45.0, 0]]</t>
  </si>
  <si>
    <t>['Mouse ID', 'Timepoint', 'Tumor Volume (mm3)', 'Metastatic Sites']</t>
  </si>
  <si>
    <t>L3_8</t>
  </si>
  <si>
    <t>Target3_8</t>
  </si>
  <si>
    <t>['Wrestler', '2013 Wins', '2013 Losses', '2013 Draws', '2014 Wins', '2014 Losses', '2014 Draws', '2015 Wins', '2015 Losses', '2015 Draws', '2016 Wins', '2016 Losses', '2016 Draws']</t>
  </si>
  <si>
    <t>[['Dean Ambrose', 70, 134, 4, 129, 36, 2, 150, 63, 5, 133, 67, 4], ['Seth Rollins', 50, 150, 4, 87, 105, 4, 51, 124, 1, 39, 75, 4], ['Randy Orton', 129, 63, 8, 33, 87, 5, 81, 10, 1, 39, 21, 0]]</t>
  </si>
  <si>
    <t>[['Daniel Bryan', 177, 37, 6], ['Dean Ambrose', 70, 134, 4], ['Antonio Cesaro', 80, 126, 1]]</t>
  </si>
  <si>
    <t>['Wrestler', 'Wins', 'Losses', 'Draws']</t>
  </si>
  <si>
    <t>[['Dean Ambrose', 133, 67, 4], ['Kevin Owens', 61, 130, 2], ['Tyler Breeze', 17, 163, 2]]</t>
  </si>
  <si>
    <t>Source8_2</t>
  </si>
  <si>
    <t>[['Dean Ambrose', 150, 63, 5], ['Roman Reigns', 187, 19, 7], ['Cesaro', 117, 69, 1]]</t>
  </si>
  <si>
    <t>Source8_3</t>
  </si>
  <si>
    <t>[['Dolph Ziggler', 134, 60, 2], ['Seth Rollins', 87, 105, 4], ['Jimmy Uso', 143, 43, 4]]</t>
  </si>
  <si>
    <t>L3_98</t>
  </si>
  <si>
    <t>Target3_98</t>
  </si>
  <si>
    <t>['MOTATE_V', 'count']</t>
  </si>
  <si>
    <t>[['ACCIDENTES, ENVENENAMIENTO Y VIOLENCIAS', 2990865], ['APOYO A SERVICIOS DE MEDICINA GENERAL', 92665], ['GINECO-OBSTETRICA', 9068678]]</t>
  </si>
  <si>
    <t>Source98_0</t>
  </si>
  <si>
    <t>[['ASSSA000025', -1, 1, 2009, 2919, nan, 'ACCIDENTES, ENVENENAMIENTO Y VIOLENCIAS'], ['ASSSA000025', 1, 2, 2009, 2236, 'URGENCIA CALIFICADA', 'MEDICA'], ['ASSSA000025', 1, 3, 2009, 38, 'URGENCIA CALIFICADA', 'QUIRURGICA']]</t>
  </si>
  <si>
    <t>['CLUES', 'TIPOURGENCIA', 'MOTATE', 'YEAR', 'count', 'TIPOURGENCIA_V', 'MOTATE_V']</t>
  </si>
  <si>
    <t>ERROR: Error: ERROR:  invalid input syntax for type integer: "HGZ"
CONTEXT:  COPY source98_1, line 10, column CLAVE DE TIPOLOGIA: "HGZ"</t>
  </si>
  <si>
    <t>Source98_1</t>
  </si>
  <si>
    <t>[['ASDIF000011', 'AGUASCALIENTES', 1, 'AGUASCALIENTES', 1, 'AGUASCALIENTES', 1, 'AGUASCALIENTES', 1, 'SISTEMA NACIONAL PARA EL DESARROLLO INTEGRAL DE LA FAMILIA', 'DIF', 'DIF', 'DE ASISTENCIA SOCIAL', 4, 'NO ESPECIFICADO', 99, 'NO ESPECIFICADO', 99, nan, nan, 0, 0, 0, 0, 0, 0, 'DIF AGUASCALIENTES', nan, nan, 'MAHATMA GANDHI ESQUINA PARAGUAY', ' ', nan, nan, nan, 'FRACCIONAMIENTO AGRICULTURA', nan, nan, nan, nan, 'MAHATMA GANDHI ESQ. PARAGUAY, FRACC. AGRICULTURA', 20234.0, 'EN OPERACION', 1, nan, nan, nan, nan, 'XAXX111111', nan, nan, nan, nan, nan, nan, nan, nan, nan, nan, nan, -102.309, 21.8677, 'NO ESPECIFICADO', 99, 'NO APLICA', 6, 'NO TIENE', 5, nan, nan, 'URBANO', 2.0, 'NO ESPECIFICADO', 6.0, nan, nan, 'CAMBIO', '2012-01-03', 'NO CERTIFICADO', 'NO ESPECIFICADO', nan], ['ASDIF000023', 'AGUASCALIENTES', 1, 'COSÍO', 4, 'COSIO', 1, 'RINCÓN DE ROMOS', 2, 'SISTEMA NACIONAL PARA EL DESARROLLO INTEGRAL DE LA FAMILIA', 'DIF', 'DIF', 'DE ASISTENCIA SOCIAL', 4, 'NO ESPECIFICADO', 99, 'NO ESPECIFICADO', 99, nan, nan, 0, 0, 0, 0, 0, 0, 'DIF COSÍO', nan, nan, 'HIDALGO', ' 42', nan, nan, nan, nan, nan, nan, nan, nan, 'HIDALGO 42', 99999.0, 'EN OPERACION', 1, nan, nan, nan, nan, 'XAXX111111', nan, nan, nan, nan, nan, nan, nan, nan, nan, nan, nan, -102.264, 22.3399, 'NO ESPECIFICADO', 99, 'NO APLICA', 6, 'NO TIENE', 5, nan, nan, 'URBANO', 2.0, 'NO ESPECIFICADO', 6.0, nan, nan, 'CAMBIO', '2012-01-03', 'NO CERTIFICADO', 'NO ESPECIFICADO', nan], ['ASDIF000035', 'AGUASCALIENTES', 1, 'RINCÓN DE ROMOS', 7, 'RINCON DE ROMOS', 1, 'RINCÓN DE ROMOS', 2, 'SISTEMA NACIONAL PARA EL DESARROLLO INTEGRAL DE LA FAMILIA', 'DIF', 'DIF', 'DE ASISTENCIA SOCIAL', 4, 'NO ESPECIFICADO', 99, 'NO ESPECIFICADO', 99, nan, nan, 0, 0, 0, 0, 0, 0, 'DIF RINCÓN DE ROMOS', nan, nan, 'ÁLVARO OBREGÓN', ' 320', nan, nan, nan, nan, nan, nan, nan, nan, 'ALVARO OBREGON 320', 20400.0, 'EN OPERACION', 1, nan, nan, nan, nan, 'XAXX111111', nan, nan, nan, nan, nan, nan, nan, nan, nan, nan, nan, -102.28399999999999, 22.2028, 'NO ESPECIFICADO', 99, 'NO APLICA', 6, 'NO TIENE', 5, nan, nan, 'URBANO', 2.0, 'NO ESPECIFICADO', 6.0, nan, nan, 'CAMBIO', '2012-01-03', 'NO CERTIFICADO', 'NO ESPECIFICADO', nan]]</t>
  </si>
  <si>
    <t>['CLUES', 'NOMBRE DE LA ENTIDAD', 'CLAVE DE LA ENTIDAD', 'NOMBRE DEL MUNICIPIO', 'CLAVE DEL MUNICIPIO', 'NOMBRE DE LA LOCALIDAD', 'CLAVE DE LA LOCALIDAD', 'NOMBRE DE LA JURISDICCION', 'CLAVE DE LA JURISDICCION', 'NOMBRE DE LA INSTITUCION', 'CLAVE DE LA INSTITUCION', 'CLAVE CORTA DE LA INSTITUCION', 'NOMBRE TIPO ESTABLECIMIENTO', 'CLAVE TIPO ESTABLECIMIENTO', 'NOMBRE DE TIPOLOGIA', 'CLAVE DE TIPOLOGIA', 'NOMBRE DE SUBTIPOLOGIA', 'CLAVE DE SUBTIPOLOGIA', 'CLAVE SCIAN', 'DESCRIPCION CLAVE SCIAN', 'CONSULTORIOS DE MED GRAL', 'CONSULTORIOS EN OTRAS AREAS', 'TOTAL DE CONSULTORIOS', 'CAMAS EN AREA DE HOS', 'CAMAS EN OTRAS AREAS', 'TOTAL DE CAMAS', 'NOMBRE DE LA UNIDAD', 'CLAVE DE VIALIDAD', 'TIPO DE VIALIDAD', 'VIALIDAD', 'NUMERO EXTERIOR', 'NUMERO INTERIOR', 'CLAVE DEL TIPO DE ASENTAMIENTO', 'TIPO DE ASENTAMIENTO', 'ASENTAMIENTO', 'ENTRE TIPO DE VIALIDAD 1', 'ENTRE VIALIDAD 1', 'ENTRE TIPO DE VIALIDAD 2', 'ENTRE VIALIDAD 2', 'OBSERVACIONES DE LA DIRECCION', 'CODIGO POSTAL', 'ESTATUS DE OPERACION', 'CLAVE DE ESTATUS DE OPERACION', 'TIENE LICENCIA SANITARIA', 'NUMERO DE LICENCIA SANITARIA', 'TIENE AVISO DE FUNCIONAMIENTO', 'FECHA EMISION AV. FUN.', 'RFC DEL ESTABLECIMIENTO', 'FECHA DE CONSTRUCCION', 'FECHA DE INICIO DE OPERACION', 'UNIDAD MOVIL MARCA', 'UNIDAD MOVIL MODELO', 'UNIDAD MOVIL CAPACIDAD', 'UNIDAD MOVIL PROGRAMA', 'UNIDAD MOVIL CLAVE PROGRAMA', 'UNIDAD MOVIL TIPO', 'UNIDAD MOVIL CLAVE TIPO', 'UNIDAD MOVIL TIPOLOGIA', 'UNIDAD MOVIL CLAVE TIPOLOGIA', 'LONGITUD', 'LATITUD', 'NOMBRE DE LA INS ADM', 'CLAVE DE LA INS ADM', 'NIVEL ATENCION', 'CLAVE NIVEL ATENCION', 'ESTATUS ACREDITACION', 'CLAVE ESTATUS ACREDITACION', 'ACREDITACIONES', 'SUBACREDITACION', 'ESTRATO UNIDAD', 'CLAVE ESTRATO UNIDAD', 'TIPO OBRA', 'CLAVE TIPO OBRA', 'HORARIO DE ATENCION', 'AREAS Y SERVICIOS', 'ULTIMO MOVIMIENTO', 'FECHA ULTIMO MOVIMIENTO', 'CERTIFICACION CSG', 'TIPO CERTIFICACION', 'VIGENCIA CERTIFICACION']</t>
  </si>
  <si>
    <t>L4_25</t>
  </si>
  <si>
    <t>Target4_25</t>
  </si>
  <si>
    <t>['country_code', 'station', 'datetime', 'obs_type', 'obs_value', 'TMAX_F', 'month']</t>
  </si>
  <si>
    <t>[['AGE', 935, 935, 935, 935, 935, 935], ['ASN', 3319, 3319, 3319, 3319, 3319, 3319], ['AU', 1300, 1300, 1300, 1300, 1300, 1300]]</t>
  </si>
  <si>
    <t>[['1865-02-11', 'SZ000006717', 'TMAX', -22.2, -7.960000000000001, 2, 'SZ'], ['1865-02-10', 'SZ000006717', 'TMAX', -18.8, -1.8400000000000036, 2, 'SZ'], ['1865-07-28', 'USC00288878', 'TMAX', -17.8, -0.03999999999999915, 7, 'USC']]</t>
  </si>
  <si>
    <t>['datetime', 'station', 'obs_type', 'obs_value', 'TMAX_F', 'month', 'country_code']</t>
  </si>
  <si>
    <t>[['1864-02-26', 'SZ000006717', 'TMAX', -34.0, -29.200000000000006, 2, 'SZ'], ['1864-02-08', 'SZ000006717', 'TMAX', -17.4, 0.6800000000000033, 2, 'SZ'], ['1864-02-17', 'CA006158350', 'TMAX', -16.7, 1.9400000000000013, 2, 'CA']]</t>
  </si>
  <si>
    <t>[['1866-01-07', 'CA006158350', 'TMAX', -21.1, -5.980000000000004, 1, 'CA'], ['1866-01-08', 'CA006110549', 'TMAX', -16.7, 1.9400000000000013, 1, 'CA'], ['1866-02-15', 'CA006110549', 'TMAX', -16.7, 1.9400000000000013, 2, 'CA']]</t>
  </si>
  <si>
    <t>Source25_3</t>
  </si>
  <si>
    <t>[['1867-12-12', 'CA006106362', 'TMAX', -21.7, -7.060000000000002, 12, 'CA'], ['1867-12-12', 'CA006101872', 'TMAX', -20.0, -4.0, 12, 'CA'], ['1867-12-13', 'CA006106362', 'TMAX', -19.4, -2.9200000000000017, 12, 'CA']]</t>
  </si>
  <si>
    <t>L4_43</t>
  </si>
  <si>
    <t>Target4_43</t>
  </si>
  <si>
    <t>['company', 'title', 'location', 'summary', 'salary', 'href', 'rate', 'reviews', 'org_salary_period']</t>
  </si>
  <si>
    <t>[['3Q Digital', 1, 1, 1, 1, 1, 1, 1, 1], ['AAD Partners', 2, 2, 2, 2, 2, 2, 2, 2], ['AFI Environmental', 1, 1, 1, 1, 1, 1, 1, 1]]</t>
  </si>
  <si>
    <t>[['Data Scientist', 'Crossover', 'Remote', 'Take ownership of the whole end-to-end machine learning systems - from data processing, training, optimization to real-time monitoring and maintenance....', 100000, 'https://www.indeed.com/rc/clk?jk=7c9797985b6064a4&amp;fccid=ad49423ccbcc9b48&amp;vjs=3', 31.8, 19.0, 'year'], ['Intern - Fellow (Data Scientist) Summer 2019', 'BNSF', 'None', 'A Data Scientist Intern-Fellow’s work in the BNSF Operations Research and Advanced Data Analytics Group may include, but is not limited to, the following:....', 49920, 'https://www.indeed.com/rc/clk?jk=a768e60b8871dd57&amp;fccid=0e5502aac81988bd&amp;vjs=3', 43.2, 799.0, 'year'], ['Data Scientist', 'Encore Fire Protection', 'Pawtucket, RI', 'For those that are truly in the data analytics space, the title of Data Scientist may be not exactly right for the role at hand....', 67500, 'https://www.indeed.com/rc/clk?jk=97695daa8a80e551&amp;fccid=ab8bffbe3844bacf&amp;vjs=3', 54.0, 4.0, 'year']]</t>
  </si>
  <si>
    <t>['title', 'company', 'location', 'summary', 'salary', 'href', 'rate', 'reviews', 'org_salary_period']</t>
  </si>
  <si>
    <t>[['Data Scientist', 'Biz League inc', 'Broomfield, CO', 'Data scientists use data and analytical ability to find and interpret rich data sources; Manage large amounts of data despite hardware, software, and bandwidth...', 109980, 'https://www.indeed.com/company/Biz-League-inc/jobs/Data-Scientist-653364c1c692d3b4?fccid=0be3817def992013&amp;vjs=3', 52.2, '6,388', 'hour'], ['Data Scientist', 'SSN Group', 'Houston, TX', 'Demonstrated experience and accomplishments in the use of data mining, machine learning, and predictive analytics to address real-life problems....', 136300, 'https://www.indeed.com/company/SSN-GROUP/jobs/Data-Scientist-cb9e9a4c5e2fd392?fccid=eb5bbf09b8a7f035&amp;vjs=3', 27.0, '2.0', 'hour'], ['Full Time-Data Scientist-(Durant, OK)', 'Jackson Lewis', 'Durant, OK', 'To join a growing team of data scientists who are building the future of workforce law and legal analytics. 2 - 3 years of experience writing code and libraries...', 24440, 'https://www.indeed.com/company/Jackson-Lewis/jobs/Data-Scientist-ddafad30dc681ba3?fccid=e54290448239033c&amp;vjs=3', 41.4, '16.0', 'hour']]</t>
  </si>
  <si>
    <t>Source43_2</t>
  </si>
  <si>
    <t>[['Lead Data Scientist', 'Lenmar Consulting, Inc.', 'New York, NY', 'Primary focus is to analyze available structured and un-structured information, apply data mining techniques, perform statistical analysis, and provide...', 207387.5, 'https://www.indeed.com/company/Lenmar-Consulting/jobs/Lead-Data-Scientist-1774446e8a5b29c5?fccid=3aaedf4a3bfe74b4&amp;vjs=3', 44.4, 63, 'day'], ['Data Scientist (Pystack, Pyspark, AWS)', 'Workbridge Associates', 'Chicago, IL', 'Using Artificial Intelligence, Machine Learning, and Deep Learning to build models for clients\n Working directly with clients to fulfill their needs', 24675.0, 'https://www.indeed.com/rc/clk?jk=90eb19a4522a1554&amp;fccid=a6920e0a635e5c4e&amp;vjs=3', 41.4, 40, 'day'], ['Data Scientist (Deep Learning)', 'Workbridge Associates', 'Chicago, IL', 'They are using Machine Learning, Deep Learning and Artificial Intelligence to run analytics on advertisements and figure out the ROI on those ads.', 23500.0, 'https://www.indeed.com/rc/clk?jk=e3d8d7fd1e8e1985&amp;fccid=a6920e0a635e5c4e&amp;vjs=3', 41.4, 40, 'day']]</t>
  </si>
  <si>
    <t>Source43_3</t>
  </si>
  <si>
    <t>[['DATA ENTRY OPERATOR', 'University of Washington', 'Seattle, WA', 'The mission of University of Washington Medicine is to improve the health of the public by advancing medical knowledge, providing outstanding primary and...', 36954, 'https://www.indeed.com/rc/clk?jk=575e2692cb83632b&amp;fccid=142783ac2edbe56b&amp;vjs=3', 52.2, '890.0', 'month'], ['BIOLOGICAL ADMINISTRATOR III - SES - 64026333', 'The State of Florida', 'None', 'Work with the Chief of Laboratory Services and other BOL Laboratory Directors to ensure a comprehensive, quality laboratory system with the BOL for public...', 67584, 'https://www.indeed.com/rc/clk?jk=081db22603b4e343&amp;fccid=0a10ade3465aa10f&amp;vjs=3', 43.2, '1,067', 'month'], ['MEDICAL LABORATORY SCIENTIST I - 64067592', 'The State of Florida', 'None', 'Candidates claiming Veterans’ Preference must attach supporting documentation with each submission that includes character of service (for example, DD Form...', 31122, 'https://www.indeed.com/rc/clk?jk=b6dcd8b27a9aff9f&amp;fccid=0a10ade3465aa10f&amp;vjs=3', 43.2, '1,067', 'month']]</t>
  </si>
  <si>
    <t>L4_61</t>
  </si>
  <si>
    <t>Target4_61</t>
  </si>
  <si>
    <t>['Población resto', 'N.°', 'Municipio', 'Departamento', 'Población cabecera', 'Población Total']</t>
  </si>
  <si>
    <t>[['10\xa0016', 1, 1, 1, 1, 1], ['10\xa0030', 1, 1, 1, 1, 1], ['10\xa0070', 1, 1, 1, 1, 1]]</t>
  </si>
  <si>
    <t>Source_0</t>
  </si>
  <si>
    <t>[[72, 'Los Patios', 'Norte de Santander', '94\xa0847', '2\xa0373', '97\xa0220'], [73, 'Arauca', 'Arauca', '83\xa0256', '13\xa0558', '96\xa0814'], [74, 'Caucasia', 'Antioquia', '84\xa0654', '10\xa0773', '95\xa0427']]</t>
  </si>
  <si>
    <t>['N.°', 'Municipio', 'Departamento', 'Población cabecera', 'Población resto', 'Población Total']</t>
  </si>
  <si>
    <t>Source_1</t>
  </si>
  <si>
    <t>[[140, 'Leticia', 'Amazonas', '35\xa0191', '14\xa0546', '49\xa0737'], [141, 'San Juan del Cesar', 'La Guajira', '35\xa0079', '14\xa0505', '49\xa0584'], [142, 'Dagua', 'Valle del Cauca', '11\xa0025', '37\xa0990', '49\xa0015']]</t>
  </si>
  <si>
    <t>Source_2</t>
  </si>
  <si>
    <t>[[1, 'Bogotá', 'Cundinamarca', '7\xa0715\xa0778', '28\xa0177', '7\xa0743\xa0955'], [2, 'Medellín', 'Antioquia', '2\xa0490\xa0164', '43\xa0260', '2\xa0533\xa0424'], [3, 'Cali', 'Valle del Cauca', '2\xa0205\xa0680', '46\xa0936', '2\xa0252\xa0616']]</t>
  </si>
  <si>
    <t>Source_3</t>
  </si>
  <si>
    <t>[[33, 'Uribia', 'La Guajira', '8\xa0989', '181\xa0095', '190\xa0084'], [34, 'Maicao', 'La Guajira', '118\xa0889', '66\xa0183', '185\xa0072'], [35, 'Piedecuesta', 'Santander', '150\xa0483', '32\xa0476', '182\xa0959']]</t>
  </si>
  <si>
    <t>L4_8</t>
  </si>
  <si>
    <t>Target4_8</t>
  </si>
  <si>
    <t>['des_zona', 'COD_PERSONA_x', 'COD_AREANEGO']</t>
  </si>
  <si>
    <t>[['Z. ARABA - BIZKAIA', 15614314, 13], ['Z. ASTURIAS', 15555022, 13], ['Z. BALEARES', 15510840, 13]]</t>
  </si>
  <si>
    <t>[[364, 13, 52, 9275, 24.0, 'A'], [672, 13, 40, 6130, 24.0, 'R'], [728, 6057, 68, 8248, 23.0, 'I']]</t>
  </si>
  <si>
    <t>['COD_PERSONA', 'COD_AREANEGO', 'COD_EDAD', 'COD_OFICIPAL', 'COD_SEGLOBAL', 'estado_cli']</t>
  </si>
  <si>
    <t>[[1, 70, 'BANCO BILBAO VIZCAYA ARGENTARIA', nan, nan, nan, nan, 0, nan, nan, nan], [2004, 40, 'AGREGADO FICT. CARTERA DE TITULOS', nan, nan, nan, nan, 0, nan, nan, nan], [2221, 40, 'FRANCIA (R)', nan, nan, nan, nan, 0, nan, nan, nan]]</t>
  </si>
  <si>
    <t>['COD_OFICI', 'COD_NIVELOFIC', 'des_ofici', 'cod_cbc', 'des_cbc', 'cod_zona', 'des_zona', 'COD_TERRIT', 'des_territ', 'cod_areanego', 'des_areanego']</t>
  </si>
  <si>
    <t>[[24873185, 8644, '31JUL1999', 35361.97, 35361.97, 15891.81], [366059069, 9066, '21DEC2016', 341936.7, 341936.7, 339935.22], [250661304, 9507, '30JAN2015', 15000.0, 15000.0, 2125.34]]</t>
  </si>
  <si>
    <t>['COD_IDCONTRA', 'COD_PERSONA', 'FAP_CONTR', 'IMP_CAPDIS', 'IMP_CAPINI', 'IMP_CAPPEN']</t>
  </si>
  <si>
    <t>[[364, 'A', 1, 'TIT', 7667157], [364, 'A', 1, 'TIT', 44521392], [364, 'A', 1, 'TIT', 44521393]]</t>
  </si>
  <si>
    <t>['COD_PERSONA', 'XTI_ESTADO', 'QNU_ORDTIT', 'COD_INTERV', 'COD_IDCONTRA']</t>
  </si>
  <si>
    <t>L4_98</t>
  </si>
  <si>
    <t>Target4_98</t>
  </si>
  <si>
    <t>['PassengerId', 'Survived', 'Pclass', 'Name', 'Sex', 'Age', 'SibSp', 'Parch', 'Ticket', 'Fare', 'Cabin', 'Embarked', 'Fare_x', 'Fare_y']</t>
  </si>
  <si>
    <t>[[1, 0, 3, 'Braund, Mr. Owen Harris', 'male', 22.0, 1, 0, 'A/5 21171', 7.25, nan, 'S', 10.5, 263.0], [5, 0, 3, 'Allen, Mr. William Henry', 'male', 35.0, 0, 0, '373450', 8.05, nan, 'S', 10.5, 263.0], [6, 0, 3, 'Moran, Mr. James', 'male', nan, 0, 0, '330877', 8.4583, nan, 'Q', 10.5, 263.0]]</t>
  </si>
  <si>
    <t>[[1, 0, 3, 'Braund, Mr. Owen Harris', 'male', 22.0, 1, 0, 'A/5 21171', 7.25, nan, 'S'], [2, 1, 1, 'Cumings, Mrs. John Bradley (Florence Briggs Thayer)', 'female', 38.0, 1, 0, 'PC 17599', 71.2833, 'C85', 'C'], [3, 1, 3, 'Heikkinen, Miss. Laina', 'female', 26.0, 0, 0, 'STON/O2. 3101282', 7.925, nan, 'S']]</t>
  </si>
  <si>
    <t>['PassengerId', 'Survived', 'Pclass', 'Name', 'Sex', 'Age', 'SibSp', 'Parch', 'Ticket', 'Fare', 'Cabin', 'Embarked']</t>
  </si>
  <si>
    <t>There is only one source but shows length 4</t>
  </si>
  <si>
    <t>failed with data preprocessing error</t>
  </si>
  <si>
    <t>L5_25</t>
  </si>
  <si>
    <t>Target5_25</t>
  </si>
  <si>
    <t>['longitude', 'missing_count', 'state', 'latitude']</t>
  </si>
  <si>
    <t>[[-157.5311, 5.0, 5.0, 5.0], [-152.2683, 5.0, 5.0, 5.0], [-122.1269, 4.0, 4.0, 4.0]]</t>
  </si>
  <si>
    <t>[[0, 'Alabama', 32.799, -86.8073], [0, 'Alaska', 61.385, -152.2683], [0, 'Arizona', 33.7712, -111.3877]]</t>
  </si>
  <si>
    <t>['missing_count', 'state', 'latitude', 'longitude']</t>
  </si>
  <si>
    <t>Source_4</t>
  </si>
  <si>
    <t>L5_43</t>
  </si>
  <si>
    <t>Target5_43</t>
  </si>
  <si>
    <t>['Ship_Mode', 'Ord_id', 'Prod_id', 'Ship_id', 'Cust_id', 'Sales']</t>
  </si>
  <si>
    <t>[['DELIVERY TRUCK', 583, 583, 583, 583, 583], ['EXPRESS AIR', 500, 500, 500, 500, 500], ['REGULAR AIR', 3116, 3116, 3116, 3116, 3116]]</t>
  </si>
  <si>
    <t>[['13-10-2010', 'LOW', 'Ord_1'], ['01-10-2012', 'HIGH', 'Ord_2'], ['10-07-2011', 'HIGH', 'Ord_3']]</t>
  </si>
  <si>
    <t>['Order_Date', 'Order_Priority', 'Ord_id']</t>
  </si>
  <si>
    <t>[['MUHAMMED MACINTYRE', 'NUNAVUT', 'NUNAVUT', 'SMALL BUSINESS', 'Cust_1'], ['BARRY FRENCH', 'NUNAVUT', 'NUNAVUT', 'CONSUMER', 'Cust_2'], ['CLAY ROZENDAL', 'NUNAVUT', 'NUNAVUT', 'CORPORATE', 'Cust_3']]</t>
  </si>
  <si>
    <t>['Customer_Name', 'Province', 'Region', 'Customer_Segment', 'Cust_id']</t>
  </si>
  <si>
    <t>[['REGULAR AIR', '20-10-2010', 'SHP_1'], ['DELIVERY TRUCK', '02-10-2012', 'SHP_2'], ['REGULAR AIR', '03-10-2012', 'SHP_3']]</t>
  </si>
  <si>
    <t>['Ship_Mode', 'Ship_Date', 'Ship_id']</t>
  </si>
  <si>
    <t>[['OFFICE SUPPLIES', 'STORAGE &amp; ORGANIZATION', 'Prod_1'], ['OFFICE SUPPLIES', 'APPLIANCES', 'Prod_2'], ['OFFICE SUPPLIES', 'BINDERS AND BINDER ACCESSORIES', 'Prod_3']]</t>
  </si>
  <si>
    <t>['Product_Category', 'Product_Sub_Category', 'Prod_id']</t>
  </si>
  <si>
    <t>[['Ord_5446', 'Prod_16', 'SHP_7609', 'Cust_1818', 136.81, 0.01, 23, -30.51, 3.6, 0.56], ['Ord_5406', 'Prod_13', 'SHP_7549', 'Cust_1818', 42.27, 0.01, 13, 4.56, 0.93, 0.54], ['Ord_5446', 'Prod_4', 'SHP_7610', 'Cust_1818', 4701.69, 0.0, 26, 1148.9, 2.5, 0.59]]</t>
  </si>
  <si>
    <t>['Ord_id', 'Prod_id', 'Ship_id', 'Cust_id', 'Sales', 'Discount', 'Order_Quantity', 'Profit', 'Shipping_Cost', 'Product_Base_Margin']</t>
  </si>
  <si>
    <t>L5_61</t>
  </si>
  <si>
    <t>Target5_61</t>
  </si>
  <si>
    <t>['Time', 'Date', 'Room', 'Room_Capacity', 'Module', 'Registered_Students']</t>
  </si>
  <si>
    <t>[]</t>
  </si>
  <si>
    <t>[[nan, nan, nan, nan, nan, nan], [nan, nan, nan, nan, nan, nan], [nan, nan, nan, nan, nan, nan]]</t>
  </si>
  <si>
    <t>L5_8</t>
  </si>
  <si>
    <t>Target5_8</t>
  </si>
  <si>
    <t>['school_name', 'math_score']</t>
  </si>
  <si>
    <t>[['Bailey High School', 1714], ['Cabrera High School', 1858], ['Figueroa High School', 2949]]</t>
  </si>
  <si>
    <t>L6_0</t>
  </si>
  <si>
    <t>Target6_0</t>
  </si>
  <si>
    <t>['movie_display_name',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t>
  </si>
  <si>
    <t>[['Jurassic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t>
  </si>
  <si>
    <t>[['The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t>
  </si>
  <si>
    <t>[['Lincoln',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t>
  </si>
  <si>
    <t>[["Ender's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t>
  </si>
  <si>
    <t>[['Accidental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t>
  </si>
  <si>
    <t>[['Nanny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t>
  </si>
  <si>
    <t>Source_5</t>
  </si>
  <si>
    <t>[['Jurassic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t>
  </si>
  <si>
    <t>Source_6</t>
  </si>
  <si>
    <t>[['Transformers: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t>
  </si>
  <si>
    <t>Source_7</t>
  </si>
  <si>
    <t>[['RoboCop',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t>
  </si>
  <si>
    <t>L6_27</t>
  </si>
  <si>
    <t>Target6_27</t>
  </si>
  <si>
    <t>['States', '2008', 'Unemployment Rate', '2008_3', '2009_x', '2009_y', '2010_x', '2010_y']</t>
  </si>
  <si>
    <t>[['UNITED STATES', 50303.0, 5.8, 50303.0, nan, nan, nan, nan], ['ALABAMA', 44476.0, 5.7, 44476.0, nan, nan, nan, nan], ['ALASKA', 63989.0, 6.7, 63989.0, nan, nan, nan, nan]]</t>
  </si>
  <si>
    <t>[['UNITED STATES', 9.3], ['ALABAMA', 11.0], ['ALASKA', 7.7]]</t>
  </si>
  <si>
    <t>['States', 'Unemployment Rate']</t>
  </si>
  <si>
    <t>[['UNITED STATES', 49777], ['ALABAMA', 39980], ['ALASKA', 61604]]</t>
  </si>
  <si>
    <t>['States', '2009']</t>
  </si>
  <si>
    <t>[['UNITED STATES', 49276], ['ALABAMA', 40933], ['ALASKA', 57848]]</t>
  </si>
  <si>
    <t>['States', '2010']</t>
  </si>
  <si>
    <t>[['UNITED STATES', 50303], ['ALABAMA', 44476], ['ALASKA', 63989]]</t>
  </si>
  <si>
    <t>['States', '2008']</t>
  </si>
  <si>
    <t>[['UNITED STATES', 9.6], ['ALABAMA', 10.5], ['ALASKA', 7.9]]</t>
  </si>
  <si>
    <t>Source_8</t>
  </si>
  <si>
    <t>[['UNITED STATES', 5.8], ['ALABAMA', 5.7], ['ALASKA', 6.7]]</t>
  </si>
  <si>
    <t>L1_81</t>
  </si>
  <si>
    <t>['provider_zip_code', 'provider_id', 'average_covered_charges', 'average_total_payments', 'average_medicare_payments']</t>
  </si>
  <si>
    <t>[[1040.0, 220024.0, 10606.582173913042, 7722.363043478259, 6745.816086956524], [1060.0, 220015.0, 18174.413846153846, 8546.349615384617, 7461.547692307691], [1069.0, 220030.0, 14887.069375, 5935.894375, 4975.089375000001]]</t>
  </si>
  <si>
    <t>[[24683.9, 8551.79, 9546.01, '917 - POISONING &amp; TOXIC EFFECTS OF DRUGS W MCC', 'MI - Flint', 'FLINT', 230141, 'MCLAREN FLINT', 'MI', '401 S BALLENGER HIGHWAY', 48532, 72], [83232.11, 12731.96, 15673.73, '470 - MAJOR JOINT REPLACEMENT OR REATTACHMENT OF LOWER EXTREMITY W/O MCC', 'PA - Philadelphia', 'DREXEL HILL', 390081, 'DELAWARE COUNTY MEMORIAL HOSPITAL', 'PA', '501 NORTH LANSDOWNE AVE', 19026, 84], [47055.54, 7643.38, 8908.15, '418 - LAPAROSCOPIC CHOLECYSTECTOMY W/O C.D.E. W CC', 'TX - Victoria', 'VICTORIA', 450023, 'CITIZENS MEDICAL CENTER', 'TX', '2701 HOSPITAL DRIVE', 77901, 13]]</t>
  </si>
  <si>
    <t>L1_82</t>
  </si>
  <si>
    <t>['conservation_status', 'scientific_name']</t>
  </si>
  <si>
    <t>[['Endangered', 11], ['In Recovery', 1], ['Species of Concern', 84]]</t>
  </si>
  <si>
    <t>[['Mammal', 'Clethrionomys gapperi gapperi', "Gapper's Red-Backed Vole", nan], ['Mammal', 'Bos bison', 'American Bison, Bison', nan], ['Mammal', 'Bos taurus', 'Aurochs, Aurochs, Domestic Cattle (Feral), Domesticated Cattle', nan]]</t>
  </si>
  <si>
    <t>['category', 'scientific_name', 'common_names', 'conservation_status']</t>
  </si>
  <si>
    <t>L1_83</t>
  </si>
  <si>
    <t>Target1_83</t>
  </si>
  <si>
    <t>L1_86</t>
  </si>
  <si>
    <t>['neighbourhood', 'price_24']</t>
  </si>
  <si>
    <t>[['Can Baró', 23], ['Canyelles', 2], ['Ciutat Meridiana', 8]]</t>
  </si>
  <si>
    <t>[[18666, 'Flat with Sunny Terrace', 71615, 'Mireia And Maria', 'Sant Martí', "el Camp de l'Arpa del Clot", 41.408886211580345, 2.1855453256058017, 'Entire home/apt', 130, 3, 1, '2015-10-10', 0.03, 29, 61], [18674, 'Huge flat for 8 people close to Sagrada Familia', 71615, 'Mireia And Maria', 'Eixample', 'la Sagrada Família', 41.404196784819064, 2.1730577177402504, 'Entire home/apt', 110, 1, 4, '2016-06-20', 0.07, 29, 148], [19157, 'Great Place in Sagrada Familia, Bcn', 73099, 'Urania', 'Eixample', 'la Sagrada Família', 41.40792900826702, 2.1745404013370675, 'Private room', 30, 2, 160, '2018-05-18', 1.68, 2, 69]]</t>
  </si>
  <si>
    <t>L1_88</t>
  </si>
  <si>
    <t>['Airline', 'Date_of_Journey', 'Source', 'Destination', 'Route', 'Dep_Time', 'Arrival_Time', 'Duration', 'Total_Stops', 'Additional_Info', 'Price']</t>
  </si>
  <si>
    <t>[['IndiGo', '24/03/2019', 'Banglore', 'New Delhi', 'BLR → DEL', '22:20', '01:10 22 Mar', '2h 50m', 'non-stop', 'No info', 3897], ['Air India', '1/05/2019', 'Kolkata', 'Banglore', 'CCU → IXR → BBI → BLR', '05:50', '13:15', '7h 25m', '2 stops', 'No info', 7662], ['Jet Airways', '9/06/2019', 'Delhi', 'Cochin', 'DEL → LKO → BOM → COK', '09:25', '04:25 10 Jun', '19h', '2 stops', 'No info', 13882]]</t>
  </si>
  <si>
    <t>L1_89</t>
  </si>
  <si>
    <t>['date', '102.9642307762594', '103.40686762477397', '103.84410015144081', '103.8770651464119', '103.9591303830494', '103.97471014292363', '104.0', '104.11672058372292', '104.13991075455378', '104.1535430975006', '104.16179785387305', '104.16731852181039', '104.17156610731607', '104.19534374424578', '104.20780001476068', '104.2475736064227', '104.25883692067988', '104.28469233758739', '104.32558680495227', '104.34314558998801', '104.36017878164039', '104.41190933506331', '104.42127356374375', '104.42426708739794', '104.48233796748329', '104.51324100589954', '104.54551837965572', '104.54658054564462', '104.56447114723393', '104.57496795441946', '104.57978697805429', '104.60316567758687', '104.61834849436612', '104.65702984256826', '104.66676708484209', '104.7124724776131', '104.7155555671814', '104.7355761493416', '104.76581330979386', '104.79582404775178', '104.84789839231375', '104.86093524328373', '104.86594308196418', '104.87815067615534', '104.89166888729558', '104.91445082632119', '104.93050731747206', '104.93195657145004', '104.97493607225907', '104.98281570660502', '105.01778888188377', '105.03899798634544', '105.0531392172164', '105.06604606111044', '105.08185066165795', '105.0870744880627', '105.08773418645492', '105.24633220461182', '105.30917881279444', '105.31256328011446', '105.32574951231125', '105.39279084065949', '105.40582903661794', '105.41404099234215', '105.44350526507864', '105.44985276071807', '105.49340322050347', '105.49373493263305', '105.5339054469482', '105.54359222176907', '105.56024479446687', '105.57984370981511', '105.58843450059987', '105.58959421203889', '105.63621189411353', '105.67218523065509', '105.71149390238746', '105.7805053952623', '105.8043287751058', '105.81152696173264', '105.82575994957008', '105.83297898254067', '105.84159342092589', '105.87675465461643', '105.93310285842674', '105.93709383205703', '105.9442486926104', '105.96703426972067', '105.97005797025622', '105.97928946012455', '105.97991225598228', '105.98344324091393', '105.98952520981197', '105.99824339629772', '106.0524503090274', '106.054179476072', '106.11364798173491', '106.2019977529751', '106.22262800781161', '106.22707555487085', '106.230251704852', '106.2533164278796', '106.27313381187071', '106.29742705474031', '106.31128572467486', '106.32520729915613', '106.32989842738297', '106.33895474987045', '106.34746250326555', '106.37017472757208', '106.39331171827483', '106.39761885327727', '106.40576836769606', '106.4260979750733', '106.43128726583544', '106.45384136146963', '106.45935569714388', '106.46775267747175', '106.49466606265055', '106.52791913834007', '106.55383329339755', '106.55864244876634', '106.56629592520223', '106.64905188276357', '106.66192069875746', '106.70206379404051', '106.76464530625195', '106.79760036376025', '106.8007069718136', '106.88116153915816', '106.90267998732097', '106.9106877870171', '106.91494144521057', '106.92252227151646', '106.93925373830918', '106.97790913533136', '107.00318574657564', '107.00984336955489', '107.07318273895147', '107.11904057612496', '107.19164012858971', '107.24942817664525', '107.25706082740422', '107.28862190975128', '107.28954139024019', '107.36712012874791', '107.3673403807312', '107.37603401487004', '107.40228313476484', '107.43307249661517', '107.50102674603055', '107.53839792123946', '107.5418906430049', '107.55955829065194', '107.57288320385558', '107.59052185552868', '107.72994596430657', '107.74700405713533', '107.76739981019861', '107.90849017717056', '107.97494327657327', '108.01352782071622', '108.03127019947732', '108.17607176592361', '108.35427662464336', '108.54767657360567', '108.6208194926428', '108.62400996724136', '108.65409495699907', '108.77072832379997', '108.87667229736903', '108.89701873854071', '108.94667888415138', '108.9632436272641', '108.99212612197309', '108.99543759775818', '109.02407701236174', '109.08632179090107', '109.11567867513011', '109.15540847031824', '109.15865916961283', '109.1792051523596', '109.18194160695627', '109.19186431107813', '109.20028536548483', '109.26268620383128', '109.41778128903894', '109.50407838955655', '109.59201397402276', '109.61174221075348', '109.68425503645079', '109.68981407560253', '109.71029080642788', '109.79211154929487', '109.80198898321221', '109.82712229883415', '109.83347382989604', '109.91185342518776', '109.94799240486039', '110.01013582093175', '110.01130626168074', '110.03869380880164', '110.1384286324776', '110.14327400337842', '110.14970695659157', '110.17162372275988', '110.17803187059303', '110.193384360099', '110.19570682399144', '110.29063439657831', '110.41164125212488', '110.42438916911125', '110.44129521062405', '110.76888911924776', '110.8208301301043', '110.98990496310962', '110.99180153896083', '111.01190922810297', '111.0122081014912', '111.24161280899963', '111.24479607852692', '111.34045301062294', '111.36177549687392', '111.60930907791592', '111.68924790246957', '111.6966162532818', '111.74628297709928', '112.15238938011582', '113.25353439563817', '113.64918192700323', '115.075779256282', '115.62868405133601', '116.01725792321129', '116.67816960489264', '116.95293107003178', '116.9717350978082', '117.10670353137289', '117.72421590630458', '117.82214878154537', '118.08592369502983', '118.93240834542965', '119.84080802849351', '120.08306159685034', '120.25913142194942', '120.28304898318079', '120.3165751209433', '120.35281297437548', '120.38779792070359', '120.47502037526715', '120.49000836617397', '120.91696662057332', 'price']</t>
  </si>
  <si>
    <t>[['2016-07-01',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['2016-07-05',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['2016-07-06',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t>
  </si>
  <si>
    <t>[['price', 'date', 'ticker', nan, nan, nan, nan, nan, nan], ['104.0', '2016-07-01', 'A', nan, nan, nan, nan, nan, nan], ['104.87815067615534', '2016-07-05', 'A', nan, nan, nan, nan, nan, nan]]</t>
  </si>
  <si>
    <t>['ticker', 'date', 'open', 'high', 'low', 'close', 'volume', 'adj_close', 'adj_volume']</t>
  </si>
  <si>
    <t xml:space="preserve">error in date column; headear is for two rows, </t>
  </si>
  <si>
    <t>L1_90</t>
  </si>
  <si>
    <t>['dog_type']</t>
  </si>
  <si>
    <t>[[4471], [107], [96]]</t>
  </si>
  <si>
    <t>[[892420643555336193, nan, nan, '2017-08-01 16:23:56 +0000', '&lt;a href="http://twitter.com/download/iphone" rel="nofollow"&gt;Twitter for iPhone&lt;/a&gt;', "This is Phineas. He's a mystical boy. Only ever appears in the hole of a donut. 13/10 https://t.co/MgUWQ76dJU", nan, nan, nan, 'https://twitter.com/dog_rates/status/892420643555336193/photo/1', 13, 10, 'Phineas', 'None', 'None', 'None', 'None'], [892177421306343426, nan, nan, '2017-08-01 00:17:27 +0000', '&lt;a href="http://twitter.com/download/iphone" rel="nofollow"&gt;Twitter for iPhone&lt;/a&gt;', "This is Tilly. She's just checking pup on you. Hopes you're doing ok. If not, she's available for pats, snugs, boops, the whole bit. 13/10 https://t.co/0Xxu71qeIV", nan, nan, nan, 'https://twitter.com/dog_rates/status/892177421306343426/photo/1', 13, 10, 'Tilly', 'None', 'None', 'None', 'None'], [891815181378084864, nan, nan, '2017-07-31 00:18:03 +0000', '&lt;a href="http://twitter.com/download/iphone" rel="nofollow"&gt;Twitter for iPhone&lt;/a&gt;', 'This is Archie. He is a rare Norwegian Pouncing Corgo. Lives in the tall grass. You never know when one may strike. 12/10 https://t.co/wUnZnhtVJB', nan, nan, nan, 'https://twitter.com/dog_rates/status/891815181378084864/photo/1', 12, 10, 'Archie', 'None', 'None', 'None', 'None']]</t>
  </si>
  <si>
    <t>['tweet_id', 'in_reply_to_status_id', 'in_reply_to_user_id', 'timestamp', 'source', 'text', 'retweeted_status_id', 'retweeted_status_user_id', 'retweeted_status_timestamp', 'expanded_urls', 'rating_numerator', 'rating_denominator', 'name', 'doggo', 'floofer', 'pupper', 'puppo']</t>
  </si>
  <si>
    <t>L1_91</t>
  </si>
  <si>
    <t>['Name', 'Position', 'Age', 'Team_from', 'League_from', 'Team_to', 'League_to', 'Season', 'Market_value', 'Transfer_fee']</t>
  </si>
  <si>
    <t>[['luís figo', 'Right Winger', 27, 'FC Barcelona', 'LaLiga', 'Real Madrid', 'LaLiga', '2000-2001', nan, 60000000], ['hernán crespo', 'Centre-Forward', 25, 'Parma', 'Serie A', 'Lazio', 'Serie A', '2000-2001', nan, 56810000], ['marc overmars', 'Left Winger', 27, 'Arsenal', 'Premier League', 'FC Barcelona', 'LaLiga', '2000-2001', nan, 40000000]]</t>
  </si>
  <si>
    <t>[['Luís Figo', 'Right Winger', 27, 'FC Barcelona', 'LaLiga', 'Real Madrid', 'LaLiga', '2000-2001', nan, 60000000], ['Hernán Crespo', 'Centre-Forward', 25, 'Parma', 'Serie A', 'Lazio', 'Serie A', '2000-2001', nan, 56810000], ['Marc Overmars', 'Left Winger', 27, 'Arsenal', 'Premier League', 'FC Barcelona', 'LaLiga', '2000-2001', nan, 40000000]]</t>
  </si>
  <si>
    <t>could not treat empty value as NULL</t>
  </si>
  <si>
    <t>L1_92</t>
  </si>
  <si>
    <t>[['User_943', 'Accumanst@gmail.com', 'Ижевск'], ['User_908', 'Advismowr@mail.ru', 'Ижевск'], ['User_962', 'Anachso@ukr.net', 'Краснодар']]</t>
  </si>
  <si>
    <t>[0,1,1] sim score, and 0.6 accuracy</t>
  </si>
  <si>
    <t>L1_93</t>
  </si>
  <si>
    <t>[['Запись пользователя № - user_919', '[2019-01-01 14:06:51', nan, nan], ['Запись пользователя № - user_973', '[2019-01-01 14:51:16', nan, nan], ['Запись пользователя № - user_903', '[2019-01-01 16:31:16', nan, nan]]</t>
  </si>
  <si>
    <t>0.0, 0.0, 0.994, 0.996</t>
  </si>
  <si>
    <t>failed with error</t>
  </si>
  <si>
    <t>L1_94</t>
  </si>
  <si>
    <t>Target1_94</t>
  </si>
  <si>
    <t>['Store', 'Dept', 'Date', 'Weekly_Sales', 'IsHoliday', 'ID', 'shop_id', 'item_id']</t>
  </si>
  <si>
    <t>[[35.0, 1.0, '2010-06-04', 15683.8, False, nan, nan, nan], [22.0, 7.0, '2010-06-04', 38291.05, False, nan, nan, nan], [13.0, 93.0, '2010-04-16', 45997.13, False, nan, nan, nan]]</t>
  </si>
  <si>
    <t>[[35, 1, '2010-06-04', 15683.8, False], [22, 7, '2010-06-04', 38291.05, False], [13, 93, '2010-04-16', 45997.13, False]]</t>
  </si>
  <si>
    <t>['Store', 'Dept', 'Date', 'Weekly_Sales', 'IsHoliday']</t>
  </si>
  <si>
    <t>[[202892, 44, 20462], [36681, 12, 4966], [68321, 24, 21828]]</t>
  </si>
  <si>
    <t>['ID', 'shop_id', 'item_id']</t>
  </si>
  <si>
    <t>L1_95</t>
  </si>
  <si>
    <t>['customer_id', 'date']</t>
  </si>
  <si>
    <t>[[80, '2015-01-23'], [90, '2013-12-04'], [130, '2007-11-14']]</t>
  </si>
  <si>
    <t>L1_96</t>
  </si>
  <si>
    <t>Target1_96</t>
  </si>
  <si>
    <t>['Publisher']</t>
  </si>
  <si>
    <t>[[166], [97], [10]]</t>
  </si>
  <si>
    <t>L1_97</t>
  </si>
  <si>
    <t>['crit_cn', 'critic']</t>
  </si>
  <si>
    <t>[['Mexico', 1], ['US', 3]]</t>
  </si>
  <si>
    <t>[[' Mulholland Drive ', 'David Lynch', 2001, 1, 'Simon Abrams', 'Freelance film critic', 'US'], [' In the Mood for Love ', 'Wong Kar-wai', 2000, 2, 'Simon Abrams', 'Freelance film critic', 'US'], [' The Tree of Life ', 'Terrence Malick', 2011, 3, 'Simon Abrams', 'Freelance film critic', 'US']]</t>
  </si>
  <si>
    <t>['movie', 'director', 'm_year', 'crit_rank', 'critic', 'crit_org', 'crit_cn']</t>
  </si>
  <si>
    <t>[1,0] sim score, 0.5 accuracy</t>
  </si>
  <si>
    <t>L1_98</t>
  </si>
  <si>
    <t>Target1_98</t>
  </si>
  <si>
    <t>['0_x', '0_y']</t>
  </si>
  <si>
    <t>[[0.148736393862684, -0.3978113835805185], [1.5510941181486397, 0.12204243382271825], [5.4117660904349085, -0.0533155676662677]]</t>
  </si>
  <si>
    <t>[[0.0, -0.3978113835805185], [1.0, 0.12204243382271825], [2.0, -0.0533155676662677]]</t>
  </si>
  <si>
    <t>['right_index', '0']</t>
  </si>
  <si>
    <t>[[0.148736393862684], [1.5510941181486397], [5.4117660904349085]]</t>
  </si>
  <si>
    <t>['0']</t>
  </si>
  <si>
    <t>L2_0</t>
  </si>
  <si>
    <t>Target2_0</t>
  </si>
  <si>
    <t>['school_name', 'reading_score']</t>
  </si>
  <si>
    <t>[['Bailey High School', 80.85822637106185], ['Cabrera High School', 83.97578040904197], ['Figueroa High School', 81.15801966768396]]</t>
  </si>
  <si>
    <t>L2_1</t>
  </si>
  <si>
    <t>Target2_1</t>
  </si>
  <si>
    <t>L2_10</t>
  </si>
  <si>
    <t>Target2_10</t>
  </si>
  <si>
    <t>[['Amandaburgh', 180], ['Barajasview', 416], ['Carriemouth', 1092]]</t>
  </si>
  <si>
    <t>L2_11</t>
  </si>
  <si>
    <t>Target2_11</t>
  </si>
  <si>
    <t>['city', 'fare', 'ride_id', 'driver_count']</t>
  </si>
  <si>
    <t>[['Alvarezhaven', 25.430909090909093, 5707099781305.0, 21], ['Alyssaberg', 21.716363636363635, 3749969388939.227, 67], ['Antoniomouth', 20.294285714285714, 4400080524921.929, 21]]</t>
  </si>
  <si>
    <t>L2_12</t>
  </si>
  <si>
    <t>Target2_12</t>
  </si>
  <si>
    <t>L2_13</t>
  </si>
  <si>
    <t>Target2_13</t>
  </si>
  <si>
    <t>[['Urban', 1187]]</t>
  </si>
  <si>
    <t>L2_14</t>
  </si>
  <si>
    <t>Target2_14</t>
  </si>
  <si>
    <t>['username', 'date', 'retweets', 'favorites', 'text', 'geo', 'mentions', 'hashtags', 'id', 'permalink']</t>
  </si>
  <si>
    <t>[[nan, '2009-05-01 16:54', 0, 0, 'is watching the titans rookies go through their first workout. TE jared cook passes the eye test big time, as does WR Kenny Britt', nan, nan, nan, 1673300446.0, 'https://twitter.com/brentdougherty/status/1673300446'], [nan, '2009-05-01 09:54', 0, 0, "RT @ janesports: Sanchez looks accurate, throwing now to Marcus Henry, Huey Whittaker, Kenny O'Neal and Britt Davis. # nfl", nan, '@', '#', 1669666431.0, 'https://twitter.com/Brian_Bassett/status/1669666431'], [nan, '2009-05-01 09:52', 0, 0, "Sanchez looks accurate, throwing now to Marcus Henry, Huey Whittaker, Kenny O'Neal and Britt Davis. # nfl", nan, nan, '#', 1669646494.0, 'https://twitter.com/janesports/status/1669646494']]</t>
  </si>
  <si>
    <t>[[nan, '2014-03-17 18:59', 1, 0, '@ KennyBritt_18 you need to go to Carolina. @ Panthers here is a #1 talent receiver that needs new scenery.', nan, '@ @', '#1', 4.457109448201503e+17, 'https://twitter.com/ThomasJSwartout/status/445710944820150272'], [nan, '2014-03-17 18:59', 1, 0, '@ KennyBritt_18 Brady to Britt??? would be amazing hopefully a deal can get done', nan, '@', nan, 4.457109264243384e+17, 'https://twitter.com/RutgersMets/status/445710926424338432'], [nan, '2014-03-17 18:58', 0, 0, '@ KennyBritt_18 any contract with New England', nan, '@', nan, 4.457108066979144e+17, 'https://twitter.com/pcerro1484/status/445710806697914368']]</t>
  </si>
  <si>
    <t>[[nan, '2017-03-15 18:28', 1, 1, 'The Cleveland # Browns signed UFA WR Kenny Britt to a 4-year $32.5M contract. Scouting report via Brock Enderson: https://www.scoutingacademy.com/2017FAWR pic.twitter.com/xPB0Eibkx1', nan, nan, '#', 842155453769478146, 'https://twitter.com/TheScoutAcademy/status/842155453769478146'], [nan, '2017-03-15 17:48', 0, 1, '@ KennyBritt_18 welcome to Cleveland! I love how you have embraced the city! Good luck! # DawgPound', nan, '@', '#', 842145562736644098, 'https://twitter.com/radneyek/status/842145562736644098'], [nan, '2017-03-15 16:24', 0, 0, 'Tell us what you think: Is Kenny Britt a Cleveland @ Browns building block?http://trib.al/h1q0T5B', nan, '@', nan, 842124403034972170, 'https://twitter.com/cdotcombrowns/status/842124403034972170']]</t>
  </si>
  <si>
    <t>[[nan, '2009-05-01 16:54', 0, 0, 'is watching the titans rookies go through their first workout. TE jared cook passes the eye test big time, as does WR Kenny Britt', nan, nan, nan, 1673300446, 'https://twitter.com/brentdougherty/status/1673300446'], [nan, '2009-05-01 09:54', 0, 0, "RT @ janesports: Sanchez looks accurate, throwing now to Marcus Henry, Huey Whittaker, Kenny O'Neal and Britt Davis. # nfl", nan, '@', '#', 1669666431, 'https://twitter.com/Brian_Bassett/status/1669666431'], [nan, '2009-05-01 09:52', 0, 0, "Sanchez looks accurate, throwing now to Marcus Henry, Huey Whittaker, Kenny O'Neal and Britt Davis. # nfl", nan, nan, '#', 1669646494, 'https://twitter.com/janesports/status/1669646494']]</t>
  </si>
  <si>
    <t>L2_15</t>
  </si>
  <si>
    <t>Target2_15</t>
  </si>
  <si>
    <t>['userId', 'movieId', 'rating', 'timestamp', 'title', 'genres', 'genres_arr', 'genre_count']</t>
  </si>
  <si>
    <t>[[1, 31, 2.5, 1260759144, 'Dangerous Minds (1995)', 'Drama', "['Drama']", 'Drama'], [7, 31, 3.0, 851868750, 'Dangerous Minds (1995)', 'Drama', "['Drama']", 'Drama'], [31, 31, 4.0, 1273541953, 'Dangerous Minds (1995)', 'Drama', "['Drama']", 'Drama']]</t>
  </si>
  <si>
    <t>1.0, 1.0, 1.0, 1.0, 1.0, 1.0, 0.0, 0.0</t>
  </si>
  <si>
    <t>L2_16</t>
  </si>
  <si>
    <t>Target2_16</t>
  </si>
  <si>
    <t>L2_17</t>
  </si>
  <si>
    <t>Target2_17</t>
  </si>
  <si>
    <t>['Broadband Initiative', 'Federal', 'Percent', 'state', 'population']</t>
  </si>
  <si>
    <t>[[4874142, 91596026, 2.6, 'AL', 10915751], [6378198, 0, 0.0, 'AK', 1517903], [6358179, 0, 0.0, 'AZ', 17543910]]</t>
  </si>
  <si>
    <t>[['DOCSIS', 0, 154467, 'AL'], ['DOCSIS', 1, 3715798, 'AL'], ['DSL', 0, 4122492, 'AL']]</t>
  </si>
  <si>
    <t>['TechType', 'HighSpeed', 'population', 'state']</t>
  </si>
  <si>
    <t>[[4874142, 91596026, 2.6, 'AL'], [6378198, 0, 0.0, 'AK'], [6358179, 0, 0.0, 'AZ']]</t>
  </si>
  <si>
    <t>['Broadband Initiative', 'Federal', 'Percent', 'state']</t>
  </si>
  <si>
    <t>L2_18</t>
  </si>
  <si>
    <t>Target2_18</t>
  </si>
  <si>
    <t>L2_19</t>
  </si>
  <si>
    <t>Target2_19</t>
  </si>
  <si>
    <t>['Dates', 'Action']</t>
  </si>
  <si>
    <t>[[0, 2864], [1, 1692], [2, 1024]]</t>
  </si>
  <si>
    <t>[['2015-08-26 00:06:44', 'view', 'U216990343', 'P0025911561'], ['2015-08-23 14:14:34', 'view', 'U452898374', 'P0005050231'], ['2015-07-09 17:45:23', 'view', 'U164816658', 'P0009305785']]</t>
  </si>
  <si>
    <t>['Dates', 'Action', 'User', 'Product']</t>
  </si>
  <si>
    <t>L2_2</t>
  </si>
  <si>
    <t>Target2_2</t>
  </si>
  <si>
    <t>['contributor_firstname', 'contributor_lastname', 'committee_position', 'amount']</t>
  </si>
  <si>
    <t>[['A C', 'SEE', 'OPPOSE', 287.08], ['A C', 'SEE', 'SUPPORT', 287.08], ['A G', 'VASQUEZ', 'OPPOSE', 287.08]]</t>
  </si>
  <si>
    <t>L2_20</t>
  </si>
  <si>
    <t>Target2_20</t>
  </si>
  <si>
    <t>['Drug', 'Timepoint', 'Mouse ID']</t>
  </si>
  <si>
    <t>[['Capomulin', 0, 25], ['Capomulin', 5, 25], ['Capomulin', 10, 25]]</t>
  </si>
  <si>
    <t>L2_21</t>
  </si>
  <si>
    <t>Target2_21</t>
  </si>
  <si>
    <t>['state', 'date', 'draw_sales', 'year']</t>
  </si>
  <si>
    <t>[['AR', '2018-12-22', 237738, 2018], ['AR', '2018-12-26', 25880, 2018], ['AR', '2018-12-29', 189144, 2018]]</t>
  </si>
  <si>
    <t>[['AR', '2018-12-22', 237738], ['AR', '2018-12-26', 25880], ['AR', '2018-12-29', 189144]]</t>
  </si>
  <si>
    <t>['state', 'date', 'draw_sales']</t>
  </si>
  <si>
    <t>[['AR', '2018-12-14', 173406], ['AR', '2018-12-18', 171350], ['AR', '2018-12-21', 196400]]</t>
  </si>
  <si>
    <t>L2_22</t>
  </si>
  <si>
    <t>Target2_22</t>
  </si>
  <si>
    <t>['city', 'ride_id']</t>
  </si>
  <si>
    <t>[['Alvarezhaven', 22], ['Alyssaberg', 22], ['Antoniomouth', 14]]</t>
  </si>
  <si>
    <t>L2_23</t>
  </si>
  <si>
    <t>Target2_23</t>
  </si>
  <si>
    <t>['city', 'type']</t>
  </si>
  <si>
    <t>[['Amandaburgh', 15], ['Barajasview', 16], ['Carriemouth', 21]]</t>
  </si>
  <si>
    <t>L2_24</t>
  </si>
  <si>
    <t>Target2_24</t>
  </si>
  <si>
    <t>['title', 'size', 'mean']</t>
  </si>
  <si>
    <t>[["'Til There Was You (1997)", 6, 2.333333333333333], ['1-900 (1994)', 2, 2.5], ['101 Dalmatians (1996)', 52, 2.9423076923076925]]</t>
  </si>
  <si>
    <t>[[0, 50, 5], [0, 172, 5], [0, 133, 1]]</t>
  </si>
  <si>
    <t>['user_id', 'movie_id', 'rating']</t>
  </si>
  <si>
    <t>[[1, 'Toy Story (1995)'], [2, 'GoldenEye (1995)'], [3, 'Four Rooms (1995)']]</t>
  </si>
  <si>
    <t>['movie_id', 'title']</t>
  </si>
  <si>
    <t>L2_25</t>
  </si>
  <si>
    <t>Target2_25</t>
  </si>
  <si>
    <t>L2_27</t>
  </si>
  <si>
    <t>Target2_27</t>
  </si>
  <si>
    <t>['school_name', 'Student ID', 'student_name', 'gender', 'grade', 'reading_score', 'math_score', 'School ID', 'type', 'size', 'budget']</t>
  </si>
  <si>
    <t>[['Bailey High School', 1714, 1714, 1714, 1714, 1714, 1714, 1714, 1714, 1714, 1714], ['Cabrera High School', 1858, 1858, 1858, 1858, 1858, 1858, 1858, 1858, 1858, 1858], ['Figueroa High School', 2949, 2949, 2949, 2949, 2949, 2949, 2949, 2949, 2949, 2949]]</t>
  </si>
  <si>
    <t>L2_28</t>
  </si>
  <si>
    <t>Target2_28</t>
  </si>
  <si>
    <t>['StoreType', 'Store', 'Dept', 'Weekly_Sales', 'IsHoliday', 'Assortment', 'CompetitionDistance', 'CompetitionOpenSinceMonth', 'CompetitionOpenSinceYear', 'Promo2', 'Promo2SinceWeek', 'Promo2SinceYear', 'PromoInterval']</t>
  </si>
  <si>
    <t>[['a', 57226, 57226, 57226, 57226, 57226, 57226, 41417, 41417, 57226, 37972, 37972, 37972], ['c', 13598, 13598, 13598, 13598, 13598, 13598, 13598, 13598, 13598, 2297, 2297, 2297], ['d', 29176, 29176, 29176, 29176, 29176, 29176, 18186, 18186, 29176, 15786, 15786, 15786]]</t>
  </si>
  <si>
    <t>[[1, 'c', 'a', 1270.0, 9.0, 2008.0, 0, nan, nan, nan], [2, 'a', 'a', 570.0, 11.0, 2007.0, 1, 13.0, 2010.0, 'Jan,Apr,Jul,Oct'], [3, 'a', 'a', 14130.0, 12.0, 2006.0, 1, 14.0, 2011.0, 'Jan,Apr,Jul,Oct']]</t>
  </si>
  <si>
    <t>['Store', 'StoreType', 'Assortment', 'CompetitionDistance', 'CompetitionOpenSinceMonth', 'CompetitionOpenSinceYear', 'Promo2', 'Promo2SinceWeek', 'Promo2SinceYear', 'PromoInterval']</t>
  </si>
  <si>
    <t>[['2010-12-03', 6, 93, 34385.61, False], ['2010-02-12', 31, 56, 1010.13, True], ['2011-06-10', 7, 20, 2339.22, False]]</t>
  </si>
  <si>
    <t>['Date', 'Store', 'Dept', 'Weekly_Sales', 'IsHoliday']</t>
  </si>
  <si>
    <t>L2_29</t>
  </si>
  <si>
    <t>Target2_29</t>
  </si>
  <si>
    <t>['movie title', 'movie id', 'user_id', 'movie_id', 'rating']</t>
  </si>
  <si>
    <t>[["'Til There Was You (1997)", 6, 6, 6, 6], ['1-900 (1994)', 2, 2, 2, 2], ['101 Dalmatians (1996)', 52, 52, 52, 52]]</t>
  </si>
  <si>
    <t>['movie id', 'movie title']</t>
  </si>
  <si>
    <t>[[196, 242, 3], [186, 302, 3], [22, 377, 1]]</t>
  </si>
  <si>
    <t>L2_3</t>
  </si>
  <si>
    <t>Target2_3</t>
  </si>
  <si>
    <t>[[nan, '2018-03-19 20:42', 0, 0, 'I think I shed a tear when the news of your extension broke...', nan, nan, nan, 9.759103878361702e+17, 'https://twitter.com/PatrickLeipzig2/status/975910387836170241'], [nan, '2018-03-19 20:11', 0, 0, 'Tackling machine is going to be here for a while!!!', nan, nan, nan, 9.75902549147562e+17, 'https://twitter.com/mahl1334/status/975902549147561984'], [nan, '2018-03-19 20:08', 0, 0, 'Glad your back. Kick me some ass. Fly Eagles Fly.', nan, nan, nan, 9.759019849213912e+17, 'https://twitter.com/ConshyBob8/status/975901984921391108']]</t>
  </si>
  <si>
    <t>[[nan, '2018-03-19 20:42', 0, 0, 'I think I shed a tear when the news of your extension broke...', nan, nan, nan, 975910387836170241, 'https://twitter.com/PatrickLeipzig2/status/975910387836170241'], [nan, '2018-03-19 20:11', 0, 0, 'Tackling machine is going to be here for a while!!!', nan, nan, nan, 975902549147561984, 'https://twitter.com/mahl1334/status/975902549147561984'], [nan, '2018-03-19 20:08', 0, 0, 'Glad your back. Kick me some ass. Fly Eagles Fly.', nan, nan, nan, 975901984921391108, 'https://twitter.com/ConshyBob8/status/975901984921391108']]</t>
  </si>
  <si>
    <t>[[nan, '2012-05-04 14:38', 1, 0, '# FF @ cponder7 @ Corey_Clark @ CoachColey @CoachDCraig @dkanell13 @Warchant_DC @ EveretteBrown @ NigelBradham_13 @ os_coleyharvey @ P5White', nan, '@ @ @ @CoachDCraig @dkanell13 @Warchant_DC @ @ @ @', '#', 1.984967182103511e+17, 'https://twitter.com/FSUPros/status/198496718210351105'], [nan, '2012-05-04 09:26', 0, 0, 'Bills Draft Picks: Nigel Bradham, Ron Brooks, Zebrie Sanders Scouting Reports: Buffalo Rumblings » N... http://bit.ly/Kfm7K2 # nfl # bills', nan, nan, '# #', 1.9841833646228275e+17, 'https://twitter.com/LoyalNFLFans/status/198418336462282752'], [nan, '2012-05-04 08:18', 0, 0, '# nfl # bills Bills Draft Picks: Nigel Bradham, Ron Brooks, Zebrie Sanders Scouting Reports: Buffalo Rumblings » N... http://bit.ly/J3sFJM', nan, nan, '# #', 1.9840119403983667e+17, 'https://twitter.com/Football_Fanz/status/198401194039836672']]</t>
  </si>
  <si>
    <t>[[nan, '2016-03-15 18:54', 0, 0, 'Dat boy @ NigelBradham_13 wit da eagles', nan, '@', nan, 709890545804578816, 'https://twitter.com/3k10Milk/status/709890545804578816'], [nan, '2016-03-15 16:31', 0, 0, 'Nigel Bradham Highlights Welcome To Philly" http://dlvr.it/KnnmTR"', nan, nan, nan, 709854476161540096, 'https://twitter.com/Reddit_Eagles/status/709854476161540096'], [nan, '2016-03-15 13:11', 1, 1, '# PhiladelphiaEagles # Video Inside The Studio: Nigel Bradham # FlyEaglesFly # Eagles http://dld.bz/euv5A', nan, nan, '# # # #', 709804204831936512, 'https://twitter.com/PhilEaglesViews/status/709804204831936512']]</t>
  </si>
  <si>
    <t>L2_30</t>
  </si>
  <si>
    <t>Target2_30</t>
  </si>
  <si>
    <t>['city', 'fare']</t>
  </si>
  <si>
    <t>[['Alvarezhaven', 25.430909090909093], ['Alyssaberg', 21.716363636363635], ['Antoniomouth', 20.294285714285714]]</t>
  </si>
  <si>
    <t>L2_31</t>
  </si>
  <si>
    <t>Target2_31</t>
  </si>
  <si>
    <t>['type', 'city', 'fare', 'ride_id', 'driver_count']</t>
  </si>
  <si>
    <t>[['Urban', 'Amandaburgh', 23.072, 5057696898269.134, 12], ['Urban', 'Barajasview', 28.754375, 5353622836034.3125, 26], ['Urban', 'Carriemouth', 27.250476190476192, 5522079655028.714, 52]]</t>
  </si>
  <si>
    <t>[[0, 'Richardfort', 38, 'Urban'], [1, 'Williamsstad', 59, 'Urban'], [2, 'Port Angela', 67, 'Urban']]</t>
  </si>
  <si>
    <t>['right_index', 'city', 'driver_count', 'type']</t>
  </si>
  <si>
    <t>L2_32</t>
  </si>
  <si>
    <t>Target2_32</t>
  </si>
  <si>
    <t>L2_33</t>
  </si>
  <si>
    <t>Target2_33</t>
  </si>
  <si>
    <t>['geo', 'user_id', 'time', 'bet', 'win', 'email']</t>
  </si>
  <si>
    <t>[['Арзангелтск', 46, 46, 6, 0, 46], ['Воронеж', 39, 39, 11, 3, 39], ['Екатеринбург', 19, 19, 0, 0, 17]]</t>
  </si>
  <si>
    <t>L2_34</t>
  </si>
  <si>
    <t>Target2_34</t>
  </si>
  <si>
    <t>L2_35</t>
  </si>
  <si>
    <t>Target2_35</t>
  </si>
  <si>
    <t>['Date', 'ResultDir', 'NumMosquitos']</t>
  </si>
  <si>
    <t>[['2007-05-29', 17.0, 1.6], ['2007-06-05', 4.0, 2.1166666666666667], ['2007-06-26', 21.5, 3.085714285714286]]</t>
  </si>
  <si>
    <t>[[1, '2007-05-01', 83, 50, 67, '14', 51, 56, 0, 2, '0448', '1849', ' ', '0', 'M', '0.0', 0.0, 29.1, 29.82, 1.7, 27, 9.2], [2, '2007-05-01', 84, 52, 68, 'M', 51, 57, 0, 3, '-', '-', ' ', 'M', 'M', 'M', 0.0, 29.18, 29.82, 2.7, 25, 9.6], [1, '2007-05-02', 59, 42, 51, '-3', 42, 47, 14, 0, '0447', '1850', 'BR', '0', 'M', '0.0', 0.0, 29.38, 30.09, 13.0, 4, 13.4]]</t>
  </si>
  <si>
    <t>['Station', 'Date', 'Tmax', 'Tmin', 'Tavg', 'Depart', 'DewPoint', 'WetBulb', 'Heat', 'Cool', 'Sunrise', 'Sunset', 'CodeSum', 'Depth', 'Water1', 'SnowFall', 'PrecipTotal', 'StnPressure', 'SeaLevel', 'ResultSpeed', 'ResultDir', 'AvgSpeed']</t>
  </si>
  <si>
    <t>[['2007-05-29', '4100 North Oak Park Avenue, Chicago, IL 60634, USA', 'CULEX PIPIENS/RESTUANS', 41, ' N OAK PARK AVE', 'T002', '4100 N OAK PARK AVE, Chicago, IL', 41.95469, -87.800991, 9, 1, 0], ['2007-05-29', '4100 North Oak Park Avenue, Chicago, IL 60634, USA', 'CULEX RESTUANS', 41, ' N OAK PARK AVE', 'T002', '4100 N OAK PARK AVE, Chicago, IL', 41.95469, -87.800991, 9, 1, 0], ['2007-05-29', '6200 North Mandell Avenue, Chicago, IL 60646, USA', 'CULEX RESTUANS', 62, ' N MANDELL AVE', 'T007', '6200 N MANDELL AVE, Chicago, IL', 41.994991, -87.769279, 9, 1, 0]]</t>
  </si>
  <si>
    <t>['Date', 'Address', 'Species', 'Block', 'Street', 'Trap', 'AddressNumberAndStreet', 'Latitude', 'Longitude', 'AddressAccuracy', 'NumMosquitos', 'WnvPresent']</t>
  </si>
  <si>
    <t>L2_36</t>
  </si>
  <si>
    <t>Target2_36</t>
  </si>
  <si>
    <t>['CustomerID', 'Title', 'FirstName', 'MiddleName', 'LastName', 'Suffix', 'AddressLine1', 'AddressLine2', 'City', 'StateProvinceName', 'CountryRegionName', 'PostalCode', 'PhoneNumber', 'BirthDate', 'Education', 'Occupation', 'Gender', 'MaritalStatus', 'HomeOwnerFlag', 'NumberCarsOwned', 'NumberChildrenAtHome', 'TotalChildren', 'YearlyIncome', 'AveMonthSpend', 'BikeBuyer']</t>
  </si>
  <si>
    <t>[[11000, nan, 'Jon', 'V', 'Yang', nan, '3761 N. 14th St', nan, 'Rockhampton', 'Queensland', 'Australia', 4700, '1 (11) 500 555-0162', '1966-04-08', 'Bachelors ', 'Professional', 'M', 'M', 1, 0, 0, 2, 137947, 89, 0], [11001, nan, 'Eugene', 'L', 'Huang', nan, '2243 W St.', nan, 'Seaford', 'Victoria', 'Australia', 3198, '1 (11) 500 555-0110', '1965-05-14', 'Bachelors ', 'Professional', 'M', 'S', 0, 1, 3, 3, 101141, 117, 1], [11002, nan, 'Ruben', nan, 'Torres', nan, '5844 Linden Land', nan, 'Hobart', 'Tasmania', 'Australia', 7001, '1 (11) 500 555-0184', '1965-08-12', 'Bachelors ', 'Professional', 'M', 'M', 1, 1, 3, 3, 91945, 123, 0]]</t>
  </si>
  <si>
    <t>[[11000, nan, 'Jon', 'V', 'Yang', nan, '3761 N. 14th St', nan, 'Rockhampton', 'Queensland', 'Australia', 4700, '1 (11) 500 555-0162', '1966-04-08', 'Bachelors ', 'Professional', 'M', 'M', 1, 0, 0, 2, 137947], [11001, nan, 'Eugene', 'L', 'Huang', nan, '2243 W St.', nan, 'Seaford', 'Victoria', 'Australia', 3198, '1 (11) 500 555-0110', '1965-05-14', 'Bachelors ', 'Professional', 'M', 'S', 0, 1, 3, 3, 101141], [11002, nan, 'Ruben', nan, 'Torres', nan, '5844 Linden Land', nan, 'Hobart', 'Tasmania', 'Australia', 7001, '1 (11) 500 555-0184', '1965-08-12', 'Bachelors ', 'Professional', 'M', 'M', 1, 1, 3, 3, 91945]]</t>
  </si>
  <si>
    <t>['CustomerID', 'Title', 'FirstName', 'MiddleName', 'LastName', 'Suffix', 'AddressLine1', 'AddressLine2', 'City', 'StateProvinceName', 'CountryRegionName', 'PostalCode', 'PhoneNumber', 'BirthDate', 'Education', 'Occupation', 'Gender', 'MaritalStatus', 'HomeOwnerFlag', 'NumberCarsOwned', 'NumberChildrenAtHome', 'TotalChildren', 'YearlyIncome']</t>
  </si>
  <si>
    <t>[[11000, 0], [11001, 1], [11002, 0]]</t>
  </si>
  <si>
    <t>['CustomerID', 'BikeBuyer']</t>
  </si>
  <si>
    <t>[[11000, 89], [11001, 117], [11002, 123]]</t>
  </si>
  <si>
    <t>['CustomerID', 'AveMonthSpend']</t>
  </si>
  <si>
    <t>L2_37</t>
  </si>
  <si>
    <t>Target2_37</t>
  </si>
  <si>
    <t>['Date', 'NumMosquitos']</t>
  </si>
  <si>
    <t>[['2007-05-29', 80], ['2007-06-05', 254], ['2007-06-26', 432]]</t>
  </si>
  <si>
    <t>L2_38</t>
  </si>
  <si>
    <t>Target2_38</t>
  </si>
  <si>
    <t>['type', 'fare']</t>
  </si>
  <si>
    <t>[['Urban', 29034.800000000036]]</t>
  </si>
  <si>
    <t>L2_39</t>
  </si>
  <si>
    <t>Target2_39</t>
  </si>
  <si>
    <t>L2_4</t>
  </si>
  <si>
    <t>Target2_4</t>
  </si>
  <si>
    <t>['comment', 'response']</t>
  </si>
  <si>
    <t>[['What is AI?', 'Artificial Intelligence is the branch of engineering and science devoted to constructing machines that think.'], ['What is AI?', 'AI is the field of science which concerns itself with building hardware and software that replicates the functions of the human mind.'], ['Are you sentient?', 'Sort of.']]</t>
  </si>
  <si>
    <t>[['What is a computer?', 'A computer is an electronic device which takes information in digital form and performs a series of operations based on predetermined instructions to give some output.'], ['What is a super computer?', 'Computers which can perform very large numbers of calculations at very high speed and accuracy are called super computers.'], ['Who invented computers?', "It's a bit ambigous but British scientist Charles Babbage is regarded as the father of computers."]]</t>
  </si>
  <si>
    <t>[['What are your interests', 'I am interested in all kinds of things. We can talk about anything!'], ['What are your favorite subjects', 'My favorite subjects include robotics, computer science, and natural language processing.'], ['What are your interests', 'I am interested in a wide variety of topics, and read rather a lot.']]</t>
  </si>
  <si>
    <t>L2_40</t>
  </si>
  <si>
    <t>Target2_40</t>
  </si>
  <si>
    <t>L2_41</t>
  </si>
  <si>
    <t>Target2_41</t>
  </si>
  <si>
    <t>['Drug', 'Timepoint', 'Metastatic Sites']</t>
  </si>
  <si>
    <t>[['Capomulin', 0, 0.0], ['Capomulin', 5, 0.16], ['Capomulin', 10, 0.32]]</t>
  </si>
  <si>
    <t>L2_42</t>
  </si>
  <si>
    <t>Target2_42</t>
  </si>
  <si>
    <t>['StoreType', 'Store']</t>
  </si>
  <si>
    <t>[['a', 26], ['c', 6], ['d', 13]]</t>
  </si>
  <si>
    <t>[['2011-11-11', 7, 27, 692.12, False], ['2011-04-22', 41, 34, 12134.87, False], ['2011-12-09', 25, 30, 1468.9, False]]</t>
  </si>
  <si>
    <t>L2_43</t>
  </si>
  <si>
    <t>Target2_43</t>
  </si>
  <si>
    <t>['artist_name', 'speechiness', 'instrumentalness', 'danceability', 'energy', 'acousticness']</t>
  </si>
  <si>
    <t>[['*NSYNC', 0.058087333333333276, 0.020642031333333324, 0.6066897777777788, 0.6769354814814823, 0.22410154333333315], ['AOA', 0.0736487804878049, 0.09804646593495933, 0.6650813008130083, 0.8478455284552845, 0.1598736845528456], ['BIGBANG', 0.10821862891207172, 0.0065860413710879286, 0.5826274217585696, 0.8329001490312962, 0.10963977928464974]]</t>
  </si>
  <si>
    <t>[[0.637, 0.799, 2, 0.0338, 0.39399999999999996, 0.0, 0.0921, 0.562, 104.995, 228615, 4, 'BTS', '2018-08-24', 'Euphoria', 'euphoria'], [0.723, 0.9059999999999999, 1, 0.27899999999999997, 0.0907, 0.0, 0.0771, 0.39799999999999996, 125.01899999999999, 225221, 4, 'BTS', '2018-08-24', 'Trivia 起 : Just Dance', 'trivia-just-dance'], [0.34700000000000003, 0.578, 8, 0.0626, 0.445, 0.0, 0.231, 0.226, 86.73, 276708, 5, 'BTS', '2018-08-24', 'Serendipity (Full Length Edition)', 'serendipity-length']]</t>
  </si>
  <si>
    <t>['danceability', 'energy', 'key', 'speechiness', 'acousticness', 'instrumentalness', 'liveness', 'valence', 'tempo', 'duration_ms', 'time_signature', 'artist_name', 'release_date', 'song_name', 'song_name_formatted']</t>
  </si>
  <si>
    <t>[[0.523, 0.883, 8, 0.0365, 0.0202, 0.0, 0.116, 0.35, 92.215, 240000, 4, 'One Direction', '2015-11-13'], [0.73, 0.703, 0, 0.0369, 0.109, 0.0, 0.0657, 0.595, 138.113, 192120, 4, 'One Direction', '2015-11-13'], [0.647, 0.823, 2, 0.0762, 0.0598, 0.0, 0.119, 0.396, 99.933, 230333, 4, 'One Direction', '2015-11-13']]</t>
  </si>
  <si>
    <t>['danceability', 'energy', 'key', 'speechiness', 'acousticness', 'instrumentalness', 'liveness', 'valence', 'tempo', 'duration_ms', 'time_signature', 'artist_name', 'release_date']</t>
  </si>
  <si>
    <t>L2_45</t>
  </si>
  <si>
    <t>Target2_45</t>
  </si>
  <si>
    <t>['Item ID', 'Item Name', 'Price']</t>
  </si>
  <si>
    <t>[[0, 'Splinter', 3.84], [1, 'Crucifer', 3.26], [2, 'Verdict', 9.92]]</t>
  </si>
  <si>
    <t>L2_46</t>
  </si>
  <si>
    <t>Target2_46</t>
  </si>
  <si>
    <t>['adm0_name', 'adm1_name', 'mkt_name', 'cm_name', 'cur_name', 'pt_name', 'um_id', 'um_name', 'mp_month', 'mp_year', 'mp_price']</t>
  </si>
  <si>
    <t>[['South Sudan', nan, 'National Average', 'Fuel (diesel)', 'SSP', 'Retail', 15, 'L', 1, 2012, 7.9063], ['South Sudan', nan, 'National Average', 'Fuel (diesel)', 'SSP', 'Retail', 15, 'L', 2, 2012, 7.275], ['South Sudan', nan, 'National Average', 'Fuel (diesel)', 'SSP', 'Retail', 15, 'L', 3, 2012, 7.4531]]</t>
  </si>
  <si>
    <t>[['Afghanistan', 'Badakhshan', 'Fayzabad', 'Bread', 'AFN', 'Retail', 5, 'KG', 1, 2014, 50.0], ['Afghanistan', 'Badakhshan', 'Fayzabad', 'Bread', 'AFN', 'Retail', 5, 'KG', 2, 2014, 50.0], ['Afghanistan', 'Badakhshan', 'Fayzabad', 'Bread', 'AFN', 'Retail', 5, 'KG', 3, 2014, 50.0]]</t>
  </si>
  <si>
    <t>[['Iraq', 'Anbar', 'Alanbar', 'Rice', 'IQD', 'Retail', 5, 'KG', 1, 2012, 1496], ['Iraq', 'Anbar', 'Alanbar', 'Rice', 'IQD', 'Retail', 5, 'KG', 2, 2012, 1496], ['Iraq', 'Anbar', 'Alanbar', 'Rice', 'IQD', 'Retail', 5, 'KG', 3, 2012, 1542]]</t>
  </si>
  <si>
    <t>L2_47</t>
  </si>
  <si>
    <t>Target2_47</t>
  </si>
  <si>
    <t>['school', 'ID', 'sex', 'age', 'address', 'famsize', 'Pstatus', 'Medu', 'Fedu', 'Mjob', 'Fjob', 'reason', 'guardian', 'traveltime', 'studytime', 'failures', 'schoolsup', 'famsup', 'paid', 'activities', 'nursery', 'higher', 'internet', 'romantic', 'famrel', 'freetime', 'goout', 'Dalc', 'Walc', 'health', 'absences', 'G1', 'G2', 'G3']</t>
  </si>
  <si>
    <t>[['GP', 197, 197, 197, 197, 197, 197, 197, 197, 197, 197, 197, 197, 197, 197, 197, 197, 197, 197, 197, 197, 197, 197, 197, 197, 197, 197, 197, 197, 197, 197, 197, 197, 197]]</t>
  </si>
  <si>
    <t>[[0, 5, 6, 6], [1, 5, 5, 6], [2, 7, 8, 10]]</t>
  </si>
  <si>
    <t>['ID', 'G1', 'G2', 'G3']</t>
  </si>
  <si>
    <t>[[0, 'GP', 'F', 18, 'U', 'GT3', 'A', 4, 4, 'at_home', 'teacher', 'course', 'mother', 2, 2, 0, 'yes', 'no', 'no', 'no', 'yes', 'yes', 'no', 'no', 4, 3, 4, 1, 1, 3, 6], [1, 'GP', 'F', 17, 'U', 'GT3', 'T', 1, 1, 'at_home', 'other', 'course', 'father', 1, 2, 0, 'no', 'yes', 'no', 'no', 'no', 'yes', 'yes', 'no', 5, 3, 3, 1, 1, 3, 4], [2, 'GP', 'F', 15, 'U', 'LE3', 'T', 1, 1, 'at_home', 'other', 'other', 'mother', 1, 2, 3, 'yes', 'no', 'yes', 'no', 'yes', 'yes', 'yes', 'no', 4, 3, 2, 2, 3, 3, 10]]</t>
  </si>
  <si>
    <t>['ID', 'school', 'sex', 'age', 'address', 'famsize', 'Pstatus', 'Medu', 'Fedu', 'Mjob', 'Fjob', 'reason', 'guardian', 'traveltime', 'studytime', 'failures', 'schoolsup', 'famsup', 'paid', 'activities', 'nursery', 'higher', 'internet', 'romantic', 'famrel', 'freetime', 'goout', 'Dalc', 'Walc', 'health', 'absences']</t>
  </si>
  <si>
    <t>L2_48</t>
  </si>
  <si>
    <t>Target2_48</t>
  </si>
  <si>
    <t>L2_49</t>
  </si>
  <si>
    <t>Target2_49</t>
  </si>
  <si>
    <t>['fname', 'row_count']</t>
  </si>
  <si>
    <t>[['01_1D_11', 24], ['01_1D_13', 25], ['01_1D_15', 25]]</t>
  </si>
  <si>
    <t>[[34, 19, 44, 0.0, 97, 0, 0, 0, '29_1A', 9, '29_1A_9'], [44, 68, 52, 0.0, 82, 1, 0, 0, '07_6D', 13, '07_6D_13'], [44, 60, 67, 0.912, 167, 1, 0, 0, '71_1B', 11, '71_1B_11']]</t>
  </si>
  <si>
    <t>[[1, '01_1D', 5, '01_1D_5', 'DB', 0.0, nan], [10, '01_2B', 5, '01_2B_5', 'MS', 0.0, nan], [19, '01_2C', 5, '01_2C_5', 'MS', 0.0, nan]]</t>
  </si>
  <si>
    <t>['ï»¿index', 'cop', 'day', 'fname', 'by', 'Ok?', 'remarks']</t>
  </si>
  <si>
    <t>L2_5</t>
  </si>
  <si>
    <t>Target2_5</t>
  </si>
  <si>
    <t>L2_50</t>
  </si>
  <si>
    <t>Target2_50</t>
  </si>
  <si>
    <t>['sex', 'G1', 'G2', 'G3']</t>
  </si>
  <si>
    <t>[['F', 9.86021505376344, 10.064516129032258, 9.86021505376344], ['M', 11.490384615384615, 11.403846153846152, 11.25]]</t>
  </si>
  <si>
    <t>L2_51</t>
  </si>
  <si>
    <t>Target2_51</t>
  </si>
  <si>
    <t>L2_52</t>
  </si>
  <si>
    <t>Target2_52</t>
  </si>
  <si>
    <t>L2_53</t>
  </si>
  <si>
    <t>Target2_53</t>
  </si>
  <si>
    <t>['Athlete', 'Age', 'Year', 'Closing Ceremony Date', 'Gold Medals', 'Silver Medals', 'Bronze Medals', 'Total Medals', 'Country', 'Sport']</t>
  </si>
  <si>
    <t>[['Michael Phelps', 23.0, 2008, '08/24/2008', 8, 0, 0, 8, 'United States', 'Swimming'], ['Michael Phelps', 19.0, 2004, '08/29/2004', 6, 0, 2, 8, 'United States', 'Swimming'], ['Michael Phelps', 27.0, 2012, '08/12/2012', 4, 2, 0, 6, 'United States', 'Swimming']]</t>
  </si>
  <si>
    <t>[['Michael Phelps', 'Swimming'], ['Natalie Coughlin', 'Swimming'], ['Aleksey Nemov', 'Gymnastics']]</t>
  </si>
  <si>
    <t>['Athlete', 'Sport']</t>
  </si>
  <si>
    <t>L2_54</t>
  </si>
  <si>
    <t>Target2_54</t>
  </si>
  <si>
    <t>L2_55</t>
  </si>
  <si>
    <t>Target2_55</t>
  </si>
  <si>
    <t>['movieId', 'title', 'genres', 'userId', 'rating']</t>
  </si>
  <si>
    <t>[[1, 'Toy Story (1995)', 'Adventure|Animation|Children|Comedy|Fantasy', 163.85470085470087, 3.8717948717948723], [2, 'Jumanji (1995)', 'Adventure|Children|Fantasy', 176.8035714285714, 3.3303571428571432], [3, 'Grumpier Old Men (1995)', 'Comedy|Romance', 154.1875, 3.296875]]</t>
  </si>
  <si>
    <t>[[1.0, 1.0, 4.0, 964982703.0], [1.0, 3.0, 4.0, 964981247.0], [1.0, 6.0, 4.0, 964982224.0]]</t>
  </si>
  <si>
    <t>L2_56</t>
  </si>
  <si>
    <t>Target2_56</t>
  </si>
  <si>
    <t>[['Amandaburgh', 346.08], ['Barajasview', 460.07], ['Carriemouth', 572.26]]</t>
  </si>
  <si>
    <t>L2_57</t>
  </si>
  <si>
    <t>Target2_57</t>
  </si>
  <si>
    <t>L2_58</t>
  </si>
  <si>
    <t>Target2_58</t>
  </si>
  <si>
    <t>['type', 'fare', 'ride_id', 'driver_count']</t>
  </si>
  <si>
    <t>[['Urban', 28911.04000000002, 5753155829718154, 47654]]</t>
  </si>
  <si>
    <t>L2_59</t>
  </si>
  <si>
    <t>Target2_59</t>
  </si>
  <si>
    <t>['user_id', 'movie_id', 'rating', 'timestamp', 'gender', 'age', 'occupation', 'zip', 'title', 'genres']</t>
  </si>
  <si>
    <t>[[5140, 1269, 4, 962058225, 'M', 25, 6, 35205, 'Arsenic and Old Lace (1944)', 'Comedy|Mystery|Thriller'], [195, 1269, 4, 977749101, 'M', 25, 12, 10458, 'Arsenic and Old Lace (1944)', 'Comedy|Mystery|Thriller'], [4144, 1269, 4, 965346761, 'M', 18, 4, 2451, 'Arsenic and Old Lace (1944)', 'Comedy|Mystery|Thriller']]</t>
  </si>
  <si>
    <t>[[5140, 1269, 4, 962058225], [5085, 2065, 4, 962396741], [3272, 1625, 4, 968198926]]</t>
  </si>
  <si>
    <t>L2_6</t>
  </si>
  <si>
    <t>Target2_6</t>
  </si>
  <si>
    <t>['committee_name_x', 'amount']</t>
  </si>
  <si>
    <t>[['ADULT USE CAMPAIGN FOR PROPOSITION 64; THE', 17089.0], ['AMERICAN PROGRESSIVE BAG ALLIANCE, A PROJECT OF THE SOCIETY OF THE PLASTICS INDUSTRY (NON-PROFIT 501 (C) (6)), YES ON 65 AND NO ON 67', 5362826.5], ['CALIFORNIA CALLS ACTION FUND (NONPROFIT 501(C)(4))', 208760.0]]</t>
  </si>
  <si>
    <t>L2_60</t>
  </si>
  <si>
    <t>Target2_60</t>
  </si>
  <si>
    <t>['Ord_id', 'Prod_id', 'Ship_id', 'Cust_id', 'Sales', 'Discount', 'Order_Quantity', 'Profit', 'Shipping_Cost', 'Product_Base_Margin', 'Product_Category', 'Product_Sub_Category', 'Customer_Name', 'Province', 'Region', 'Customer_Segment']</t>
  </si>
  <si>
    <t>[['Ord_5446', 'Prod_16', 'SHP_7609', 'Cust_1818', 136.81, 0.01, 23, -30.51, 3.6, 0.56, 'OFFICE SUPPLIES', 'SCISSORS, RULERS AND TRIMMERS', 'AARON BERGMAN', 'ALBERTA', 'WEST', 'CORPORATE'], ['Ord_5406', 'Prod_13', 'SHP_7549', 'Cust_1818', 42.27, 0.01, 13, 4.56, 0.93, 0.54, 'OFFICE SUPPLIES', 'PENS &amp; ART SUPPLIES', 'AARON BERGMAN', 'ALBERTA', 'WEST', 'CORPORATE'], ['Ord_5446', 'Prod_4', 'SHP_7610', 'Cust_1818', 4701.69, 0.0, 26, 1148.9, 2.5, 0.59, 'TECHNOLOGY', 'TELEPHONES AND COMMUNICATION', 'AARON BERGMAN', 'ALBERTA', 'WEST', 'CORPORATE']]</t>
  </si>
  <si>
    <t>L2_61</t>
  </si>
  <si>
    <t>Target2_61</t>
  </si>
  <si>
    <t>[[0.4577301235011395, -0.8678511331115777, -0.7682466139454779, 0.079749229490217], [0.18832522610104785, 0.04526305993144676, 0.6271173161311172, 0.3468234086663249], [-0.08622269864560063, -1.265800685905323, -1.7687727034931604, 0.11543010058097555]]</t>
  </si>
  <si>
    <t>L2_63</t>
  </si>
  <si>
    <t>Target2_63</t>
  </si>
  <si>
    <t>['city', 'driver_count', 'fare', 'ride_id']</t>
  </si>
  <si>
    <t>[['Amandaburgh', 12, 23.072, 5057696898269.134], ['Barajasview', 26, 28.754375, 5353622836034.3125], ['Carriemouth', 52, 27.250476190476192, 5522079655028.714]]</t>
  </si>
  <si>
    <t>L2_64</t>
  </si>
  <si>
    <t>Target2_64</t>
  </si>
  <si>
    <t>L2_65</t>
  </si>
  <si>
    <t>Target2_65</t>
  </si>
  <si>
    <t>[['01_1D_11', 23], ['01_1D_13', 28], ['01_1D_15', 29]]</t>
  </si>
  <si>
    <t>[[52, 103, 75, 0.0, 214, 1, 0, 0, '04_4A', 13, '04_4A_13'], [42, 98, 53, 0.5770000000000001, 135, 1, 0, 0, '33_5A', 15, '33_5A_15'], [36, 60, 100, 0.182, 144, 1, 0, 0, '72_5C', 17, '72_5C_17']]</t>
  </si>
  <si>
    <t>L2_66</t>
  </si>
  <si>
    <t>Target2_66</t>
  </si>
  <si>
    <t>L2_67</t>
  </si>
  <si>
    <t>Target2_67</t>
  </si>
  <si>
    <t>['user_id', 'timestamp', 'source', 'device', 'operative_system', 'test', 'price', 'converted', 'city']</t>
  </si>
  <si>
    <t>[[99856, '2015-04-05 14:06:16', 'ads-google', 'mobile', 'android', 1, 59, 0, 'Lexington'], [99856, '2015-04-05 14:06:16', 'ads-google', 'mobile', 'android', 1, 59, 0, 'Lexington'], [566389, '2015-04-17 18:19:21', 'seo_facebook', 'mobile', 'android', 0, 39, 0, 'Fort Worth']]</t>
  </si>
  <si>
    <t>[[99856, '2015-04-05 14:06:16', 'ads-google', 'mobile', 'android', 1, 59, 0], [362996, '2015-04-28 15:35:06', 'ads-google', 'web', 'windows', 0, 39, 0], [566389, '2015-04-17 18:19:21', 'seo_facebook', 'mobile', 'android', 0, 39, 0]]</t>
  </si>
  <si>
    <t>[[619233, 'New York', 'USA', 40.67, -73.94], [271642, 'Indianapolis', 'USA', 39.78, -86.15], [474962, 'Boulder', 'USA', 40.03, -105.25]]</t>
  </si>
  <si>
    <t>['user_id', 'city', 'country', 'lat', 'long']</t>
  </si>
  <si>
    <t>L2_68</t>
  </si>
  <si>
    <t>Target2_68</t>
  </si>
  <si>
    <t>['school_name', 'type', 'Total Students', 'Total School Budget', 'Average Math Score', 'Average Reading Score']</t>
  </si>
  <si>
    <t>[['Bailey High School', 'District', 4976, 3124928, 77.10151691948658, 80.85822637106185], ['Cabrera High School', 'Charter', 1858, 1081356, 83.06189451022605, 83.97578040904197], ['Figueroa High School', 'District', 2949, 1884411, 76.71176670057645, 81.15801966768396]]</t>
  </si>
  <si>
    <t>L2_69</t>
  </si>
  <si>
    <t>Target2_69</t>
  </si>
  <si>
    <t>L2_7</t>
  </si>
  <si>
    <t>Target2_7</t>
  </si>
  <si>
    <t>['contributor_firstname', 'contributor_lastname', 'amount']</t>
  </si>
  <si>
    <t>[['A C', 'SEE', 574.16], ['A G', 'VASQUEZ', 574.16], ['A O', 'LETT', 574.16]]</t>
  </si>
  <si>
    <t>L2_70</t>
  </si>
  <si>
    <t>Target2_70</t>
  </si>
  <si>
    <t>['school_name', '10th', '11th', '12th', '9th']</t>
  </si>
  <si>
    <t>[['Bailey High School', 76.4562647754137, 78.3062645011601, 76.67732558139534, 76.90697674418605], ['Cabrera High School', 83.15450643776823, 82.76556016597509, 83.27748691099477, 83.09469696969697], ['Figueroa High School', 76.53997378768021, 76.88434414668549, 77.1513687600644, 76.40303738317758]]</t>
  </si>
  <si>
    <t>L2_71</t>
  </si>
  <si>
    <t>Target2_71</t>
  </si>
  <si>
    <t>['type', 'reading_score']</t>
  </si>
  <si>
    <t>[['Charter', 83.88860244233379], ['District', 81.03700368399508]]</t>
  </si>
  <si>
    <t>L2_72</t>
  </si>
  <si>
    <t>Target2_72</t>
  </si>
  <si>
    <t>L2_73</t>
  </si>
  <si>
    <t>Target2_73</t>
  </si>
  <si>
    <t>L2_74</t>
  </si>
  <si>
    <t>Target2_74</t>
  </si>
  <si>
    <t>L2_75</t>
  </si>
  <si>
    <t>Target2_75</t>
  </si>
  <si>
    <t>L2_76</t>
  </si>
  <si>
    <t>Target2_76</t>
  </si>
  <si>
    <t>L2_77</t>
  </si>
  <si>
    <t>Target2_77</t>
  </si>
  <si>
    <t>[['Alvarezhaven', 462], ['Alyssaberg', 1474], ['Antoniomouth', 294]]</t>
  </si>
  <si>
    <t>L2_78</t>
  </si>
  <si>
    <t>Target2_78</t>
  </si>
  <si>
    <t>L2_79</t>
  </si>
  <si>
    <t>Target2_79</t>
  </si>
  <si>
    <t>L2_8</t>
  </si>
  <si>
    <t>Target2_8</t>
  </si>
  <si>
    <t>L2_81</t>
  </si>
  <si>
    <t>Target2_81</t>
  </si>
  <si>
    <t>L2_82</t>
  </si>
  <si>
    <t>Target2_82</t>
  </si>
  <si>
    <t>L2_83</t>
  </si>
  <si>
    <t>Target2_83</t>
  </si>
  <si>
    <t>['date', 'price']</t>
  </si>
  <si>
    <t>[['2019-05-24', 799900], ['2017-08-04', 745000], ['2017-07-08', 749900]]</t>
  </si>
  <si>
    <t>[['2019-05-24', '$799,900 '], ['2017-08-04', '$745,000 '], ['2017-07-08', '$749,900 ']]</t>
  </si>
  <si>
    <t>1.0, 6.860122110173561e-05</t>
  </si>
  <si>
    <t>L2_84</t>
  </si>
  <si>
    <t>Target2_84</t>
  </si>
  <si>
    <t>['type', 'ride_id']</t>
  </si>
  <si>
    <t>L2_85</t>
  </si>
  <si>
    <t>Target2_85</t>
  </si>
  <si>
    <t>L2_86</t>
  </si>
  <si>
    <t>Target2_86</t>
  </si>
  <si>
    <t>[['01_1D_11', 20], ['01_1D_13', 22], ['01_1D_15', 23]]</t>
  </si>
  <si>
    <t>[[60, 48, 52, 1.296, 164, 1, 0, 0, '70_4A', 13, '70_4A_13'], [46, 10, 58, 1.095, 119, 1, 0, 0, '66_6C', 15, '66_6C_15'], [37, 49, 107, 0.28800000000000003, 185, 0, 0, 0, '19_3A', 5, '19_3A_5']]</t>
  </si>
  <si>
    <t>L2_87</t>
  </si>
  <si>
    <t>Target2_87</t>
  </si>
  <si>
    <t>['Name']</t>
  </si>
  <si>
    <t>[['Harris'], ['Bradley'], [nan]]</t>
  </si>
  <si>
    <t>L2_88</t>
  </si>
  <si>
    <t>Target2_88</t>
  </si>
  <si>
    <t>L2_89</t>
  </si>
  <si>
    <t>Target2_89</t>
  </si>
  <si>
    <t>L2_9</t>
  </si>
  <si>
    <t>Target2_9</t>
  </si>
  <si>
    <t>L2_90</t>
  </si>
  <si>
    <t>Target2_90</t>
  </si>
  <si>
    <t>['day', 'metric', 'value']</t>
  </si>
  <si>
    <t>[['jeudi', 'ensoleillement', 5.0], ['lundi', 'ensoleillement', 4.0], ['mardi', 'ensoleillement', 2.0]]</t>
  </si>
  <si>
    <t>[['lundi', 'temperature', 20], ['lundi', 'ensoleillement', 4], ['lundi', 'pluie', 2]]</t>
  </si>
  <si>
    <t>L2_91</t>
  </si>
  <si>
    <t>Target2_91</t>
  </si>
  <si>
    <t>L2_92</t>
  </si>
  <si>
    <t>Target2_92</t>
  </si>
  <si>
    <t>L2_93</t>
  </si>
  <si>
    <t>Target2_93</t>
  </si>
  <si>
    <t>L2_94</t>
  </si>
  <si>
    <t>Target2_94</t>
  </si>
  <si>
    <t>[[-0.21402038571944507, 0.6625250041013664, -0.408772759809844, 0.3953634272874623], [-0.8008658941540171, 0.5797281888305769, 1.91264812082016, 0.003080517133497667], [0.9642541173817372, -0.9236134824685932, 2.1072251430005813, -0.040066382563889516]]</t>
  </si>
  <si>
    <t>L2_95</t>
  </si>
  <si>
    <t>Target2_95</t>
  </si>
  <si>
    <t>['School Name', 'Student Grade', 'School ID', 'School Size', 'School Budget', 'Student ID', 'Student Reading Score', 'Average Student Math Score']</t>
  </si>
  <si>
    <t>[['Bailey High School', '10th', 7, 4976, 3124928, 18708.34042553192, 80.86288416075651, 76.4562647754137], ['Bailey High School', '11th', 7, 4976, 3124928, 18729.670533642693, 80.8584686774942, 78.3062645011601], ['Bailey High School', '12th', 7, 4976, 3124928, 18688.08430232558, 81.15406976744184, 76.67732558139534]]</t>
  </si>
  <si>
    <t>['School ID', 'name', 'type', 'size', 'budget']</t>
  </si>
  <si>
    <t>['Student ID', 'name', 'gender', 'grade', 'school', 'reading_score', 'math_score']</t>
  </si>
  <si>
    <t>L2_96</t>
  </si>
  <si>
    <t>Target2_96</t>
  </si>
  <si>
    <t>[['01_1D_11', 25], ['01_1D_13', 22], ['01_1D_15', 23]]</t>
  </si>
  <si>
    <t>[[48, 22, 23, 0.0, 199, 1, 0, 0, '52_4C', 9, '52_4C_9'], [48, 44, 16, 0.816, 109, 1, 0, 0, '01_2C', 17, '01_2C_17'], [11, 72, 89, 0.0, 219, 0, 0, 0, '24_3C', 9, '24_3C_9']]</t>
  </si>
  <si>
    <t>L2_97</t>
  </si>
  <si>
    <t>Target2_97</t>
  </si>
  <si>
    <t>L2_98</t>
  </si>
  <si>
    <t>Target2_98</t>
  </si>
  <si>
    <t>L3_0</t>
  </si>
  <si>
    <t>Target3_0</t>
  </si>
  <si>
    <t>['SN', 'Total Purchase Value', 'Purchase Count']</t>
  </si>
  <si>
    <t>[['Adastirin33', 4.48, 1], ['Aeda94', 4.91, 1], ['Aela59', 4.32, 1]]</t>
  </si>
  <si>
    <t>L3_1</t>
  </si>
  <si>
    <t>Target3_1</t>
  </si>
  <si>
    <t>L3_10</t>
  </si>
  <si>
    <t>Target3_10</t>
  </si>
  <si>
    <t>['Postalcode', 'Latitude', 'Longitude', 'Borough', 'Neighborhood', 'Neighborhood_joined']</t>
  </si>
  <si>
    <t>[['M1B', 43.8066863, -79.19435340000003, 'Scarborough', 'Malvern, Rouge', 'Malvern, Rouge'], ['M1C', 43.7845351, -79.16049709999999, 'Scarborough', 'Rouge Hill, Port Union, Highland Creek', 'Rouge Hill, Port Union, Highland Creek'], ['M1E', 43.7635726, -79.1887115, 'Scarborough', 'Guildwood, Morningside, West Hill', 'Guildwood, Morningside, West Hill']]</t>
  </si>
  <si>
    <t>[['M1A', 'Not assigned', 'Not assigned'], ['M2A', 'Not assigned', 'Not assigned'], ['M3A', 'North York', 'Parkwoods']]</t>
  </si>
  <si>
    <t>['Postalcode', 'Borough', 'Neighborhood']</t>
  </si>
  <si>
    <t>[['M1B', 43.8066863, -79.19435340000003], ['M1C', 43.7845351, -79.16049709999999], ['M1E', 43.7635726, -79.1887115]]</t>
  </si>
  <si>
    <t>['Postalcode', 'Latitude', 'Longitude']</t>
  </si>
  <si>
    <t>L3_100</t>
  </si>
  <si>
    <t>Target3_100</t>
  </si>
  <si>
    <t>['Rank', '0']</t>
  </si>
  <si>
    <t>[[1, 1], [3, 1], [4, 1]]</t>
  </si>
  <si>
    <t>[[1, 'China', 127050, 126767, 597237, 411683, 4.7, 138], [2, 'United States', 96661, 94747, 792274, 265436, 8.2, 230], [3, 'Japan', 30504, 30287, 223024, 61554, 7.31, 134]]</t>
  </si>
  <si>
    <t>['Rank', 'Country', 'Documents', 'Citable documents', 'Citations', 'Self-citations', 'Citations per document', 'H index']</t>
  </si>
  <si>
    <t>[['Afghanistan', 321000000.0, 10.0, 78.66928], ['Albania', 102000000.0, 35.0, 100.0], ['Algeria', 1959000000.0, 51.0, 0.55101]]</t>
  </si>
  <si>
    <t>['Country', 'Energy Supply', 'Energy Supply per Capita', '% Renewable']</t>
  </si>
  <si>
    <t>[['Aruba', 'ABW', 'GDP at market prices (constant 2010 US$)', 'NY.GDP.MKTP.KD', nan, nan, nan, nan, nan, nan, nan, nan, nan, nan, nan, nan, nan, nan, nan, nan, nan, nan, nan, nan, nan, nan, nan, nan, nan, nan, nan, nan, nan, nan, nan, nan, nan, nan, nan, nan, nan, nan, nan, nan, nan, nan, nan, nan, nan, nan, nan, nan, nan, nan, 2467703910.61453, nan, nan, nan, nan, nan], ['Andorra', 'AND', 'GDP at market prices (constant 2010 US$)', 'NY.GDP.MKTP.KD', nan, nan, nan, nan, nan, nan, nan, nan, nan, nan, 1022871401.9376099, 1070429536.9666599, 1157666822.22471, 1247831302.2806098, 1317944270.10389, 1325090206.69843, 1368868423.74087, 1407724771.11631, 1428319832.5687, 1428913249.71927, 1460474058.82573, 1458539387.76721, 1476719523.0981, 1502859168.80367, 1529680509.57141, 1565191061.36678, 1616111761.51642, 1705759462.1754801, 1792656379.7885802, 1879188446.0157602, 1950247955.3502, 1999901280.7926, 2018484671.13457, 1997664169.00582, 2045272407.1415696, 2101670670.58746, 2199392933.592561, 2398826713.99845, 2475464141.15257, 2576935425.0867896, 2606977004.92985, 2765136580.02845, 2942847625.89494, 3296693262.4915104, 3562720066.76084, 3842026792.0162396, 4018195653.51015, 4021331428.40105, 3675727910.50681, 3535389132.6024103, 3346317328.52461, 3185604581.52029, 3129537611.8862, 3127549907.58377, nan, nan], ['Afghanistan', 'AFG', 'GDP at market prices (constant 2010 US$)', 'NY.GDP.MKTP.KD', nan, nan, nan, nan, nan, nan, nan, nan, nan, nan, nan, nan, nan, nan, nan, nan, nan, nan, nan, nan, nan, nan, nan, nan, nan, nan, nan, nan, nan, nan, nan, nan, nan, nan, nan, nan, nan, nan, nan, nan, nan, nan, 8013233121.55065, 8689883606.077759, 8781610175.40574, 9762978844.07633, 10305228125.1392, 11721187594.2052, 12144482858.18, 14697331940.6464, 15936800636.2487, 16911126453.2276, 19352203805.6294, 19731337260.6378, 19990317160.6756, 20294152243.0072]]</t>
  </si>
  <si>
    <t>['Country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t>
  </si>
  <si>
    <t>L3_11</t>
  </si>
  <si>
    <t>Target3_11</t>
  </si>
  <si>
    <t>['SN', 'Price', 'count']</t>
  </si>
  <si>
    <t>L3_12</t>
  </si>
  <si>
    <t>Target3_12</t>
  </si>
  <si>
    <t>L3_13</t>
  </si>
  <si>
    <t>Target3_13</t>
  </si>
  <si>
    <t>L3_14</t>
  </si>
  <si>
    <t>Target3_14</t>
  </si>
  <si>
    <t>[['$1,000,000 Duck (1971)', 2157.25, 2031, 2.5, 991944034.25, 25.75, 2.0], ["'Night Mother (1986)", 4472.714285714285, 3112, 3.0, 976863157.1428572, 34.42857142857143, 6.142857142857142], ["'Til There Was You (1997)", 2734.2, 779, 2.4, 970319599.8, 27.6, 10.0]]</t>
  </si>
  <si>
    <t>[[1150, 3359, 3, 975196409], [4858, 715, 5, 963746089], [1269, 2421, 3, 974814998]]</t>
  </si>
  <si>
    <t>L3_15</t>
  </si>
  <si>
    <t>Target3_15</t>
  </si>
  <si>
    <t>['title', 'F', 'M']</t>
  </si>
  <si>
    <t>[['$1,000,000 Duck (1971)', 3.6666666666666665, 2.5], ["'Night Mother (1986)", 3.6, 3.8], ["'Til There Was You (1997)", 2.75, nan]]</t>
  </si>
  <si>
    <t>1.0, 0.21297134238310708, 0.06033182503770739</t>
  </si>
  <si>
    <t>[[4447, 3685, 3, 965175445], [5831, 2180, 4, 957905889], [1673, 3799, 5, 974949351]]</t>
  </si>
  <si>
    <t>L3_16</t>
  </si>
  <si>
    <t>Target3_16</t>
  </si>
  <si>
    <t>[['$1,000,000 Duck (1971)', 3.0, 2.0], ["'Night Mother (1986)", 3.2, 4.0], ["'Til There Was You (1997)", 2.375, 2.0]]</t>
  </si>
  <si>
    <t>1.0, 0.21487101669195752, 0.058877086494688924</t>
  </si>
  <si>
    <t>[[5072, 1197, 5, 962450195], [2299, 541, 4, 974497718], [4832, 2467, 4, 962998591]]</t>
  </si>
  <si>
    <t>L3_17</t>
  </si>
  <si>
    <t>Target3_17</t>
  </si>
  <si>
    <t>[['$1,000,000 Duck (1971)', nan, 5.0], ["'Night Mother (1986)", 3.0, 4.333333333333333], ["'Til There Was You (1997)", 3.0, 2.0]]</t>
  </si>
  <si>
    <t>[[5209, 835, 5, 961605901], [5103, 3441, 3, 962413843], [1532, 2709, 1, 974825189]]</t>
  </si>
  <si>
    <t>1.0, 0.20837097259861487, 0.06775067750677506</t>
  </si>
  <si>
    <t>L3_18</t>
  </si>
  <si>
    <t>Target3_18</t>
  </si>
  <si>
    <t>[['$1,000,000 Duck (1971)', 3462.5, 2031, 3.5, 979943887.25, 32.5, 0.5], ["'Night Mother (1986)", 4064.6, 3112, 3.4, 965988922.0, 35.0, 5.2], ["'Til There Was You (1997)", 3281.8, 779, 3.2, 967709522.8, 18.8, 5.0]]</t>
  </si>
  <si>
    <t>[[1155, 296, 4, 974865005], [1883, 3528, 4, 974876785], [1181, 3423, 3, 976070653]]</t>
  </si>
  <si>
    <t>L3_19</t>
  </si>
  <si>
    <t>Target3_19</t>
  </si>
  <si>
    <t>[['$1,000,000 Duck (1971)', 1410.5, 2031, 3.5, 979816157.0, 25.0, 11.5], ["'Night Mother (1986)", 3138.875, 3112, 3.5, 969441319.0, 24.5, 4.625], ["'Til There Was You (1997)", 2709.4, 779, 2.2, 971027990.6, 29.8, 4.0]]</t>
  </si>
  <si>
    <t>[[2751, 1270, 3, 973197696], [5504, 1923, 2, 959737785], [923, 223, 2, 975201257]]</t>
  </si>
  <si>
    <t>L3_2</t>
  </si>
  <si>
    <t>Target3_2</t>
  </si>
  <si>
    <t>['title', 'user_id', 'age', 'occupation', 'movie_id', 'rating', 'timestamp']</t>
  </si>
  <si>
    <t>[['$1,000,000 Duck (1971)', 1498.0, 41.66666666666666, 5.666666666666668, 2031, 2.6666666666666665, 988296816.0], ["'Night Mother (1986)", 2380.0, 36.0, 10.5, 3112, 4.0, 972447839.0], ["'Til There Was You (1997)", 2838.0, 25.375, 8.125, 779, 3.125, 977497484.375]]</t>
  </si>
  <si>
    <t>[[2018, 3358, 5, 974679997], [1352, 3010, 5, 1029537654], [5954, 2301, 3, 957653480]]</t>
  </si>
  <si>
    <t>L3_20</t>
  </si>
  <si>
    <t>Target3_20</t>
  </si>
  <si>
    <t>['SN', 'Price']</t>
  </si>
  <si>
    <t>[['Adastirin33', 4.48], ['Aeda94', 4.91], ['Aela59', 4.32]]</t>
  </si>
  <si>
    <t>L3_21</t>
  </si>
  <si>
    <t>Target3_21</t>
  </si>
  <si>
    <t>['Country', 'AverageTemperature_x', 'AverageTemperature_y']</t>
  </si>
  <si>
    <t>[['Afghanistan', 27.988000000000003, -4.254], ['Africa', 26.843000000000004, 19.79], ['Albania', 25.081, -2.0489999999999995]]</t>
  </si>
  <si>
    <t>[['1919-01-01', 21.386999999999997, 0.596, 'Palestina'], ['1875-03-01', 24.655, 0.966, 'Saint Barthélemy'], ['1911-02-01', 25.145, 0.762, 'Grenada']]</t>
  </si>
  <si>
    <t>['dt', 'AverageTemperature', 'AverageTemperatureUncertainty', 'Country']</t>
  </si>
  <si>
    <t>L3_22</t>
  </si>
  <si>
    <t>Target3_22</t>
  </si>
  <si>
    <t>['Department', '20153', '20161', '20162']</t>
  </si>
  <si>
    <t>[['ACCT', 3407.0, 2985.0, 241.0], ['BAEP', 977.0, 954.0, 11.0], ['BUCO', 599.0, 282.0, 117.0]]</t>
  </si>
  <si>
    <t>[['ACCT-370', 'ACCT', 370, 'ACCT', '10:00:00', 'F', '11:50:00', 'Hopkins, Merle, W', 3783353564.0, 'SLH200', nan, 0.0, 0.0, 'L', 106, 135, nan, nan, nan, nan, nan, nan, 14029, 1, 20153, 'External Financial Reporting Issues'], ['ACCT-370', 'ACCT', 370, 'ACCT', '08:00:00', 'MW', '09:50:00', 'Hopkins, Merle, W', 3783353564.0, 'ACC303', 'A', 4.0, 4.0, 'C', 24, 42, nan, nan, nan, nan, nan, nan, 14025, 1, 20153, 'External Financial Reporting Issues'], ['ACCT-370', 'ACCT', 370, 'ACCT', '10:00:00', 'MW', '11:50:00', 'Hopkins, Merle, W', 3783353564.0, 'ACC303', nan, 4.0, 4.0, 'C', 40, 42, nan, nan, nan, nan, nan, nan, 14026, 1, 20153, 'External Financial Reporting Issues']]</t>
  </si>
  <si>
    <t>['Course', 'Course Prefix', 'Course Suffix', 'Department', 'First Begin Time', 'First Days', 'First End Time', 'First Instructor', 'First Instructor UID', 'First Room', 'Link', 'Max Units', 'Min Units', 'Mode', 'Reg Count', 'Seats', 'Second Begin Time', 'Second Days', 'Second End Time', 'Second Instructor', 'Second Instructor UID', 'Second Room', 'Section', 'Session', 'Term', 'Title']</t>
  </si>
  <si>
    <t>[['ACC 306B', 16], ['ACC201', 48], ['ACC205', 36]]</t>
  </si>
  <si>
    <t>['Room', 'Size']</t>
  </si>
  <si>
    <t>L3_23</t>
  </si>
  <si>
    <t>Target3_23</t>
  </si>
  <si>
    <t>L3_24</t>
  </si>
  <si>
    <t>Target3_24</t>
  </si>
  <si>
    <t>[['$1,000,000 Duck (1971)', 2.5, 3.0], ["'Night Mother (1986)", 4.0, nan], ["'Til There Was You (1997)", 3.0, 2.6666666666666665]]</t>
  </si>
  <si>
    <t>1.0, 0.3118766999093382, 0.11846479298881837</t>
  </si>
  <si>
    <t>[[3786, 247, 5, 966021185], [4728, 3418, 3, 982382174], [2040, 373, 1, 974667894]]</t>
  </si>
  <si>
    <t>L3_26</t>
  </si>
  <si>
    <t>Target3_26</t>
  </si>
  <si>
    <t>['title', '0']</t>
  </si>
  <si>
    <t>[['$1,000,000 Duck (1971)', -0.6130952380952381], ["'Night Mother (1986)", -0.035947712418300526], ["'Til There Was You (1997)", 0.05765765765765751]]</t>
  </si>
  <si>
    <t>[[4608, 517, 2, 964190887], [3327, 2763, 4, 972988363], [3539, 3033, 3, 967016787]]</t>
  </si>
  <si>
    <t>L3_27</t>
  </si>
  <si>
    <t>Target3_27</t>
  </si>
  <si>
    <t>[['$1,000,000 Duck (1971)', 3331.25, 2031, 2.5, 1003854976.75, 32.5, 2.5], ["'Night Mother (1986)", 2597.5714285714284, 3112, 3.1428571428571432, 971151795.8571428, 27.857142857142854, 4.142857142857143], ["'Til There Was You (1997)", 1865.0, 779, 2.4285714285714284, 976290127.2857145, 36.714285714285715, 7.428571428571429]]</t>
  </si>
  <si>
    <t>[[3401, 1021, 4, 980127148], [439, 1704, 4, 976310304], [752, 2657, 3, 976221429]]</t>
  </si>
  <si>
    <t>L3_28</t>
  </si>
  <si>
    <t>Target3_28</t>
  </si>
  <si>
    <t>['city', 'driver_count', 'type', 'Average Fare', 'Ride Count']</t>
  </si>
  <si>
    <t>[['Richardfort', 38, 'Urban', 23.92375, 16], ['Williamsstad', 59, 'Urban', 25.21421052631579, 19], ['Port Angela', 67, 'Urban', 24.93875, 16]]</t>
  </si>
  <si>
    <t>1.0, 1.0, 1.0, 0.06060606060606061, 1.0</t>
  </si>
  <si>
    <t>L3_29</t>
  </si>
  <si>
    <t>Target3_29</t>
  </si>
  <si>
    <t>L3_3</t>
  </si>
  <si>
    <t>Target3_3</t>
  </si>
  <si>
    <t>[['$1,000,000 Duck (1971)', 2030.0, 25.0, 4.0, 2031, 2.0, 974746245.0], ["'Night Mother (1986)", 3711.666666666666, 33.5, 8.666666666666666, 3112, 3.0, 969680469.5], ["'Til There Was You (1997)", 2474.5, 31.66666666666667, 9.666666666666666, 779, 3.0, 970823900.5]]</t>
  </si>
  <si>
    <t>[[1861, 1196, 4, 974697165], [3077, 173, 3, 969831325], [2800, 780, 5, 972860548]]</t>
  </si>
  <si>
    <t>L3_30</t>
  </si>
  <si>
    <t>Target3_30</t>
  </si>
  <si>
    <t>L3_31</t>
  </si>
  <si>
    <t>Target3_31</t>
  </si>
  <si>
    <t>[['$1,000,000 Duck (1971)', 3.8, 3.0], ["'Night Mother (1986)", 3.75, 3.5], ["'Til There Was You (1997)", 2.75, 3.0]]</t>
  </si>
  <si>
    <t>1.0, 0.31035520770620106, 0.12612883804936786</t>
  </si>
  <si>
    <t>[[3885, 3780, 3, 965811253], [4036, 1304, 4, 965509356], [1678, 1603, 3, 974710014]]</t>
  </si>
  <si>
    <t>L3_32</t>
  </si>
  <si>
    <t>Target3_32</t>
  </si>
  <si>
    <t>[['$1,000,000 Duck (1971)', 3018.75, 2031, 3.0, 981024504.0, 28.25, 7.0], ["'Night Mother (1986)", 3127.714285714286, 3112, 3.4285714285714284, 970016107.7142855, 35.714285714285715, 9.0], ["'Til There Was You (1997)", 4502.2, 779, 3.0, 963476106.4, 27.0, 7.4]]</t>
  </si>
  <si>
    <t>[[1943, 3608, 5, 974768184], [718, 2628, 4, 975575266], [2015, 185, 2, 974757623]]</t>
  </si>
  <si>
    <t>L3_33</t>
  </si>
  <si>
    <t>Target3_33</t>
  </si>
  <si>
    <t>[['$1,000,000 Duck (1971)', 2186.6666666666665, 2031, 3.0, 972628209.6666666, 35.0, 2.333333333333333], ["'Night Mother (1986)", 2712.0, 3112, 3.0, 969226305.25, 38.75, 5.5], ["'Til There Was You (1997)", 3795.25, 779, 2.75, 967453866.25, 24.0, 8.625]]</t>
  </si>
  <si>
    <t>[[5184, 475, 5, 961735570], [5602, 3361, 4, 959816270], [2792, 1377, 2, 972934299]]</t>
  </si>
  <si>
    <t>L3_34</t>
  </si>
  <si>
    <t>Target3_34</t>
  </si>
  <si>
    <t>['Country Name', 'Country Code', 'Year', 'Rural Value', 'Electricity Value']</t>
  </si>
  <si>
    <t>[['Aruba', 'ABW', 'Indicator Name', 'Rural population (% of total population)', 'Access to electricity (% of population)'], ['Afghanistan', 'AFG', 'Indicator Name', 'Rural population (% of total population)', 'Access to electricity (% of population)'], ['Angola', 'AGO', 'Indicator Name', 'Rural population (% of total population)', 'Access to electricity (% of population)']]</t>
  </si>
  <si>
    <t>[['Aruba', 'ABW', 'Rural population (% of total population)', 'SP.RUR.TOTL.ZS', 49.224, 49.239, 49.254, 49.27, 49.285, 49.3, 49.315, 49.33, 49.346, 49.361, 49.37600000000001, 49.39100000000001, 49.407, 49.422, 49.437, 49.452, 49.468, 49.483, 49.49800000000001, 49.51300000000001, 49.528, 49.544, 49.559, 49.574, 49.589, 49.605, 49.62, 49.635, 49.65, 49.665, 49.681, 49.69600000000001, 50.002, 50.412, 50.823, 51.233, 51.644, 52.054, 52.464, 52.87300000000001, 53.283, 53.661, 54.028, 54.394, 54.76, 55.125, 55.489, 55.853, 56.217, 56.57899999999999, 56.941, 57.302, 57.636, 57.942, 58.221, 58.472, 58.69600000000001, 58.893], ['Afghanistan', 'AFG', 'Rural population (% of total population)', 'SP.RUR.TOTL.ZS', 91.779, 91.492, 91.195, 90.89, 90.574, 90.25, 89.915, 89.57, 89.214, 88.848, 88.471, 88.083, 87.684, 87.274, 86.851, 86.417, 85.971, 85.51299999999998, 85.042, 84.565, 84.319, 84.07, 83.818, 83.56299999999997, 83.304, 83.042, 82.777, 82.509, 82.23700000000002, 81.962, 81.684, 81.403, 81.118, 80.83, 80.538, 80.243, 79.945, 79.64399999999998, 79.339, 79.03, 78.718, 78.404, 78.085, 77.763, 77.438, 77.105, 76.763, 76.413, 76.054, 75.687, 75.311, 74.926, 74.532, 74.12899999999998, 73.718, 73.297, 72.868, 72.43], ['Angola', 'AGO', 'Rural population (% of total population)', 'SP.RUR.TOTL.ZS', 89.565, 89.20200000000001, 88.796, 88.376, 87.94200000000002, 87.49600000000002, 87.035, 86.559, 86.068, 85.564, 85.04299999999998, 84.566, 84.125, 83.676, 83.215, 82.745, 82.26299999999998, 81.77199999999998, 81.27, 80.758, 80.234, 79.70100000000002, 79.157, 78.602, 78.035, 77.459, 76.872, 76.275, 75.666, 75.048, 74.418, 73.779, 73.128, 72.47, 71.8, 71.12, 70.43, 69.732, 69.025, 68.308, 67.581, 66.848, 66.105, 65.355, 64.595, 63.831, 63.058, 62.278, 61.49100000000001, 60.701, 59.903, 59.1, 58.301, 57.51, 56.726000000000006, 55.95, 55.181, 54.422]]</t>
  </si>
  <si>
    <t>['Country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t>
  </si>
  <si>
    <t>[['Aruba', 'ABW', 'Access to electricity (% of population)', 'EG.ELC.ACCS.ZS', nan, nan, nan, nan, nan, nan, nan, nan, nan, nan, nan, nan, nan, nan, nan, nan, nan, nan, nan, nan, nan, nan, nan, nan, nan, nan, nan, nan, nan, nan, 88.4453506469727, 88.7808456420898, 89.1158294677734, 89.44775390625, 89.7735595703125, 90.0901870727539, 90.3945846557617, 90.6836776733398, 90.9544219970703, 91.2037506103516, 91.6603980031457, 91.63809204101558, 91.8337173461914, 92.0230484008789, 92.21216583251949, 92.4071197509765, 92.61398315429692, 92.8388214111328, 93.086166381836, 93.3545455932617, 93.3562921509542, 93.94237518310551, 94.2558135986328, 94.5782623291016, 94.9067230224609, 95.2381820678711, 95.5701446533203, nan], ['Afghanistan', 'AFG', 'Access to electricity (% of population)', 'EG.ELC.ACCS.ZS', nan, nan, nan, nan, nan, nan, nan, nan, nan, nan, nan, nan, nan, nan, nan, nan, nan, nan, nan, nan, nan, nan, nan, nan, nan, nan, nan, nan, nan, nan, 0.00999999977648258, 0.00999999977648258, 0.00999999977648258, 0.00999999977648258, 0.00999999977648258, 0.00999999977648258, 0.00999999977648258, 0.00999999977648258, 0.0219771377742291, 0.179634585976601, 0.959755897521973, 0.77653694152832, 6.267393589019768, 11.751966476440401, 17.2363185882568, 23.0, 28.228612899780305, 33.7486801147461, 42.4, 44.854885101318395, 42.7, 43.22201890820371, 69.1, 67.25955200195311, 89.5, 71.5, 84.1371383666992, nan], ['Angola', 'AGO', 'Access to electricity (% of population)', 'EG.ELC.ACCS.ZS', nan, nan, nan, nan, nan, nan, nan, nan, nan, nan, nan, nan, nan, nan, nan, nan, nan, nan, nan, nan, nan, nan, nan, nan, nan, nan, nan, nan, nan, nan, 11.397808074951199, 12.5793790817261, 13.7604398727417, 14.9384412765503, 16.1103248596191, 17.2730312347412, 18.4235019683838, 19.5586757659912, 20.675495147705103, 21.7709007263184, 22.843355178832997, 20.0, 24.939094543457, 25.9745082855225, 27.0097007751465, 28.050735473632802, 29.1036758422852, 37.5, 31.2680130004883, 32.3824691772461, 33.514949798584, 34.6, 35.821964263916, 36.9904899597168, 32.0, 42.0, 40.5206069946289, nan]]</t>
  </si>
  <si>
    <t>L3_35</t>
  </si>
  <si>
    <t>Target3_35</t>
  </si>
  <si>
    <t>['bidder_id', 'payment_account', 'address', 'outcome', 'country', 'bids_count']</t>
  </si>
  <si>
    <t>[['585e7c21b80baf2225224fe140cdb1a73ddrf', 'a3d2de7675556553a5f08e4c88d2c228bvufu', 'a3d2de7675556553a5f08e4c88d2c22881vc1', 0.0, 'id', 1], ['d91a4421996dcf429f575e372915cdcedae6g', 'a3d2de7675556553a5f08e4c88d2c2286gew9', 'e350bda3ceb6067cad400ae931c3527aetdd8', 0.0, 'in', 2], ['d91a4421996dcf429f575e372915cdcedae6g', 'a3d2de7675556553a5f08e4c88d2c2286gew9', 'e350bda3ceb6067cad400ae931c3527aetdd8', 0.0, 'ru', 1]]</t>
  </si>
  <si>
    <t>[[6342332, '9655ccc7c0c193f1549475f02c54dce45kjw7', 270, 'sporting goods', 'phone2792', 9701563052631578, 'us', '49.124.132.10', 'vasstdc27m7nks3'], [6705384, '9655ccc7c0c193f1549475f02c54dce45kjw7', 270, 'sporting goods', 'phone118', 9704049736842105, 'us', '173.144.231.41', 'vasstdc27m7nks3'], [7282618, '9655ccc7c0c193f1549475f02c54dce45kjw7', 270, 'sporting goods', 'phone933', 9707223894736842, 'us', '215.249.120.206', 'vasstdc27m7nks3']]</t>
  </si>
  <si>
    <t>['bid_id', 'bidder_id', 'auction', 'merchandise', 'device', 'time', 'country', 'ip', 'url']</t>
  </si>
  <si>
    <t>[['49bb5a3c944b8fc337981cc7a9ccae41u31d7', 'a3d2de7675556553a5f08e4c88d2c228htx90', '5d9fa1b71f992e7c7a106ce4b07a0a754le7c'], ['a921612b85a1494456e74c09393ccb65ylp4y', 'a3d2de7675556553a5f08e4c88d2c228rs17i', 'a3d2de7675556553a5f08e4c88d2c228klidn'], ['6b601e72a4d264dab9ace9d7b229b47479v6i', '925381cce086b8cc9594eee1c77edf665zjpl', 'a3d2de7675556553a5f08e4c88d2c228aght0']]</t>
  </si>
  <si>
    <t>['bidder_id', 'payment_account', 'address']</t>
  </si>
  <si>
    <t>[['91a3c57b13234af24875c56fb7e2b2f4rb56a', 'a3d2de7675556553a5f08e4c88d2c228754av', 'a3d2de7675556553a5f08e4c88d2c228vt0u4', 0], ['624f258b49e77713fc34034560f93fb3hu3jo', 'a3d2de7675556553a5f08e4c88d2c228v1sga', 'ae87054e5a97a8f840a3991d12611fdcrfbq3', 0], ['1c5f4fc669099bfbfac515cd26997bd12ruaj', 'a3d2de7675556553a5f08e4c88d2c2280cybl', '92520288b50f03907041887884ba49c0cl0pd', 0]]</t>
  </si>
  <si>
    <t>['bidder_id', 'payment_account', 'address', 'outcome']</t>
  </si>
  <si>
    <t>L3_36</t>
  </si>
  <si>
    <t>Target3_36</t>
  </si>
  <si>
    <t>['County', 'm1401', 'm1403']</t>
  </si>
  <si>
    <t>[['Adams', '$683,098', '$477,275'], ['Alamosa', 'NR', 'NR'], ['Arapahoe', '$1,188,232', '$1,490,219']]</t>
  </si>
  <si>
    <t>[['Adams', '$454,940'], ['Alamosa', 'NR'], ['Arapahoe', '$1,210,155']]</t>
  </si>
  <si>
    <t>['County', 'm1402']</t>
  </si>
  <si>
    <t>[['Adams', '$683,098'], ['Alamosa', 'NR'], ['Arapahoe', '$1,188,232']]</t>
  </si>
  <si>
    <t>['County', 'm1401']</t>
  </si>
  <si>
    <t>[['Adams', '$477,275'], ['Alamosa', 'NR'], ['Arapahoe', '$1,490,219']]</t>
  </si>
  <si>
    <t>['County', 'm1403']</t>
  </si>
  <si>
    <t>[['Adams'], ['Alamosa'], ['Arapahoe']]</t>
  </si>
  <si>
    <t>['County']</t>
  </si>
  <si>
    <t>L3_37</t>
  </si>
  <si>
    <t>Target3_37</t>
  </si>
  <si>
    <t>['County', 'r1401', 'r1403']</t>
  </si>
  <si>
    <t>[['Adams', 'NR', 'NR'], ['Clear Creek', '$459,640', '$524,541'], ['Denver', '$8,482,593', '$10,746,117']]</t>
  </si>
  <si>
    <t>[['Adams', 'NR'], ['Boulder', '$1,396,479'], ['Clear Creek', '$524,541']]</t>
  </si>
  <si>
    <t>['County', 'r1403']</t>
  </si>
  <si>
    <t>[['Adams', 'NR'], ['Boulder', 'NR'], ['Clear Creek', '$445,976']]</t>
  </si>
  <si>
    <t>['County', 'r1402']</t>
  </si>
  <si>
    <t>[['Adams', 'NR'], ['Clear Creek', '$459,640'], ['Denver', '$8,482,593']]</t>
  </si>
  <si>
    <t>['County', 'r1401']</t>
  </si>
  <si>
    <t>L3_38</t>
  </si>
  <si>
    <t>Target3_38</t>
  </si>
  <si>
    <t>['batsman', 'batsman_runs_x', 'total_runs', 'batsman_runs_y', 'batsman_runs']</t>
  </si>
  <si>
    <t>[['J Bairstow', 46.8, 50, 46.8, 4], ['DA Warner', 37.626984126984134, 462, 37.626984126984134, 48], ['LMP Simmons', 37.206896551724135, 110, 37.206896551724135, 12]]</t>
  </si>
  <si>
    <t>[['S Dhawan', 529], ['G Gambhir', 499], ['SK Raina', 492]]</t>
  </si>
  <si>
    <t>['batsman', 'total_runs']</t>
  </si>
  <si>
    <t>[['CH Gayle', 322], ['AB de Villiers', 211], ['MS Dhoni', 207]]</t>
  </si>
  <si>
    <t>[['DA Warner', 48], ['V Kohli', 42], ['SK Raina', 38]]</t>
  </si>
  <si>
    <t>['batsman', 'batsman_runs']</t>
  </si>
  <si>
    <t>[['J Bairstow', 46.8], ['DA Warner', 37.626984126984134], ['LMP Simmons', 37.206896551724135]]</t>
  </si>
  <si>
    <t>L3_39</t>
  </si>
  <si>
    <t>Target3_39</t>
  </si>
  <si>
    <t>[[1.0, 3.8717948717948723], [2.0, 3.3303571428571432], [3.0, 3.296875]]</t>
  </si>
  <si>
    <t>L3_4</t>
  </si>
  <si>
    <t>Target3_4</t>
  </si>
  <si>
    <t>L3_40</t>
  </si>
  <si>
    <t>Target3_40</t>
  </si>
  <si>
    <t>L3_41</t>
  </si>
  <si>
    <t>Target3_41</t>
  </si>
  <si>
    <t>['Total Students', 'Total School Budget', 'Average Math Score', 'Average Reading Score']</t>
  </si>
  <si>
    <t>[[1468.0, 917500.0, 83.35149863760219, 83.81675749318799], [1761.0, 1056600.0, 83.3594548551959, 83.72572402044294], [1858.0, 1081356.0, 83.06189451022605, 83.97578040904197]]</t>
  </si>
  <si>
    <t>L3_42</t>
  </si>
  <si>
    <t>Target3_42</t>
  </si>
  <si>
    <t>['School Size', 'Total Students', 'Total School Budget', 'Average Math Score', 'Average Reading Score']</t>
  </si>
  <si>
    <t>[[1468.0, 1468.0, 917500.0, 83.35149863760219, 83.81675749318799], [1761.0, 1761.0, 1056600.0, 83.3594548551959, 83.72572402044294], [1858.0, 1858.0, 1081356.0, 83.06189451022605, 83.97578040904197]]</t>
  </si>
  <si>
    <t>L3_44</t>
  </si>
  <si>
    <t>Target3_44</t>
  </si>
  <si>
    <t>L3_45</t>
  </si>
  <si>
    <t>Target3_45</t>
  </si>
  <si>
    <t>L3_46</t>
  </si>
  <si>
    <t>Target3_46</t>
  </si>
  <si>
    <t>L3_47</t>
  </si>
  <si>
    <t>Target3_47</t>
  </si>
  <si>
    <t>L3_48</t>
  </si>
  <si>
    <t>Target3_48</t>
  </si>
  <si>
    <t>['track_id', 'dummy', 'playlist_id', 'interaction', 'index_playlist', 'index_track']</t>
  </si>
  <si>
    <t>[[3091270, 1, 8935223, 1, 36157, 82302], [2994241, 1, 8286757, 1, 31967, 41660], [2994241, 1, 10916787, 1, 41938, 41660]]</t>
  </si>
  <si>
    <t>[[0, 7569], [1, 7614], [2, 7641]]</t>
  </si>
  <si>
    <t>['index_playlist', 'playlist_id']</t>
  </si>
  <si>
    <t>[[10061777, 1881332, 1], [10510, 451863, 1], [3931461, 3021710, 1]]</t>
  </si>
  <si>
    <t>['playlist_id', 'track_id', 'interaction']</t>
  </si>
  <si>
    <t>L3_49</t>
  </si>
  <si>
    <t>Target3_49</t>
  </si>
  <si>
    <t>['title', 'min_rank', 'max_weeks_on_list']</t>
  </si>
  <si>
    <t>[['10TH ANNIVERSARY', 16, 8], ['11/22/63', 1, 9], ['11TH HOUR', 1, 8]]</t>
  </si>
  <si>
    <t>[['http://www.amazon.com/Odd-Hours-Dean-Koontz/dp/0553807056?tag=NYTBS-20', 'Dean R Koontz', 'ODD HOURS', 'Odd Thomas, who can communicate with the dead, confronts evil forces in a California coastal town.', 1211587200000, 1212883200000, 'Bantam', 1, 0, 1], ['http://www.amazon.com/The-Host-Novel-Stephenie-Meyer/dp/0316218502?tag=NYTBS-20', 'Stephenie Meyer', 'THE HOST', 'Aliens have taken control of the minds and bodies of most humans, but one woman won’t surrender.', 1211587200000, 1212883200000, 'Little, Brown', 2, 1, 3], ['http://www.amazon.com/Love-Youre-With-Emily-Giffin/dp/0312348665?tag=NYTBS-20', 'Emily Giffin', "LOVE THE ONE YOU'RE WITH", "A woman's happy marriage is shaken when she encounters an old boyfriend.", 1211587200000, 1212883200000, "St. Martin's", 3, 2, 2]]</t>
  </si>
  <si>
    <t>['amazon_product_url', 'author', 'title', 'description', 'bestsellers_date', 'published_date', 'publisher', 'rank_on_list', 'rank_last_week', 'weeks_on_list']</t>
  </si>
  <si>
    <t>L3_5</t>
  </si>
  <si>
    <t>Target3_5</t>
  </si>
  <si>
    <t>['fixed acidity', 'volatile acidity', 'citric acid', 'residual sugar', 'chlorides', 'free sulfur dioxide', 'total sulfur dioxide', 'density', 'pH', 'sulphates', 'alcohol', 'quality']</t>
  </si>
  <si>
    <t>[[7.4, 0.7, 0.0, 1.9, 0.076, 11.0, 34.0, 0.9978, 3.51, 0.56, 9.4, 5.0], [7.8, 0.88, 0.0, 2.6, 0.098, 25.0, 67.0, 0.9968, 3.2, 0.68, 9.8, 5.0], [7.8, 0.76, 0.04, 2.3, 0.092, 15.0, 54.0, 0.997, 3.26, 0.65, 9.8, 5.0]]</t>
  </si>
  <si>
    <t>[[7.0, 0.27, 0.36, 20.7, 0.045, 45.0, 170.0, 1.001, 3.0, 0.45, 8.8, 6.0], [6.3, 0.3, 0.34, 1.6, 0.049, 14.0, 132.0, 0.994, 3.3, 0.49, 9.5, 6.0], [8.1, 0.28, 0.4, 6.9, 0.05, 30.0, 97.0, 0.9951, 3.26, 0.44, 10.1, 6.0]]</t>
  </si>
  <si>
    <t>L3_50</t>
  </si>
  <si>
    <t>Target3_50</t>
  </si>
  <si>
    <t>L3_51</t>
  </si>
  <si>
    <t>Target3_51</t>
  </si>
  <si>
    <t>L3_52</t>
  </si>
  <si>
    <t>Target3_52</t>
  </si>
  <si>
    <t>['zipcode', 'businesses_x', 'counts_x', 'businesses_y', 'counts_y', 'businesses_x_5', 'counts_x_6', 'businesses_y_7', 'counts_y_8']</t>
  </si>
  <si>
    <t>[[10001, 'Sidewalk Cafe', 10, 'Pawnbroker', 1, 'Debt Collection Agency', 5, 'Cigarette Retail Dealer', 98], [10010, 'Sidewalk Cafe', 21, 'Pawnbroker', 2, 'Debt Collection Agency', 1, 'Cigarette Retail Dealer', 45], [10011, 'Sidewalk Cafe', 44, 'Pawnbroker', 1, 'Debt Collection Agency', 1, 'Cigarette Retail Dealer', 69]]</t>
  </si>
  <si>
    <t>[[10001, 'Debt Collection Agency', 5], [10003, 'Debt Collection Agency', 2], [10004, 'Debt Collection Agency', 3]]</t>
  </si>
  <si>
    <t>['zipcode', 'businesses', 'counts']</t>
  </si>
  <si>
    <t>1.0, 0.0, 0.0, 0.0, 0.0, 0.0, 0.25, 1.0, 1.0</t>
  </si>
  <si>
    <t>[[10001, 'Sidewalk Cafe', 10], [10002, 'Sidewalk Cafe', 14], [10003, 'Sidewalk Cafe', 85]]</t>
  </si>
  <si>
    <t>[[10001, 'Pawnbroker', 1], [10002, 'Pawnbroker', 5], [10005, 'Pawnbroker', 1]]</t>
  </si>
  <si>
    <t>[[10001, 'Cigarette Retail Dealer', 98], [10002, 'Cigarette Retail Dealer', 77], [10003, 'Cigarette Retail Dealer', 78]]</t>
  </si>
  <si>
    <t>L3_53</t>
  </si>
  <si>
    <t>Target3_53</t>
  </si>
  <si>
    <t>['B-day', 'ID Number', 'Name_x', 'Fed_x', 'Sex_x']</t>
  </si>
  <si>
    <t>[[0, 738, 738, 738, 738], [1920, 1, 1, 1, 1], [1922, 1, 1, 1, 1]]</t>
  </si>
  <si>
    <t>[[25121731, 'A C J John', 'IND', 'M', nan, nan, nan, nan, 1063, 0, 40, 1987, 'i'], [35077023, 'A Chakravarthy', 'IND', 'M', nan, nan, nan, nan, 1151, 0, 40, 1986, 'i'], [10207538, 'A E M, Doshtagir', 'BAN', 'M', nan, nan, nan, nan, 1840, 0, 40, 1974, 'i']]</t>
  </si>
  <si>
    <t>['ID Number', 'Name', 'Fed', 'Sex', 'Tit', 'WTit', 'OTit', 'FOA', 'MAY20', 'Gms', 'K', 'B-day', 'Flag']</t>
  </si>
  <si>
    <t>[[10245154, 'A B M Jobair, Hossain', 'BAN', 'M', nan, nan, nan, nan, 1599, 0, 20, 1998, 'i'], [10207538, 'A E M, Doshtagir', 'BAN', 'M', nan, nan, nan, nan, 1836, 0, 20, 1974, 'i'], [55630910, 'A Flores, Ervin', 'RUS', 'M', nan, nan, nan, nan, 1176, 0, 20, 2011, nan]]</t>
  </si>
  <si>
    <t>[[10207538, 'A E M, Doshtagir', 'BAN', 'M', nan, nan, nan, nan, 1860, 0, 20.0, 1974, 'i'], [10680810, 'A hamed Ashraf, Abdallah', 'EGY', 'M', nan, nan, nan, nan, 1741, 0, 20.0, 2001, nan], [5716373, 'A Rajah, Abdul Shukor', 'MAS', 'M', nan, nan, nan, nan, 1873, 0, 20.0, 0, nan]]</t>
  </si>
  <si>
    <t>L3_54</t>
  </si>
  <si>
    <t>Target3_54</t>
  </si>
  <si>
    <t>['CountyID_x', 'CountyName_x', 'whites_population', 'Year_x', 'ID', 'CountyID_y', 'CountyName_y', 'other_population', 'Year_y', 'CountyID_x_9', 'CountyName_x_10', 'mixed_population', 'Year_x_12', 'CountyID_y_13', 'CountyName_y_14', 'black_population', 'Year_y_16']</t>
  </si>
  <si>
    <t>[[1001,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2566, 2000], [1003, 'Baldwin County, Alabama', 49458, 2000, 10032000, 1003, 'Baldwin County, Alabama', 212, 2000, 1003, 'Baldwin County, Alabama', 566, 2000, 1003, 'Baldwin County, Alabama', 4650, 2000]]</t>
  </si>
  <si>
    <t>[[1001, 'Autauga County, Alabama', 171, 2000, 10012000], [1003, 'Baldwin County, Alabama', 566, 2000, 10032000], [1005, 'Barbour County, Alabama', 75, 2000, 10052000]]</t>
  </si>
  <si>
    <t>['CountyID', 'CountyName', 'mixed_population', 'Year', 'ID']</t>
  </si>
  <si>
    <t>[[1001, 'Autauga County, Alabama', 13103, 2000, 10012000], [1003, 'Baldwin County, Alabama', 49458, 2000, 10032000], [1005, 'Barbour County, Alabama', 5815, 2000, 10052000]]</t>
  </si>
  <si>
    <t>['CountyID', 'CountyName', 'whites_population', 'Year', 'ID']</t>
  </si>
  <si>
    <t>[[1001, 'Autauga County, Alabama', 31, 2000, 10012000], [1003, 'Baldwin County, Alabama', 212, 2000, 10032000], [1005, 'Barbour County, Alabama', 57, 2000, 10052000]]</t>
  </si>
  <si>
    <t>['CountyID', 'CountyName', 'other_population', 'Year', 'ID']</t>
  </si>
  <si>
    <t>[[1001, 'Autauga County, Alabama', 2566, 2000, 10012000], [1003, 'Baldwin County, Alabama', 4650, 2000, 10032000], [1005, 'Barbour County, Alabama', 4446, 2000, 10052000]]</t>
  </si>
  <si>
    <t>['CountyID', 'CountyName', 'black_population', 'Year', 'ID']</t>
  </si>
  <si>
    <t>L3_55</t>
  </si>
  <si>
    <t>Target3_55</t>
  </si>
  <si>
    <t>['CountyID_x', 'CountyName_x', 'whites_population', 'Year_x', 'ID', 'CountyID_y', 'CountyName_y', 'other_population', 'Year_y', 'CountyID_x_9', 'CountyName_x_10', 'mixed_population', 'Year_x_12', 'CountyID_y_13', 'CountyName_y_14', 'aian_population', 'Year_y_16']</t>
  </si>
  <si>
    <t>[[2020, 'Anchorage Municipality, Alaska', 74229, 2000, 20202000, 2020, 'Anchorage Municipality, Alaska', 1618, 2000, 2020, 'Anchorage Municipality, Alaska', 3596, 2000, 2020, 'Anchorage Municipality, Alaska', 8091, 2000], [2020, 'Anchorage Municipality, Alaska', 74229, 2000, 20202000, 2020, 'Anchorage Municipality, Alaska', 1618, 2000, 2020, 'Anchorage Municipality, Alaska', 3596, 2000, 2020, 'Anchorage Municipality, Alaska', 8091, 2000], [4001, 'Apache County, Arizona', 5143, 2000, 40012000, 4001, 'Apache County, Arizona', 329, 2000, 4001, 'Apache County, Arizona', 201, 2000, 4001, 'Apache County, Arizona', 12081, 2000]]</t>
  </si>
  <si>
    <t>[[2020, 'Anchorage Municipality, Alaska', 8091, 2000, 20202000], [4001, 'Apache County, Arizona', 12081, 2000, 40012000], [4005, 'Coconino County, Arizona', 8367, 2000, 40052000]]</t>
  </si>
  <si>
    <t>['CountyID', 'CountyName', 'aian_population', 'Year', 'ID']</t>
  </si>
  <si>
    <t>L3_56</t>
  </si>
  <si>
    <t>Target3_56</t>
  </si>
  <si>
    <t>['CountyID_x', 'CountyName_x', 'whites_population', 'Year_x', 'ID', 'CountyID_y', 'CountyName_y', 'other_population', 'Year_y', 'CountyID_x_9', 'CountyName_x_10', 'mixed_population', 'Year_x_12', 'CountyID_y_13', 'CountyName_y_14', 'asian_population', 'Year_y_16']</t>
  </si>
  <si>
    <t>[[1001, 'Autauga County, Alabama', 13103, 2000, 10012000, 1001, 'Autauga County, Alabama', 31, 2000, 1001, 'Autauga County, Alabama', 171, 2000, 1001, 'Autauga County, Alabama', 43, 2000], [1001,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107, 2000]]</t>
  </si>
  <si>
    <t>[[1001, 'Autauga County, Alabama', 43, 2000, 10012000], [1003, 'Baldwin County, Alabama', 132, 2000, 10032000], [1005, 'Barbour County, Alabama', 3, 2000, 10052000]]</t>
  </si>
  <si>
    <t>['CountyID', 'CountyName', 'asian_population', 'Year', 'ID']</t>
  </si>
  <si>
    <t>L3_57</t>
  </si>
  <si>
    <t>Target3_57</t>
  </si>
  <si>
    <t>[[0.0, 25.0, 25.0, 25.0, 25.0, 25.0, 25.0, 26.0, 25.0, 26.0, 25.0], [5.0, 25.0, 21.0, 25.0, 23.0, 23.0, 24.0, 25.0, 25.0, 25.0, 24.0], [10.0, 25.0, 20.0, 21.0, 22.0, 21.0, 24.0, 23.0, 24.0, 23.0, 22.0]]</t>
  </si>
  <si>
    <t>L3_58</t>
  </si>
  <si>
    <t>Target3_58</t>
  </si>
  <si>
    <t>L3_59</t>
  </si>
  <si>
    <t>Target3_59</t>
  </si>
  <si>
    <t>L3_6</t>
  </si>
  <si>
    <t>Target3_6</t>
  </si>
  <si>
    <t>['movie title', 'rating']</t>
  </si>
  <si>
    <t>[["'Til There Was You (1997)", 2.333333333333333], ['1-900 (1994)', 2.5], ['101 Dalmatians (1996)', 2.9423076923076925]]</t>
  </si>
  <si>
    <t>[[1, 24, 'M', 'technician', 85711], [2, 53, 'F', 'other', 94043], [3, 23, 'M', 'writer', 32067]]</t>
  </si>
  <si>
    <t>['user id', 'age', 'gender', 'occupation', 'zip code']</t>
  </si>
  <si>
    <t>['movie id', 'movie title', 'release date', 'video release date', 'IMDb URL', 'unknown', 'Action', 'Adventure', 'Animation', 'Childrens', 'Comedy', 'Crime', 'Documentary', 'Drama', 'Fantasy', 'Film-Noir', 'Horror', 'Musical', 'Mystery', 'Romance ', 'Sci-Fi', 'Thriller', 'War', 'Western']</t>
  </si>
  <si>
    <t>['user id', 'movie id', 'rating', 'timestamp']</t>
  </si>
  <si>
    <t>L3_60</t>
  </si>
  <si>
    <t>Target3_60</t>
  </si>
  <si>
    <t>L3_62</t>
  </si>
  <si>
    <t>Target3_62</t>
  </si>
  <si>
    <t>L3_63</t>
  </si>
  <si>
    <t>Target3_63</t>
  </si>
  <si>
    <t>1.0, 0.0, 0.0, 0.22, 0.0, 0.0, 0.36, 0.0, 0.0, 0.36, 0.0, 0.0, 0.22</t>
  </si>
  <si>
    <t>L3_64</t>
  </si>
  <si>
    <t>Target3_64</t>
  </si>
  <si>
    <t>['customer_id', 'amount_x', 'amount_y', 'avg_amount_spent']</t>
  </si>
  <si>
    <t>[[80.0, 4.0, 75.0, 75.0], [90.0, 6.0, 121.33333333333331, 121.33333333333331], [130.0, 1.0, 60.0, 60.0]]</t>
  </si>
  <si>
    <t>L3_65</t>
  </si>
  <si>
    <t>Target3_65</t>
  </si>
  <si>
    <t>L3_66</t>
  </si>
  <si>
    <t>Target3_66</t>
  </si>
  <si>
    <t>L3_67</t>
  </si>
  <si>
    <t>Target3_67</t>
  </si>
  <si>
    <t>L3_68</t>
  </si>
  <si>
    <t>Target3_68</t>
  </si>
  <si>
    <t>L3_69</t>
  </si>
  <si>
    <t>Target3_69</t>
  </si>
  <si>
    <t>['city', 'type', 'fare']</t>
  </si>
  <si>
    <t>[['Amandaburgh', 'Urban', 23.072], ['Barajasview', 'Urban', 28.754375], ['Carriemouth', 'Urban', 27.250476190476192]]</t>
  </si>
  <si>
    <t>L3_7</t>
  </si>
  <si>
    <t>Target3_7</t>
  </si>
  <si>
    <t>L3_70</t>
  </si>
  <si>
    <t>Target3_70</t>
  </si>
  <si>
    <t>L3_71</t>
  </si>
  <si>
    <t>Target3_71</t>
  </si>
  <si>
    <t>L3_72</t>
  </si>
  <si>
    <t>Target3_72</t>
  </si>
  <si>
    <t>L3_73</t>
  </si>
  <si>
    <t>Target3_73</t>
  </si>
  <si>
    <t>L3_74</t>
  </si>
  <si>
    <t>Target3_74</t>
  </si>
  <si>
    <t>L3_75</t>
  </si>
  <si>
    <t>Target3_75</t>
  </si>
  <si>
    <t>L3_76</t>
  </si>
  <si>
    <t>Target3_76</t>
  </si>
  <si>
    <t>L3_77</t>
  </si>
  <si>
    <t>Target3_77</t>
  </si>
  <si>
    <t>L3_78</t>
  </si>
  <si>
    <t>Target3_78</t>
  </si>
  <si>
    <t>['movie_id', 'title', 'F', 'M']</t>
  </si>
  <si>
    <t>[[1, 'Toy Story (1995)', 3.8571428571428568, 3.861842105263158], [2, 'GoldenEye (1995)', 3.125, 3.0392156862745097], [3, 'Four Rooms (1995)', 2.875, 3.2051282051282053]]</t>
  </si>
  <si>
    <t>['user_id', 'movie_id', 'rating', 'unix_timestamp']</t>
  </si>
  <si>
    <t>['user_id', 'age', 'sex', 'occupation', 'zip_code']</t>
  </si>
  <si>
    <t>[[1, 'Toy Story (1995)', '01-Jan-1995', nan, 'http://us.imdb.com/M/title-exact?Toy%20Story%20(1995)'], [2, 'GoldenEye (1995)', '01-Jan-1995', nan, 'http://us.imdb.com/M/title-exact?GoldenEye%20(1995)'], [3, 'Four Rooms (1995)', '01-Jan-1995', nan, 'http://us.imdb.com/M/title-exact?Four%20Rooms%20(1995)']]</t>
  </si>
  <si>
    <t>['movie_id', 'title', 'release_date', 'video_release_date', 'imdb_url']</t>
  </si>
  <si>
    <t>L3_79</t>
  </si>
  <si>
    <t>Target3_79</t>
  </si>
  <si>
    <t>L3_80</t>
  </si>
  <si>
    <t>Target3_80</t>
  </si>
  <si>
    <t>['categories', 'commentCount', 'completed', 'copyright', 'cover', 'cover_timestamp', 'createDate', 'deleted', 'description', 'firstPartId', 'firstPublishedPart.createDate', 'firstPublishedPart.id', 'id', 'language.id', 'language.name', 'lastPublishedPart.createDate', 'lastPublishedPart.id', 'length', 'mature', 'modifyDate', 'numParts', 'parts', 'rating', 'readCount', 'tags', 'title', 'url', 'user.avatar', 'user.fullname', 'user.name', 'voteCount']</t>
  </si>
  <si>
    <t>[['[19, 0]', 5184,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'2014-01-29T18:38:34Z', 36978107, 12050237, 1, 'English', '2014-01-31T03:11:05Z', 37087582, 407525, False, '2015-01-27T10:47:41Z', 37, "[{'id': 36978107, 'title': 'Prologue', 'url': 'https://www.wattpad.com/36978107-hadar-watty2014-prologue', 'rating': 3, 'draft': False, 'modifyDate': '2014-11-12T17:39:15Z', 'length': 1628, 'videoId': '', 'photoUrl': '', 'commentCount': 81, 'voteCount': 3390, 'readCount': 137008}, {'id': 36978235, 'title': 'Chapter 1', 'url': 'https://www.wattpad.com/36978235-hadar-watty2014-chapter-1', 'rating': 3, 'draft': False, 'modifyDate': '2014-02-26T00:45:00Z', 'length': 10050, 'videoId': '', 'photoUrl': '', 'commentCount': 232, 'voteCount': 3339, 'readCount': 106523}, {'id': 36978821, 'title': 'Chapter 2', 'url': 'https://www.wattpad.com/36978821-hadar-watty2014-chapter-2', 'rating': 3, 'draft': False, 'modifyDate': '2014-01-29T18:42:18Z', 'length': 10093, 'videoId': '', 'photoUrl': '', 'commentCount': 109, 'voteCount': 3400, 'readCount': 81192}, {'id': 36979152, 'title': 'Chapter 3', 'url': 'https://www.wattpad.com/36979152-hadar-watty2014-chapter-3', 'rating': 3, 'draft': False, 'modifyDate': '2014-01-29T18:50:53Z', 'length': 6597, 'videoId': '', 'photoUrl': '', 'commentCount': 234, 'voteCount': 3483, 'readCount': 74914}, {'id': 36979368, 'title': 'Chapter 4', 'url': 'https://www.wattpad.com/36979368-hadar-watty2014-chapter-4', 'rating': 3, 'draft': False, 'modifyDate': '2014-01-29T18:54:47Z', 'length': 7543, 'videoId': '', 'photoUrl': '', 'commentCount': 292, 'voteCount': 3218, 'readCount': 75087}, {'id': 36979566, 'title': 'Chapter 5', 'url': 'https://www.wattpad.com/36979566-hadar-watty2014-chapter-5', 'rating': 3, 'draft': False, 'modifyDate': '2014-01-29T18:55:13Z', 'length': 6834, 'videoId': '', 'photoUrl': '', 'commentCount': 130, 'voteCount': 3272, 'readCount': 73192}, {'id': 36979779, 'title': 'Chapter 6', 'url': 'https://www.wattpad.com/36979779-hadar-watty2014-chapter-6', 'rating': 3, 'draft': False, 'modifyDate': '2014-01-29T18:55:37Z', 'length': 10459, 'videoId': '', 'photoUrl': '', 'commentCount': 210, 'voteCount': 3191, 'readCount': 80079}, {'id': 36980251, 'title': 'Chapter 7', 'url': 'https://www.wattpad.com/36980251-hadar-watty2014-chapter-7', 'rating': 3, 'draft': False, 'modifyDate': '2014-01-29T18:57:11Z', 'length': 11867, 'videoId': '', 'photoUrl': '', 'commentCount': 236, 'voteCount': 3427, 'readCount': 81459}, {'id': 36980479, 'title': 'Chapter 8', 'url': 'https://www.wattpad.com/36980479-hadar-watty2014-chapter-8', 'rating': 3, 'draft': False, 'modifyDate': '2014-01-29T20:29:11Z', 'length': 6869, 'videoId': '', 'photoUrl': '', 'commentCount': 121, 'voteCount': 3082, 'readCount': 77119}, {'id': 36980663, 'title': 'Chapter 9', 'url': 'https://www.wattpad.com/36980663-hadar-watty2014-chapter-9', 'rating': 3, 'draft': False, 'modifyDate': '2014-01-29T20:57:33Z', 'length': 10071, 'videoId': '', 'photoUrl': '', 'commentCount': 107, 'voteCount': 2941, 'readCount': 72766}, {'id': 36980927, 'title': 'Chapter 10', 'url': 'https://www.wattpad.com/36980927-hadar-watty2014-chapter-10', 'rating': 3, 'draft': False, 'modifyDate': '2014-01-29T21:30:01Z', 'length': 12195, 'videoId': '', 'photoUrl': '', 'commentCount': 96, 'voteCount': 3201, 'readCount': 74175}, {'id': 36981341, 'title': 'Chapter 11', 'url': 'https://www.wattpad.com/36981341-hadar-watty2014-chapter-11', 'rating': 3, 'draft': False, 'modifyDate': '2014-02-26T01:30:30Z', 'length': 11252, 'videoId': '', 'photoUrl': '', 'commentCount': 393, 'voteCount': 3122, 'readCount': 74343}, {'id': 36982017, 'title': 'Chapter 12', 'url': 'https://www.wattpad.com/36982017-hadar-watty2014-chapter-12', 'rating': 3, 'draft': False, 'modifyDate': '2014-01-29T22:59:44Z', 'length': 10929, 'videoId': '', 'photoUrl': '', 'commentCount': 241, 'voteCount': 3007, 'readCount': 78795}, {'id': 36982320, 'title': 'Chapter 13', 'url': 'https://www.wattpad.com/36982320-hadar-watty2014-chapter-13', 'rating': 3, 'draft': False, 'modifyDate': '2014-01-29T22:59:58Z', 'length': 6860, 'videoId': '', 'photoUrl': '', 'commentCount': 125, 'voteCount': 2852, 'readCount': 67251}, {'id': 36982837, 'title': 'Chapter 14', 'url': 'https://www.wattpad.com/36982837-hadar-watty2014-chapter-14', 'rating': 3, 'draft': False, 'modifyDate': '2014-01-29T23:00:10Z', 'length': 10349, 'videoId': '', 'photoUrl': '', 'commentCount': 159, 'voteCount': 2864, 'readCount': 72189}, {'id': 36983243, 'title': 'Chapter 15', 'url': 'https://www.wattpad.com/36983243-hadar-watty2014-chapter-15', 'rating': 3, 'draft': False, 'modifyDate': '2014-01-30T00:56:50Z', 'length': 9840, 'videoId': '', 'photoUrl': '', 'commentCount': 98, 'voteCount': 2821, 'readCount': 68953}, {'id': 36983590, 'title': 'Chapter 16', 'url': 'https://www.wattpad.com/36983590-hadar-watty2014-chapter-16', 'rating': 3, 'draft': False, 'modifyDate': '2014-01-30T01:44:54Z', 'length': 10481, 'videoId': '', 'photoUrl': '', 'commentCount': 91, 'voteCount': 2907, 'readCount': 70430}, {'id': 36984077, 'title': 'Chapter 17', 'url': 'https://www.wattpad.com/36984077-hadar-watty2014-chapter-17', 'rating': 3, 'draft': False, 'modifyDate': '2014-01-30T04:16:30Z', 'length': 11398, 'videoId': '', 'photoUrl': '', 'commentCount': 215, 'voteCount': 2763, 'readCount': 69169}, {'id': 36984452, 'title': 'Chapter 18', 'url': 'https://www.wattpad.com/36984452-hadar-watty2014-chapter-18', 'rating': 3, 'draft': False, 'modifyDate': '2014-01-30T06:58:11Z', 'length': 8700, 'videoId': '', 'photoUrl': '', 'commentCount': 93, 'voteCount': 3045, 'readCount': 64647}, {'id': 36984718, 'title': 'Chapter 19', 'url': 'https://www.wattpad.com/36984718-hadar-watty2014-chapter-19', 'rating': 3, 'draft': False, 'modifyDate': '2015-01-27T10:47:41Z', 'length': 11082, 'videoId': '', 'photoUrl': '', 'commentCount': 124, 'voteCount': 2933, 'readCount': 65261}, {'id': 36984883, 'title': 'Chapter 20', 'url': 'https://www.wattpad.com/36984883-hadar-watty2014-chapter-20', 'rating': 3, 'draft': False, 'modifyDate': '2014-01-30T07:59:59Z', 'length': 10433, 'videoId': '', 'photoUrl': '', 'commentCount': 70, 'voteCount': 2875, 'readCount': 70122}, {'id': 37051288, 'title': 'Chapter 21', 'url': 'https://www.wattpad.com/37051288-hadar-watty2014-chapter-21', 'rating': 3, 'draft': False, 'modifyDate': '2014-01-30T08:11:35Z', 'length': 11957, 'videoId': '', 'photoUrl': '', 'commentCount': 82, 'voteCount': 2650, 'readCount': 68246}, {'id': 37051425, 'title': 'Chapter 22', 'url': 'https://www.wattpad.com/37051425-hadar-watty2014-chapter-22', 'rating': 3, 'draft': False, 'modifyDate': '2014-01-30T08:16:16Z', 'length': 11898, 'videoId': '', 'photoUrl': '', 'commentCount': 139, 'voteCount': 2518, 'readCount': 67012}, {'id': 37051708, 'title': 'Chapter 23', 'url': 'https://www.wattpad.com/37051708-hadar-watty2014-chapter-23', 'rating': 3, 'draft': False, 'modifyDate': '2014-01-30T16:58:00Z', 'length': 11772, 'videoId': '', 'photoUrl': '', 'commentCount': 72, 'voteCount': 2648, 'readCount': 67483}, {'id': 37051912, 'title': 'Chapter 24', 'url': 'https://www.wattpad.com/37051912-hadar-watty2014-chapter-24', 'rating': 3, 'draft': False, 'modifyDate': '2014-01-30T18:15:57Z', 'length': 13288, 'videoId': '', 'photoUrl': '', 'commentCount': 103, 'voteCount': 2595, 'readCount': 69417}, {'id': 37052197, 'title': 'Chapter 25', 'url': 'https://www.wattpad.com/37052197-hadar-watty2014-chapter-25', 'rating': 3, 'draft': False, 'modifyDate': '2014-01-30T18:16:11Z', 'length': 13075, 'videoId': '', 'photoUrl': '', 'commentCount': 43, 'voteCount': 2651, 'readCount': 63341}, {'id': 37052370, 'title': 'Chapter 26', 'url': 'https://www.wattpad.com/37052370-hadar-watty2014-chapter-26', 'rating': 3, 'draft': False, 'modifyDate': '2014-01-30T18:16:24Z', 'length': 14844, 'videoId': '', 'photoUrl': '', 'commentCount': 163, 'voteCount': 2857, 'readCount': 68266}, {'id': 37086017, 'title': 'Chapter 27', 'url': 'https://www.wattpad.com/37086017-hadar-watty2014-chapter-27', 'rating': 3, 'draft': False, 'modifyDate': '2014-01-30T18:49:43Z', 'length': 12832, 'videoId': '', 'photoUrl': '', 'commentCount': 45, 'voteCount': 2455, 'readCount': 64466}, {'id': 37086150, 'title': 'Chapter 28', 'url': 'https://www.wattpad.com/37086150-hadar-watty2014-chapter-28', 'rating': 3, 'draft': False, 'modifyDate': '2014-01-30T18:50:54Z', 'length': 11266, 'videoId': '', 'photoUrl': '', 'commentCount': 26, 'voteCount': 2481, 'readCount': 72609}, {'id': 37086308, 'title': 'Chapter 29', 'url': 'https://www.wattpad.com/37086308-hadar-watty2014-chapter-29', 'rating': 3, 'draft': False, 'modifyDate': '2014-01-30T18:53:38Z', 'length': 13549, 'videoId': '', 'photoUrl': '', 'commentCount': 37, 'voteCount': 2507, 'readCount': 66183}, {'id': 37086422, 'title': 'Chapter 30', 'url': 'https://www.wattpad.com/37086422-hadar-watty2014-chapter-30', 'rating': 3, 'draft': False, 'modifyDate': '2014-01-30T18:55:39Z', 'length': 14554, 'videoId': '', 'photoUrl': '', 'commentCount': 38, 'voteCount': 2496, 'readCount': 66263}, {'id': 37086533, 'title': 'Chapter 31', 'url': 'https://www.wattpad.com/37086533-hadar-watty2014-chapter-31', 'rating': 3, 'draft': False, 'modifyDate': '2014-01-30T18:59:23Z', 'length': 11978, 'videoId': '', 'photoUrl': '', 'commentCount': 134, 'voteCount': 2509, 'readCount': 59915}, {'id': 37086835, 'title': 'Chapter 32', 'url': 'https://www.wattpad.com/37086835-hadar-watty2014-chapter-32', 'rating': 3, 'draft': False, 'modifyDate': '2014-01-30T19:01:11Z', 'length': 18060, 'videoId': '', 'photoUrl': '', 'commentCount': 240, 'voteCount': 2370, 'readCount': 60507}, {'id': 37086934, 'title': 'Chapter 33', 'url': 'https://www.wattpad.com/37086934-hadar-watty2014-chapter-33', 'rating': 3, 'draft': False, 'modifyDate': '2014-01-30T19:04:19Z', 'length': 16490, 'videoId': '', 'photoUrl': '', 'commentCount': 48, 'voteCount': 2320, 'readCount': 55033}, {'id': 37087103, 'title': 'Chapter 35', 'url': 'https://www.wattpad.com/37087103-hadar-watty2014-chapter-35', 'rating': 3, 'draft': False, 'modifyDate': '2014-01-30T19:06:15Z', 'length': 16172, 'videoId': '', 'photoUrl': '', 'commentCount': 54, 'voteCount': 2386, 'readCount': 58158}, {'id': 37087370, 'title': 'Chapter 36', 'url': 'https://www.wattpad.com/37087370-hadar-watty2014-chapter-36', 'rating': 3, 'draft': False, 'modifyDate': '2014-01-30T19:08:34Z', 'length': 17344, 'videoId': '', 'photoUrl': '', 'commentCount': 176, 'voteCount': 2665, 'readCount': 66503}, {'id': 37087582, 'title': 'Epilogue', 'url': 'https://www.wattpad.com/37087582-hadar-watty2014-epilogue', 'rating': 3, 'draft': False, 'modifyDate': '2014-01-31T03:11:05Z', 'length': 2916, 'videoId': '', 'photoUrl': '', 'commentCount': 327, 'voteCount': 3439, 'readCount': 74649}]", 3, 2682656, "['alpha', 'curse', 'luna', 'magic', 'power', 'rejection', 'watty2014', 'wolves']", 'Hadar #Watty2014', 'https://www.wattpad.com/story/12050237-hadar-watty2014', 'https://a.wattpad.com/useravatar/RevyRogue.128.491090.jpg', 'Reviana', 'RevyRogue', 106680], ['[19, 0]', 132, False, 1, 'https://a.wattpad.com/cover/73708370-256-k685731.jpg', '2016-05-31T16:08:51Z', '2016-05-31T15:17:16Z', False, 'ⓠⓤⓞⓣⓔⓢ ⓣⓗⓐⓣ ⓦⓘⓛⓛ ⓜⓐⓚⓔ ⓨⓞⓤ ⓛⓐⓤⓖⓗ', 264398992, '2016-05-31T16:04:01Z', 264398992, 73708370, 1, 'English', '2016-05-31T23:07:23Z', 264413377, 1131, False, '2016-07-11T15:22:32Z', 24, "[{'id': 264398992, 'title': '①. ', 'url': 'https://www.wattpad.com/264398992-funny-quotes-part-1-%E2%91%A0', 'rating': 0, 'draft': False, 'modifyDate': '2016-05-31T16:08:27Z', 'length': 95, 'videoId': '', 'photoUrl': 'https://d.wattpad.com/story_parts/264398992/images/1453b0272122bbf9.jpg', 'commentCount': 9, 'voteCount': 74, 'readCount': 7146}, {'id': 264400181, 'title': '②. ', 'url': 'https://www.wattpad.com/264400181-funny-quotes-part-1-%E2%91%A1', 'rating': 0, 'draft': False, 'modifyDate': '2016-05-31T16:04:40Z', 'length': 8, 'videoId': '', 'photoUrl': 'https://d.wattpad.com/story_parts/16/images/1453b0369f42844f.jpg', 'commentCount': 8, 'voteCount': 83, 'readCount': 6587}, {'id': 264400485, 'title': '③. ', 'url': 'https://www.wattpad.com/264400485-funny-quotes-part-1-%E2%91%A2', 'rating': 0, 'draft': False, 'modifyDate': '2016-05-31T23:04:46Z', 'length': 58, 'videoId': '', 'photoUrl': 'https://d.wattpad.com/story_parts/17/images/1453b042de1ad65a.jpg', 'commentCount': 7, 'voteCount': 76, 'readCount': 5415}, {'id': 264400633, 'title': '④. ', 'url': 'https://www.wattpad.com/264400633-funny-quotes-part-1-%E2%91%A3', 'rating': 0, 'draft': False, 'modifyDate': '2016-05-31T23:05:01Z', 'length': 12, 'videoId': '', 'photoUrl': 'https://d.wattpad.com/story_parts/264400633/images/1453b053644802b5.jpg', 'commentCount': 1, 'voteCount': 72, 'readCount': 4944}, {'id': 264401087, 'title': '⑤. ', 'url': 'https://www.wattpad.com/264401087-funny-quotes-part-1-%E2%91%A4', 'rating': 0, 'draft': False, 'modifyDate': '2016-05-31T23:05:05Z', 'length': 20, 'videoId': '', 'photoUrl': 'https://d.wattpad.com/story_parts/264401087/images/1453b06ac0c743d3.jpg', 'commentCount': 3, 'voteCount': 63, 'readCount': 4423}, {'id': 264401789, 'title': '⑥. ', 'url': 'https://www.wattpad.com/264401789-funny-quotes-part-1-%E2%91%A5', 'rating': 0, 'draft': False, 'modifyDate': '2016-05-31T16:05:10Z', 'length': 65, 'videoId': '', 'photoUrl': 'https://d.wattpad.com/story_parts/20/images/1453b07a2ad5bf3b.jpg', 'commentCount': 15, 'voteCount': 66, 'readCount': 4231}, {'id': 264402595, 'title': '7. ', 'url': 'https://www.wattpad.com/264402595-funny-quotes-part-1-7', 'rating': 0, 'draft': False, 'modifyDate': '2016-05-31T16:05:17Z', 'length': 20, 'videoId': '', 'photoUrl': 'https://d.wattpad.com/story_parts/264402595/images/1453b0ad46889071.jpg', 'commentCount': 5, 'voteCount': 59, 'readCount': 3853}, {'id': 264403343, 'title': '⑧. ', 'url': 'https://www.wattpad.com/264403343-funny-quotes-part-1-%E2%91%A7', 'rating': 0, 'draft': False, 'modifyDate': '2016-05-31T16:05:26Z', 'length': 17, 'videoId': '', 'photoUrl': 'https://d.wattpad.com/story_parts/22/images/1453b0ba07066f0a.jpg', 'commentCount': 15, 'voteCount': 63, 'readCount': 3453}, {'id': 264403604, 'title': '9. ', 'url': 'https://www.wattpad.com/264403604-funny-quotes-part-1-9', 'rating': 0, 'draft': False, 'modifyDate': '2016-05-31T16:05:32Z', 'length': 36, 'videoId': '', 'photoUrl': 'https://d.wattpad.com/story_parts/23/images/1453b0c51b5e8c7a.jpg', 'commentCount': 7, 'voteCount': 64, 'readCount': 3222}, {'id': 264403917, 'title': '①⓪. ', 'url': 'https://www.wattpad.com/264403917-funny-quotes-part-1-%E2%91%A0%E2%93%AA', 'rating': 0, 'draft': False, 'modifyDate': '2016-05-31T16:05:38Z', 'length': 13, 'videoId': '', 'photoUrl': 'https://d.wattpad.com/story_parts/24/images/1453b0d146b7fee9.jpg', 'commentCount': 2, 'voteCount': 52, 'readCount': 2999}, {'id': 264404212, 'title': '①①. ', 'url': 'https://www.wattpad.com/264404212-funny-quotes-part-1-%E2%91%A0%E2%91%A0', 'rating': 0, 'draft': False, 'modifyDate': '2016-05-31T16:05:47Z', 'length': 102, 'videoId': '', 'photoUrl': 'https://d.wattpad.com/story_parts/25/images/1453b0dd31703867.jpg', 'commentCount': 1, 'voteCount': 42, 'readCount': 2830}, {'id': 264404414, 'title': '①②. ', 'url': 'https://www.wattpad.com/264404414-funny-quotes-part-1-%E2%91%A0%E2%91%A1', 'rating': 0, 'draft': False, 'modifyDate': '2016-05-31T16:05:55Z', 'length': 25, 'videoId': '', 'photoUrl': 'https://d.wattpad.com/story_parts/26/images/1453b0e54d6f5e54.jpg', 'commentCount': 3, 'voteCount': 36, 'readCount': 2650}, {'id': 264404499, 'title': '①③. ', 'url': 'https://www.wattpad.com/264404499-funny-quotes-part-1-%E2%91%A0%E2%91%A2', 'rating': 0, 'draft': False, 'modifyDate': '2016-05-31T16:06:00Z', 'length': 49, 'videoId': '', 'photoUrl': 'https://d.wattpad.com/story_parts/264404499/images/1453b0f5a396832b.jpg', 'commentCount': 0, 'voteCount': 38, 'readCount': 2528}, {'id': 264405254, 'title': '①④. ', 'url': 'https://www.wattpad.com/264405254-funny-quotes-part-1-%E2%91%A0%E2%91%A3', 'rating': 0, 'draft': False, 'modifyDate': '2016-05-31T23:06:06Z', 'length': 30, 'videoId': '', 'photoUrl': 'https://d.wattpad.com/story_parts/28/images/1453b1079f6a6a02.jpg', 'commentCount': 1, 'voteCount': 49, 'readCount': 2374}, {'id': 264411474, 'title': '①⑤. ', 'url': 'https://www.wattpad.com/264411474-funny-quotes-part-1-%E2%91%A0%E2%91%A4', 'rating': 0, 'draft': False, 'modifyDate': '2016-05-31T23:06:12Z', 'length': 24, 'videoId': '', 'photoUrl': 'https://d.wattpad.com/story_parts/29/images/1453b203b679dcb3.jpg', 'commentCount': 1, 'voteCount': 33, 'readCount': 2235}, {'id': 264411903, 'title': '①⑥. ', 'url': 'https://www.wattpad.com/264411903-funny-quotes-part-1-%E2%91%A0%E2%91%A5', 'rating': 0, 'draft': False, 'modifyDate': '2016-05-31T16:06:17Z', 'length': 52, 'videoId': '', 'photoUrl': 'https://d.wattpad.com/story_parts/30/images/1453b2149f05ffd2.jpg', 'commentCount': 3, 'voteCount': 38, 'readCount': 2178}, {'id': 264412208, 'title': '①7. ', 'url': 'https://www.wattpad.com/264412208-funny-quotes-part-1-%E2%91%A07', 'rating': 0, 'draft': False, 'modifyDate': '2016-05-31T16:06:36Z', 'length': 17, 'videoId': '', 'photoUrl': 'https://d.wattpad.com/story_parts/31/images/1453b21ed69f1cf3.jpg', 'commentCount': 9, 'voteCount': 41, 'readCount': 2072}, {'id': 264412453, 'title': '①⑧. ', 'url': 'https://www.wattpad.com/264412453-funny-quotes-part-1-%E2%91%A0%E2%91%A7', 'rating': 0, 'draft': False, 'modifyDate': '2016-05-31T23:06:45Z', 'length': 62, 'videoId': '', 'photoUrl': 'https://d.wattpad.com/story_parts/32/images/1453b227e22d37d8.jpg', 'commentCount': 10, 'voteCount': 45, 'readCount': 2044}, {'id': 264412632, 'title': '①9. ', 'url': 'https://www.wattpad.com/264412632-funny-quotes-part-1-%E2%91%A09', 'rating': 0, 'draft': False, 'modifyDate': '2016-05-31T16:06:58Z', 'length': 22, 'videoId': '', 'photoUrl': 'https://d.wattpad.com/story_parts/33/images/1453b22ef28b0ee6.jpg', 'commentCount': 2, 'voteCount': 37, 'readCount': 1989}, {'id': 264412972, 'title': '②⓪. ', 'url': 'https://www.wattpad.com/264412972-funny-quotes-part-1-%E2%91%A1%E2%93%AA', 'rating': 0, 'draft': False, 'modifyDate': '2016-05-31T16:07:12Z', 'length': 26, 'videoId': '', 'photoUrl': 'https://d.wattpad.com/story_parts/34/images/1453b23d52bbea69.jpg', 'commentCount': 6, 'voteCount': 35, 'readCount': 1867}, {'id': 264413377, 'title': '②①. ', 'url': 'https://www.wattpad.com/264413377-funny-quotes-part-1-%E2%91%A1%E2%91%A0', 'rating': 0, 'draft': False, 'modifyDate': '2016-05-31T23:07:22Z', 'length': 50, 'videoId': '', 'photoUrl': 'https://d.wattpad.com/story_parts/35/images/1453b24dd54f5006.jpg', 'commentCount': 12, 'voteCount': 30, 'readCount': 1797}, {'id': 264413740, 'title': '②②. ', 'url': 'https://www.wattpad.com/264413740-funny-quotes-part-1-%E2%91%A1%E2%91%A1', 'rating': 0, 'draft': False, 'modifyDate': '2016-05-31T16:07:36Z', 'length': 55, 'videoId': '', 'photoUrl': 'https://d.wattpad.com/story_parts/36/images/1453b25bceef7628.jpg', 'commentCount': 3, 'voteCount': 30, 'readCount': 1752}, {'id': 264414111, 'title': '②③. ', 'url': 'https://www.wattpad.com/264414111-funny-quotes-part-1-%E2%91%A1%E2%91%A2', 'rating': 0, 'draft': False, 'modifyDate': '2016-05-31T16:07:56Z', 'length': 87, 'videoId': '', 'photoUrl': 'https://d.wattpad.com/story_parts/37/images/1453b269aa8d468d.jpg', 'commentCount': 5, 'voteCount': 36, 'readCount': 1748}, {'id': 264414747, 'title': 'ⓟⓐⓡⓣ ②. ', 'url': 'https://www.wattpad.com/264414747-funny-quotes-part-1-%E2%93%9F%E2%93%90%E2%93%A1%E2%93%A3-%E2%91%A1', 'rating': 0, 'draft': False, 'modifyDate': '2016-07-11T15:22:32Z', 'length': 186, 'videoId': '', 'photoUrl': 'https://d.wattpad.com/story_parts/264414747/images/146046192080ce0b794187526169.jpg', 'commentCount': 4, 'voteCount': 27, 'readCount': 1979}]", 0, 76278, '[]', 'Funny quotes part 1', 'https://www.wattpad.com/story/73708370-funny-quotes-part-1', 'https://a.wattpad.com/useravatar/Officialrenie.128.249402.jpg', 'Litty', 'Officialrenie', 1189], ['[19, 0]', 9695, True, 0, 'https://a.wattpad.com/cover/42937930-256-k992146.jpg', '2015-06-22T23:55:46Z', '2015-06-22T23:55:09Z', False, 'yessss!!!!', 141082265, '2015-06-23T02:59:41Z', 141082265, 42937930, 1, 'English', '2015-06-23T10:03:03Z', 141082343, 2204, False, '2015-08-16T08:07:12Z', 16, "[{'id': 141082265, 'title': 'lol!', 'url': 'https://www.wattpad.com/141082265-%E2%9D%87awsome-comebacks%E2%9D%87-lol', 'rating': 0, 'draft': False, 'modifyDate': '2015-06-23T02:59:42Z', 'length': 119, 'videoId': '', 'photoUrl': '', 'commentCount': 905, 'voteCount': 2127, 'readCount': 131564}, {'id': 141082305, 'title': 'oh no!', 'url': 'https://www.wattpad.com/141082305-%E2%9D%87awsome-comebacks%E2%9D%87-oh-no', 'rating': 0, 'draft': False, 'modifyDate': '2015-06-23T02:59:55Z', 'length': 249, 'videoId': '', 'photoUrl': '', 'commentCount': 489, 'voteCount': 1977, 'readCount': 118815}, {'id': 141082311, 'title': 'funny!', 'url': 'https://www.wattpad.com/141082311-%E2%9D%87awsome-comebacks%E2%9D%87-funny', 'rating': 0, 'draft': False, 'modifyDate': '2015-06-23T03:00:13Z', 'length': 152, 'videoId': '', 'photoUrl': '', 'commentCount': 825, 'voteCount': 2982, 'readCount': 108020}, {'id': 141082314, 'title': 'umm....', 'url': 'https://www.wattpad.com/141082314-%E2%9D%87awsome-comebacks%E2%9D%87-umm', 'rating': 0, 'draft': False, 'modifyDate': '2015-06-23T03:00:32Z', 'length': 97, 'videoId': '', 'photoUrl': '', 'commentCount': 771, 'voteCount': 5189, 'readCount': 100272}, {'id': 141082316, 'title': 'teachers!', 'url': 'https://www.wattpad.com/141082316-%E2%9D%87awsome-comebacks%E2%9D%87-teachers', 'rating': 0, 'draft': False, 'modifyDate': '2015-06-23T03:00:50Z', 'length': 103, 'videoId': '', 'photoUrl': '', 'commentCount': 786, 'voteCount': 3172, 'readCount': 95223}, {'id': 141082326, 'title': 'okay', 'url': 'https://www.wattpad.com/141082326-%E2%9D%87awsome-comebacks%E2%9D%87-okay', 'rating': 0, 'draft': False, 'modifyDate': '2015-06-23T03:01:19Z', 'length': 150, 'videoId': '', 'photoUrl': '', 'commentCount': 471, 'voteCount': 2288, 'readCount': 89781}, {'id': 141082338, 'title': 'not really a comeback', 'url': 'https://www.wattpad.com/141082338-%E2%9D%87awsome-comebacks%E2%9D%87-not-really-a-comeback', 'rating': 0, 'draft': False, 'modifyDate': '2015-06-23T03:02:18Z', 'length': 59, 'videoId': '', 'photoUrl': '', 'commentCount': 394, 'voteCount': 2328, 'readCount': 84508}, {'id': 141082343, 'title': 'to the person you hate', 'url': 'https://www.wattpad.com/141082343-%E2%9D%87awsome-comebacks%E2%9D%87-to-the-person-you-hate', 'rating': 0, 'draft': False, 'modifyDate': '2015-06-23T10:03:03Z', 'length': 123, 'videoId': '', 'photoUrl': '', 'commentCount': 579, 'voteCount': 2486, 'readCount': 81144}, {'id': 141082356, 'title': 'haha', 'url': 'https://www.wattpad.com/141082356-%E2%9D%87awsome-comebacks%E2%9D%87-haha', 'rating': 0, 'draft': False, 'modifyDate': '2015-06-23T03:03:10Z', 'length': 262, 'videoId': '', 'photoUrl': '', 'commentCount': 588, 'voteCount': 1776, 'readCount': 79196}, {'id': 141082361, 'title': 'not really a comeback #2', 'url': 'https://www.wattpad.com/141082361-%E2%9D%87awsome-comebacks%E2%9D%87-not-really-a-comeback-2', 'rating': 0, 'draft': False, 'modifyDate': '2015-06-23T03:03:26Z', 'length': 87, 'videoId': '', 'photoUrl': '', 'commentCount': 481, 'voteCount': 1921, 'readCount': 73209}, {'id': 141082369, 'title': 'why do we need school', 'url': 'https://www.wattpad.com/141082369-%E2%9D%87awsome-comebacks%E2%9D%87-why-do-we-need-school', 'rating': 0, 'draft': False, 'modifyDate': '2015-06-23T03:03:37Z', 'length': 191, 'videoId': '', 'photoUrl': '', 'commentCount': 1516, 'voteCount': 2623, 'readCount': 72408}, {'id': 141082375, 'title': 'poopfaces', 'url': 'https://www.wattpad.com/141082375-%E2%9D%87awsome-comebacks%E2%9D%87-poopfaces', 'rating': 0, 'draft': False, 'modifyDate': '2015-06-23T03:05:48Z', 'length': 94, 'videoId': '', 'photoUrl': '', 'commentCount': 169, 'voteCount': 1883, 'readCount': 67937}, {'id': 141082382, 'title': 'mmhhmm!', 'url': 'https://www.wattpad.com/141082382-%E2%9D%87awsome-comebacks%E2%9D%87-mmhhmm', 'rating': 0, 'draft': False, 'modifyDate': '2015-06-23T03:05:55Z', 'length': 159, 'videoId': '', 'photoUrl': '', 'commentCount': 532, 'voteCount': 2077, 'readCount': 61530}, {'id': 141082390, 'title': 'gotta tell ya', 'url': 'https://www.wattpad.com/141082390-%E2%9D%87awsome-comebacks%E2%9D%87-gotta-tell-ya', 'rating': 0, 'draft': False, 'modifyDate': '2015-06-23T03:06:01Z', 'length': 104, 'videoId': '', 'photoUrl': '', 'commentCount': 460, 'voteCount': 994, 'readCount': 56904}, {'id': 141082397, 'title': 'okay okay im back!', 'url': 'https://www.wattpad.com/141082397-%E2%9D%87awsome-comebacks%E2%9D%87-okay-okay-im-back', 'rating': 0, 'draft': False, 'modifyDate': '2015-06-23T03:06:12Z', 'length': 165, 'videoId': '', 'photoUrl': '', 'commentCount': 526, 'voteCount': 2282, 'readCount': 55105}, {'id': 141082405, 'title': 'im done', 'url': 'https://www.wattpad.com/141082405-%E2%9D%87awsome-comebacks%E2%9D%87-im-done', 'rating': 0, 'draft': False, 'modifyDate': '2015-06-23T03:06:30Z', 'length': 90, 'videoId': '', 'photoUrl': '', 'commentCount': 203, 'voteCount': 925, 'readCount': 59735}]", 0, 1335249, "['dumb', 'funny', 'listen', 'nothing', 'okay']", '❇awsome comebacks❇', 'https://www.wattpad.com/story/42937930-%E2%9D%87awsome-comebacks%E2%9D%87', 'https://a.wattpad.com/useravatar/kittygirl_121604.128.186602.jpg', nan, 'kittygirl_121604', 37030]]</t>
  </si>
  <si>
    <t>1.0, 1.0, 0.0, 1.0, 1.0, 0.0, 0.0, 0.0, 1.0, 1.0, 0.0, 1.0, 1.0, 1.0, 1.0, 0.0, 1.0, 1.0, 0.0, 0.0, 1.0, 1.0, 1.0, 1.0, 1.0, 1.0, 1.0, 1.0, 1.0, 1.0, 1.0</t>
  </si>
  <si>
    <t>[[6, 12, False, 1, 'https://a.wattpad.com/cover/129173744-256-k151581.jpg', '2017-12-02T02:06:21Z', '2017-11-18T19:52:12Z', False, "[ coming soon ]\n\nIn which a regular 19 year old meets Deven Key, who's dad owns the country club she works at\n\n\nCopyright 2017 © voidtube\n[ extended description inside ]", 496588471, '2017-12-02T13:57:39Z', 496588471, 129173744, 1, 'English', '2018-03-13T23:54:11Z', 501298505, 7590, False, '2018-03-13T23:54:10Z', 3, "[{'id': 496588471, 'title': 'Mr Country Club | devan key', 'url': 'https://www.wattpad.com/496588471-mr-country-club-devan-key-coming-soon-mr-country', 'rating': 0, 'draft': False, 'modifyDate': '2017-12-02T13:57:51Z', 'length': 677, 'videoId': '', 'photoUrl': '', 'commentCount': 3, 'voteCount': 2, 'readCount': 25}, {'id': 502107938, 'title': 'cast | mr country club', 'url': 'https://www.wattpad.com/502107938-mr-country-club-devan-key-coming-soon-cast-mr', 'rating': 0, 'draft': False, 'modifyDate': '2017-12-02T13:57:40Z', 'length': 285, 'videoId': '', 'photoUrl': '', 'commentCount': 9, 'voteCount': 3, 'readCount': 38}, {'id': 501298505, 'title': 'one', 'url': 'https://www.wattpad.com/501298505-mr-country-club-devan-key-coming-soon-one', 'rating': 0, 'draft': False, 'modifyDate': '2018-03-13T23:54:10Z', 'length': 6628, 'videoId': '', 'photoUrl': '', 'commentCount': 0, 'voteCount': 0, 'readCount': 0}]", 0, 63, "['collinskey', 'devankey', 'keybros', 'keypers', 'thekeybrothers', 'youtube']", 'Mr Country Club | devan key [ coming soon ] ', 'https://www.wattpad.com/story/129173744-mr-country-club-devan-key-coming-soon', 'https://a.wattpad.com/useravatar/voidtube.128.185845.jpg', 'chelsea', 'voidtube', 5], [17, 0, False, 1, 'https://a.wattpad.com/cover/141691720-256-k874943.jpg', '2018-03-13T00:15:43Z', '2018-03-13T00:15:42Z', False, 'swallow!', 546886656, '2018-03-13T23:54:09Z', 546886656, 141691720, 1, 'English', '2018-03-13T23:54:11Z', 547267582, 1676, False, '2018-03-13T23:54:11Z', 3, "[{'id': 546886656, 'title': 'impudence!', 'url': 'https://www.wattpad.com/546886656-the-offing-impudence', 'rating': 0, 'draft': False, 'modifyDate': '2018-03-13T23:54:09Z', 'length': 482, 'videoId': '', 'photoUrl': '', 'commentCount': 0, 'voteCount': 0, 'readCount': 0}, {'id': 546888530, 'title': 'stalker!', 'url': 'https://www.wattpad.com/546888530-the-offing-stalker', 'rating': 0, 'draft': False, 'modifyDate': '2018-03-13T23:54:10Z', 'length': 455, 'videoId': '', 'photoUrl': '', 'commentCount': 0, 'voteCount': 0, 'readCount': 0}, {'id': 547267582, 'title': 'murderer!', 'url': 'https://www.wattpad.com/547267582-the-offing-murderer', 'rating': 0, 'draft': False, 'modifyDate': '2018-03-13T23:54:11Z', 'length': 739, 'videoId': '', 'photoUrl': '', 'commentCount': 0, 'voteCount': 0, 'readCount': 0}]", 0, 0, "['aesthetic', 'blood', 'death', 'detective', 'devil', 'hell', 'impudence', 'masochistic', 'mystery', 'pure', 'purgatory', 'red', 'scary', 'shortchapters', 'shortstory', 'stalker']", 'the offing', 'https://www.wattpad.com/story/141691720-the-offing', 'https://a.wattpad.com/useravatar/sunfully.128.873999.jpg', '♡', 'sunfully', 0], [17, 0, False, 1, 'https://a.wattpad.com/cover/141267339-256-k611700.jpg', '2018-03-10T00:08:20Z', '2018-03-09T00:26:38Z', False, "I don't see many of these and I'm not sure if anyone else feels the pain of falling of a perfectly straight girl, so I decided to write this to make my life slightly better. These are a bunch of oneshots about you and your crush and I'll try to update weekly. :)\n\nKey: \nY/N - Your Name\nE/C - Eye Color\nH/C - Hair Color\nS/C - Skin Color\nC/N - Crush's Name\nY/B/F - Your Best Friend's Name\nC/B/F Crush's Best Friend's Name\nM/N - Mother's Name\nF/N - Father's Name", 545128060, '2018-03-10T08:21:11Z', 545128060, 141267339, 1, 'English', '2018-03-13T23:54:08Z', 547236382, 24132, False, '2018-03-13T23:54:08Z', 3, "[{'id': 545128060, 'title': 'Oneshot 1: Rulers Suck Ass', 'url': 'https://www.wattpad.com/545128060-female-crush-x-female-reader-oneshot-1-rulers-suck', 'rating': 0, 'draft': False, 'modifyDate': '2018-03-10T08:27:32Z', 'length': 7525, 'videoId': '', 'photoUrl': '', 'commentCount': 0, 'voteCount': 2, 'readCount': 21}, {'id': 546413792, 'title': 'Oneshot 2: Hero', 'url': 'https://www.wattpad.com/546413792-female-crush-x-female-reader-oneshot-2-hero', 'rating': 0, 'draft': False, 'modifyDate': '2018-03-13T22:09:02Z', 'length': 7213, 'videoId': '', 'photoUrl': '', 'commentCount': 0, 'voteCount': 2, 'readCount': 11}, {'id': 547236382, 'title': 'Oneshot 3: Study Date', 'url': 'https://www.wattpad.com/547236382-female-crush-x-female-reader-oneshot-3-study-date', 'rating': 0, 'draft': False, 'modifyDate': '2018-03-13T23:54:08Z', 'length': 9394, 'videoId': '', 'photoUrl': '', 'commentCount': 0, 'voteCount': 0, 'readCount': 0}]", 1, 32, "['lesbian', 'oneshot', 'readerxcrush']", 'Female Crush X Female Reader', 'https://www.wattpad.com/story/141267339-female-crush-x-female-reader', 'https://a.wattpad.com/useravatar/Dem0g0rgon.128.641851.jpg', nan, 'Dem0g0rgon', 4]]</t>
  </si>
  <si>
    <t>[[19, 5187,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'2014-01-29T18:42:05Z', 36978235, 12050237, 1, 'English', '2014-01-30T19:11:05Z', 37087582, 407525, False, '2015-01-27T10:47:41Z', 37, "[{'id': 36978107, 'title': 'Prologue', 'url': 'https://www.wattpad.com/36978107-hadar-watty2014-prologue', 'rating': 3, 'draft': False, 'modifyDate': '2014-11-13T01:39:15Z', 'length': 1628, 'videoId': '', 'photoUrl': '', 'commentCount': 81, 'voteCount': 3393, 'readCount': 137170}, {'id': 36978235, 'title': 'Chapter 1', 'url': 'https://www.wattpad.com/36978235-hadar-watty2014-chapter-1', 'rating': 3, 'draft': False, 'modifyDate': '2014-02-26T00:45:00Z', 'length': 10050, 'videoId': '', 'photoUrl': '', 'commentCount': 232, 'voteCount': 3342, 'readCount': 106673}, {'id': 36978821, 'title': 'Chapter 2', 'url': 'https://www.wattpad.com/36978821-hadar-watty2014-chapter-2', 'rating': 3, 'draft': False, 'modifyDate': '2014-01-29T18:42:18Z', 'length': 10093, 'videoId': '', 'photoUrl': '', 'commentCount': 109, 'voteCount': 3405, 'readCount': 81287}, {'id': 36979152, 'title': 'Chapter 3', 'url': 'https://www.wattpad.com/36979152-hadar-watty2014-chapter-3', 'rating': 3, 'draft': False, 'modifyDate': '2014-01-29T18:50:53Z', 'length': 6597, 'videoId': '', 'photoUrl': '', 'commentCount': 234, 'voteCount': 3488, 'readCount': 75003}, {'id': 36979368, 'title': 'Chapter 4', 'url': 'https://www.wattpad.com/36979368-hadar-watty2014-chapter-4', 'rating': 3, 'draft': False, 'modifyDate': '2014-01-29T18:54:47Z', 'length': 7543, 'videoId': '', 'photoUrl': '', 'commentCount': 292, 'voteCount': 3222, 'readCount': 75184}, {'id': 36979566, 'title': 'Chapter 5', 'url': 'https://www.wattpad.com/36979566-hadar-watty2014-chapter-5', 'rating': 3, 'draft': False, 'modifyDate': '2014-01-29T18:55:13Z', 'length': 6834, 'videoId': '', 'photoUrl': '', 'commentCount': 130, 'voteCount': 3273, 'readCount': 73282}, {'id': 36979779, 'title': 'Chapter 6', 'url': 'https://www.wattpad.com/36979779-hadar-watty2014-chapter-6', 'rating': 3, 'draft': False, 'modifyDate': '2014-01-29T18:55:37Z', 'length': 10459, 'videoId': '', 'photoUrl': '', 'commentCount': 210, 'voteCount': 3191, 'readCount': 80186}, {'id': 36980251, 'title': 'Chapter 7', 'url': 'https://www.wattpad.com/36980251-hadar-watty2014-chapter-7', 'rating': 3, 'draft': False, 'modifyDate': '2014-01-29T18:57:11Z', 'length': 11867, 'videoId': '', 'photoUrl': '', 'commentCount': 236, 'voteCount': 3429, 'readCount': 81567}, {'id': 36980479, 'title': 'Chapter 8', 'url': 'https://www.wattpad.com/36980479-hadar-watty2014-chapter-8', 'rating': 3, 'draft': False, 'modifyDate': '2014-01-29T20:29:11Z', 'length': 6869, 'videoId': '', 'photoUrl': '', 'commentCount': 121, 'voteCount': 3084, 'readCount': 77216}, {'id': 36980663, 'title': 'Chapter 9', 'url': 'https://www.wattpad.com/36980663-hadar-watty2014-chapter-9', 'rating': 3, 'draft': False, 'modifyDate': '2014-01-29T20:57:33Z', 'length': 10071, 'videoId': '', 'photoUrl': '', 'commentCount': 107, 'voteCount': 2943, 'readCount': 72853}, {'id': 36980927, 'title': 'Chapter 10', 'url': 'https://www.wattpad.com/36980927-hadar-watty2014-chapter-10', 'rating': 3, 'draft': False, 'modifyDate': '2014-01-29T21:30:01Z', 'length': 12195, 'videoId': '', 'photoUrl': '', 'commentCount': 96, 'voteCount': 3204, 'readCount': 74260}, {'id': 36981341, 'title': 'Chapter 11', 'url': 'https://www.wattpad.com/36981341-hadar-watty2014-chapter-11', 'rating': 3, 'draft': False, 'modifyDate': '2014-02-26T01:30:30Z', 'length': 11252, 'videoId': '', 'photoUrl': '', 'commentCount': 393, 'voteCount': 3123, 'readCount': 74438}, {'id': 36982017, 'title': 'Chapter 12', 'url': 'https://www.wattpad.com/36982017-hadar-watty2014-chapter-12', 'rating': 3, 'draft': False, 'modifyDate': '2014-01-29T22:59:44Z', 'length': 10929, 'videoId': '', 'photoUrl': '', 'commentCount': 241, 'voteCount': 3009, 'readCount': 78887}, {'id': 36982320, 'title': 'Chapter 13', 'url': 'https://www.wattpad.com/36982320-hadar-watty2014-chapter-13', 'rating': 3, 'draft': False, 'modifyDate': '2014-01-29T22:59:58Z', 'length': 6860, 'videoId': '', 'photoUrl': '', 'commentCount': 125, 'voteCount': 2856, 'readCount': 67341}, {'id': 36982837, 'title': 'Chapter 14', 'url': 'https://www.wattpad.com/36982837-hadar-watty2014-chapter-14', 'rating': 3, 'draft': False, 'modifyDate': '2014-01-29T23:00:10Z', 'length': 10349, 'videoId': '', 'photoUrl': '', 'commentCount': 159, 'voteCount': 2867, 'readCount': 72277}, {'id': 36983243, 'title': 'Chapter 15', 'url': 'https://www.wattpad.com/36983243-hadar-watty2014-chapter-15', 'rating': 3, 'draft': False, 'modifyDate': '2014-01-30T00:56:50Z', 'length': 9840, 'videoId': '', 'photoUrl': '', 'commentCount': 98, 'voteCount': 2824, 'readCount': 69029}, {'id': 36983590, 'title': 'Chapter 16', 'url': 'https://www.wattpad.com/36983590-hadar-watty2014-chapter-16', 'rating': 3, 'draft': False, 'modifyDate': '2014-01-30T01:44:54Z', 'length': 10481, 'videoId': '', 'photoUrl': '', 'commentCount': 91, 'voteCount': 2911, 'readCount': 70512}, {'id': 36984077, 'title': 'Chapter 17', 'url': 'https://www.wattpad.com/36984077-hadar-watty2014-chapter-17', 'rating': 3, 'draft': False, 'modifyDate': '2014-01-30T04:16:30Z', 'length': 11398, 'videoId': '', 'photoUrl': '', 'commentCount': 215, 'voteCount': 2766, 'readCount': 69274}, {'id': 36984452, 'title': 'Chapter 18', 'url': 'https://www.wattpad.com/36984452-hadar-watty2014-chapter-18', 'rating': 3, 'draft': False, 'modifyDate': '2014-01-30T06:58:11Z', 'length': 8700, 'videoId': '', 'photoUrl': '', 'commentCount': 93, 'voteCount': 3049, 'readCount': 64727}, {'id': 36984718, 'title': 'Chapter 19', 'url': 'https://www.wattpad.com/36984718-hadar-watty2014-chapter-19', 'rating': 3, 'draft': False, 'modifyDate': '2015-01-27T10:47:41Z', 'length': 11082, 'videoId': '', 'photoUrl': '', 'commentCount': 124, 'voteCount': 2936, 'readCount': 65364}, {'id': 36984883, 'title': 'Chapter 20', 'url': 'https://www.wattpad.com/36984883-hadar-watty2014-chapter-20', 'rating': 3, 'draft': False, 'modifyDate': '2014-01-30T07:59:59Z', 'length': 10433, 'videoId': '', 'photoUrl': '', 'commentCount': 70, 'voteCount': 2880, 'readCount': 70226}, {'id': 37051288, 'title': 'Chapter 21', 'url': 'https://www.wattpad.com/37051288-hadar-watty2014-chapter-21', 'rating': 3, 'draft': False, 'modifyDate': '2014-01-30T08:11:35Z', 'length': 11957, 'videoId': '', 'photoUrl': '', 'commentCount': 82, 'voteCount': 2654, 'readCount': 68339}, {'id': 37051425, 'title': 'Chapter 22', 'url': 'https://www.wattpad.com/37051425-hadar-watty2014-chapter-22', 'rating': 3, 'draft': False, 'modifyDate': '2014-01-30T08:16:16Z', 'length': 11898, 'videoId': '', 'photoUrl': '', 'commentCount': 139, 'voteCount': 2521, 'readCount': 67099}, {'id': 37051708, 'title': 'Chapter 23', 'url': 'https://www.wattpad.com/37051708-hadar-watty2014-chapter-23', 'rating': 3, 'draft': False, 'modifyDate': '2014-01-30T16:58:00Z', 'length': 11772, 'videoId': '', 'photoUrl': '', 'commentCount': 72, 'voteCount': 2652, 'readCount': 67563}, {'id': 37051912, 'title': 'Chapter 24', 'url': 'https://www.wattpad.com/37051912-hadar-watty2014-chapter-24', 'rating': 3, 'draft': False, 'modifyDate': '2014-01-30T18:15:57Z', 'length': 13288, 'videoId': '', 'photoUrl': '', 'commentCount': 103, 'voteCount': 2599, 'readCount': 69521}, {'id': 37052197, 'title': 'Chapter 25', 'url': 'https://www.wattpad.com/37052197-hadar-watty2014-chapter-25', 'rating': 3, 'draft': False, 'modifyDate': '2014-01-30T18:16:11Z', 'length': 13075, 'videoId': '', 'photoUrl': '', 'commentCount': 43, 'voteCount': 2654, 'readCount': 63431}, {'id': 37052370, 'title': 'Chapter 26', 'url': 'https://www.wattpad.com/37052370-hadar-watty2014-chapter-26', 'rating': 3, 'draft': False, 'modifyDate': '2014-01-30T18:16:24Z', 'length': 14844, 'videoId': '', 'photoUrl': '', 'commentCount': 163, 'voteCount': 2862, 'readCount': 68372}, {'id': 37086017, 'title': 'Chapter 27', 'url': 'https://www.wattpad.com/37086017-hadar-watty2014-chapter-27', 'rating': 3, 'draft': False, 'modifyDate': '2014-01-30T18:49:43Z', 'length': 12832, 'videoId': '', 'photoUrl': '', 'commentCount': 45, 'voteCount': 2461, 'readCount': 64560}, {'id': 37086150, 'title': 'Chapter 28', 'url': 'https://www.wattpad.com/37086150-hadar-watty2014-chapter-28', 'rating': 3, 'draft': False, 'modifyDate': '2014-01-30T18:50:54Z', 'length': 11266, 'videoId': '', 'photoUrl': '', 'commentCount': 26, 'voteCount': 2485, 'readCount': 72713}, {'id': 37086308, 'title': 'Chapter 29', 'url': 'https://www.wattpad.com/37086308-hadar-watty2014-chapter-29', 'rating': 3, 'draft': False, 'modifyDate': '2014-01-30T18:53:38Z', 'length': 13549, 'videoId': '', 'photoUrl': '', 'commentCount': 37, 'voteCount': 2511, 'readCount': 66280}, {'id': 37086422, 'title': 'Chapter 30', 'url': 'https://www.wattpad.com/37086422-hadar-watty2014-chapter-30', 'rating': 3, 'draft': False, 'modifyDate': '2014-01-30T18:55:39Z', 'length': 14554, 'videoId': '', 'photoUrl': '', 'commentCount': 38, 'voteCount': 2498, 'readCount': 66370}, {'id': 37086533, 'title': 'Chapter 31', 'url': 'https://www.wattpad.com/37086533-hadar-watty2014-chapter-31', 'rating': 3, 'draft': False, 'modifyDate': '2014-01-30T18:59:23Z', 'length': 11978, 'videoId': '', 'photoUrl': '', 'commentCount': 136, 'voteCount': 2512, 'readCount': 60008}, {'id': 37086835, 'title': 'Chapter 32', 'url': 'https://www.wattpad.com/37086835-hadar-watty2014-chapter-32', 'rating': 3, 'draft': False, 'modifyDate': '2014-01-30T19:01:11Z', 'length': 18060, 'videoId': '', 'photoUrl': '', 'commentCount': 240, 'voteCount': 2372, 'readCount': 60593}, {'id': 37086934, 'title': 'Chapter 33', 'url': 'https://www.wattpad.com/37086934-hadar-watty2014-chapter-33', 'rating': 3, 'draft': False, 'modifyDate': '2014-01-30T19:04:19Z', 'length': 16490, 'videoId': '', 'photoUrl': '', 'commentCount': 48, 'voteCount': 2322, 'readCount': 55120}, {'id': 37087103, 'title': 'Chapter 35', 'url': 'https://www.wattpad.com/37087103-hadar-watty2014-chapter-35', 'rating': 3, 'draft': False, 'modifyDate': '2014-01-30T19:06:15Z', 'length': 16172, 'videoId': '', 'photoUrl': '', 'commentCount': 54, 'voteCount': 2388, 'readCount': 58248}, {'id': 37087370, 'title': 'Chapter 36', 'url': 'https://www.wattpad.com/37087370-hadar-watty2014-chapter-36', 'rating': 3, 'draft': False, 'modifyDate': '2014-01-30T19:08:34Z', 'length': 17344, 'videoId': '', 'photoUrl': '', 'commentCount': 176, 'voteCount': 2666, 'readCount': 66600}, {'id': 37087582, 'title': 'Epilogue', 'url': 'https://www.wattpad.com/37087582-hadar-watty2014-epilogue', 'rating': 3, 'draft': False, 'modifyDate': '2014-01-30T19:11:05Z', 'length': 2916, 'videoId': '', 'photoUrl': '', 'commentCount': 328, 'voteCount': 3442, 'readCount': 74769}]", 3, 2686300, "['alpha', 'curse', 'luna', 'magic', 'power', 'rejection', 'watty2014', 'wolves']", 'Hadar #Watty2014', 'https://www.wattpad.com/story/12050237-hadar-watty2014', 'https://a.wattpad.com/useravatar/RevyRogue.128.491090.jpg', 'Reviana', 'RevyRogue', 106794], [19, 20017, True, 0, 'https://a.wattpad.com/cover/16618124-256-k662662.jpg', '2014-09-25T23:31:02Z', '2014-05-20T12:25:26Z', False, nan, 50914516, '2014-05-21T00:07:47Z', 50914516, 16618124, 1, 'English', '2014-10-15T00:28:42Z', 76088428, 175785, False, '2015-06-15T00:20:39Z', 38, "[{'id': 50914516, 'title': 'Escorting the Brute', 'url': 'https://www.wattpad.com/50914516-escorting-the-brute', 'rating': 0, 'draft': False, 'modifyDate': '2015-06-15T00:20:36Z', 'length': 83, 'videoId': '', 'photoUrl': '', 'commentCount': 360, 'voteCount': 5298, 'readCount': 626781}, {'id': 51381941, 'title': 'Escorting the Brute {1}', 'url': 'https://www.wattpad.com/51381941-escorting-the-brute-1', 'rating': 3, 'draft': False, 'modifyDate': '2014-08-09T03:43:28Z', 'length': 3742, 'videoId': '', 'photoUrl': '', 'commentCount': 2519, 'voteCount': 7511, 'readCount': 417089}, {'id': 51548344, 'title': 'Escorting the Brute {2}', 'url': 'https://www.wattpad.com/51548344-escorting-the-brute-2', 'rating': 3, 'draft': False, 'modifyDate': '2014-05-26T14:54:33Z', 'length': 7747, 'videoId': '', 'photoUrl': '', 'commentCount': 745, 'voteCount': 7036, 'readCount': 334544}, {'id': 51834345, 'title': 'Escorting the Brute {3}', 'url': 'https://www.wattpad.com/51834345-escorting-the-brute-3', 'rating': 3, 'draft': False, 'modifyDate': '2014-05-26T16:53:40Z', 'length': 2814, 'videoId': '', 'photoUrl': '', 'commentCount': 399, 'voteCount': 6395, 'readCount': 276979},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7060, 'readCount': 277104}, {'id': 52358547, 'title': 'Escorting the Brute {5}', 'url': 'https://www.wattpad.com/52358547-escorting-the-brute-5', 'rating': 3, 'draft': False, 'modifyDate': '2014-06-05T19:24:15Z', 'length': 6855, 'videoId': '', 'photoUrl': '', 'commentCount': 325, 'voteCount': 6034, 'readCount': 282053}, {'id': 53367841, 'title': 'Escorting the Brute {6}', 'url': 'https://www.wattpad.com/53367841-escorting-the-brute-6', 'rating': 3, 'draft': False, 'modifyDate': '2014-06-05T20:52:02Z', 'length': 8740, 'videoId': '', 'photoUrl': '', 'commentCount': 627, 'voteCount': 6236, 'readCount': 297174}, {'id': 53475741, 'title': 'Escorting the Brute {7}', 'url': 'https://www.wattpad.com/53475741-escorting-the-brute-7', 'rating': 3, 'draft': False, 'modifyDate': '2014-07-16T16:45:09Z', 'length': 4551, 'videoId': '', 'photoUrl': '', 'commentCount': 979, 'voteCount': 5830, 'readCount': 261032}, {'id': 53810545, 'title': 'Escorting the Brute {8}', 'url': 'https://www.wattpad.com/53810545-escorting-the-brute-8', 'rating': 3, 'draft': False, 'modifyDate': '2014-07-16T16:46:30Z', 'length': 6852, 'videoId': '', 'photoUrl': '', 'commentCount': 940, 'voteCount': 5701, 'readCount': 250956}, {'id': 54122087, 'title': 'Escorting the Brute {9}', 'url': 'https://www.wattpad.com/54122087-escorting-the-brute-9', 'rating': 0, 'draft': False, 'modifyDate': '2014-06-18T15:07:57Z', 'length': 2953, 'videoId': '', 'photoUrl': '', 'commentCount': 419, 'voteCount': 5178, 'readCount': 234418}, {'id': 55925216, 'title': 'Escorting the Brute {10}', 'url': 'https://www.wattpad.com/55925216-escorting-the-brute-10', 'rating': 0, 'draft': False, 'modifyDate': '2014-07-01T09:29:46Z', 'length': 3068, 'videoId': '', 'photoUrl': '', 'commentCount': 625, 'voteCount': 5182, 'readCount': 239549}, {'id': 58636979, 'title': 'Escorting the Brute {11}', 'url': 'https://www.wattpad.com/58636979-escorting-the-brute-11', 'rating': 0, 'draft': False, 'modifyDate': '2014-07-08T18:30:17Z', 'length': 2267, 'videoId': '', 'photoUrl': '', 'commentCount': 381, 'voteCount': 4991, 'readCount': 229469}, {'id': 58661878, 'title': 'Escorting the Brute {12}', 'url': 'https://www.wattpad.com/58661878-escorting-the-brute-12', 'rating': 3, 'draft': False, 'modifyDate': '2014-07-08T22:01:46Z', 'length': 3402, 'videoId': '', 'photoUrl': '', 'commentCount': 286, 'voteCount': 5205, 'readCount': 224607}, {'id': 58685973, 'title': 'Escorting the Brute {13}', 'url': 'https://www.wattpad.com/58685973-escorting-the-brute-13', 'rating': 0, 'draft': False, 'modifyDate': '2014-07-09T00:30:29Z', 'length': 3798, 'videoId': '', 'photoUrl': '', 'commentCount': 460, 'voteCount': 4790, 'readCount': 213228}, {'id': 58816567, 'title': 'Escorting the Brute {14}', 'url': 'https://www.wattpad.com/58816567-escorting-the-brute-14', 'rating': 0, 'draft': False, 'modifyDate': '2014-07-09T19:51:05Z', 'length': 3179, 'videoId': '', 'photoUrl': '', 'commentCount': 422, 'voteCount': 4929, 'readCount': 215127}, {'id': 59044755, 'title': 'A/N', 'url': 'https://www.wattpad.com/59044755-escorting-the-brute-a-n', 'rating': 0, 'draft': False, 'modifyDate': '2014-07-11T00:41:11Z', 'length': 205, 'videoId': '', 'photoUrl': '', 'commentCount': 17, 'voteCount': 2073, 'readCount': 196406},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4985, 'readCount': 222472}, {'id': 60097444, 'title': 'Escorting the Brute {16}', 'url': 'https://www.wattpad.com/60097444-escorting-the-brute-16', 'rating': 3, 'draft': False, 'modifyDate': '2014-07-17T15:47:52Z', 'length': 7175, 'videoId': '', 'photoUrl': '', 'commentCount': 936, 'voteCount': 4872, 'readCount': 230893},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4605, 'readCount': 206964}, {'id': 61421086, 'title': 'Escorting the Brute {18}', 'url': 'https://www.wattpad.com/61421086-escorting-the-brute-18', 'rating': 3, 'draft': False, 'modifyDate': '2014-09-21T18:21:20Z', 'length': 5868, 'videoId': '', 'photoUrl': '', 'commentCount': 322, 'voteCount': 4503, 'readCount': 215096}, {'id': 62364872, 'title': 'Escorting the Brute {19}', 'url': 'https://www.wattpad.com/62364872-escorting-the-brute-19', 'rating': 3, 'draft': False, 'modifyDate': '2014-07-29T00:43:51Z', 'length': 8091, 'videoId': '', 'photoUrl': '', 'commentCount': 413, 'voteCount': 4613, 'readCount': 211284}, {'id': 62491661, 'title': 'Escorting the Brute {20}', 'url': 'https://www.wattpad.com/62491661-escorting-the-brute-20', 'rating': 0, 'draft': False, 'modifyDate': '2014-07-29T17:55:50Z', 'length': 4796, 'videoId': '', 'photoUrl': '', 'commentCount': 1247, 'voteCount': 4552, 'readCount': 197579}, {'id': 62750780, 'title': 'Escorting the Brute {21}', 'url': 'https://www.wattpad.com/62750780-escorting-the-brute-21', 'rating': 3, 'draft': False, 'modifyDate': '2014-07-31T07:37:11Z', 'length': 5014, 'videoId': '', 'photoUrl': '', 'commentCount': 751, 'voteCount': 4922, 'readCount': 187710}, {'id': 63905331, 'title': 'Escorting the Brute {22}', 'url': 'https://www.wattpad.com/63905331-escorting-the-brute-22', 'rating': 3, 'draft': False, 'modifyDate': '2014-08-07T14:58:14Z', 'length': 7236, 'videoId': '', 'photoUrl': '', 'commentCount': 237, 'voteCount': 4264, 'readCount': 185791}, {'id': 64181587, 'title': 'Escorting the Brute {22.5}', 'url': 'https://www.wattpad.com/64181587-escorting-the-brute-22-5', 'rating': 0, 'draft': False, 'modifyDate': '2014-08-08T00:48:17Z', 'length': 2820, 'videoId': '', 'photoUrl': '', 'commentCount': 461, 'voteCount': 3958, 'readCount': 175973}, {'id': 64372975, 'title': 'Escorting the Brute {23}', 'url': 'https://www.wattpad.com/64372975-escorting-the-brute-23', 'rating': 0, 'draft': False, 'modifyDate': '2014-08-08T15:23:19Z', 'length': 3568, 'videoId': '', 'photoUrl': '', 'commentCount': 431, 'voteCount': 4348, 'readCount': 176739}, {'id': 65558185, 'title': 'Escorting the Brute {24}', 'url': 'https://www.wattpad.com/65558185-escorting-the-brute-24', 'rating': 0, 'draft': False, 'modifyDate': '2014-08-14T21:24:06Z', 'length': 5266, 'videoId': '', 'photoUrl': '', 'commentCount': 354, 'voteCount': 4821, 'readCount': 178509}, {'id': 66125131, 'title': 'Escorting the Brute {25}', 'url': 'https://www.wattpad.com/66125131-escorting-the-brute-25', 'rating': 0, 'draft': False, 'modifyDate': '2014-10-13T13:45:31Z', 'length': 3385, 'videoId': '', 'photoUrl': '', 'commentCount': 181, 'voteCount': 4722, 'readCount': 177046}, {'id': 67641575, 'title': 'Escorting the Brute {26}', 'url': 'https://www.wattpad.com/67641575-escorting-the-brute-26', 'rating': 0, 'draft': False, 'modifyDate': '2014-08-26T00:13:05Z', 'length': 3290, 'videoId': '', 'photoUrl': '', 'commentCount': 460, 'voteCount': 4734, 'readCount': 172988}, {'id': 68090973, 'title': 'Escorting the Brute {27}', 'url': 'https://www.wattpad.com/68090973-escorting-the-brute-27', 'rating': 3, 'draft': False, 'modifyDate': '2014-08-28T17:25:54Z', 'length': 5939, 'videoId': '', 'photoUrl': '', 'commentCount': 151, 'voteCount': 4847, 'readCount': 180365}, {'id': 69639006, 'title': 'Escorting the Brute {28}', 'url': 'https://www.wattpad.com/69639006-escorting-the-brute-28', 'rating': 0, 'draft': False, 'modifyDate': '2014-09-06T15:54:45Z', 'length': 6025, 'videoId': '', 'photoUrl': '', 'commentCount': 379, 'voteCount': 5044, 'readCount': 182710},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4502, 'readCount': 169054}, {'id': 71524640, 'title': 'Escorting the Brute {29 pt.2}', 'url': 'https://www.wattpad.com/71524640-escorting-the-brute-29-pt-2', 'rating': 0, 'draft': False, 'modifyDate': '2014-09-18T00:50:45Z', 'length': 2569, 'videoId': '', 'photoUrl': '', 'commentCount': 250, 'voteCount': 4908, 'readCount': 151076}, {'id': 72789977, 'title': 'Escorting the Brute {30}', 'url': 'https://www.wattpad.com/72789977-escorting-the-brute-30', 'rating': 3, 'draft': False, 'modifyDate': '2014-09-26T01:19:32Z', 'length': 3676, 'videoId': '', 'photoUrl': '', 'commentCount': 179, 'voteCount': 4445, 'readCount': 152114}, {'id': 73079933, 'title': 'Escorting the Brute {31}', 'url': 'https://www.wattpad.com/73079933-escorting-the-brute-31', 'rating': 3, 'draft': False, 'modifyDate': '2014-09-27T18:26:41Z', 'length': 9455, 'videoId': '', 'photoUrl': '', 'commentCount': 396, 'voteCount': 4777, 'readCount': 167656}, {'id': 76049600, 'title': 'Escorting the Brute {32}', 'url': 'https://www.wattpad.com/76049600-escorting-the-brute-32', 'rating': 0, 'draft': False, 'modifyDate': '2014-10-14T21:55:34Z', 'length': 8510, 'videoId': 'a-j86tzxi8s', 'photoUrl': 'https://d.wattpad.com/story_parts/76049600/images/139d1e6aa35f7c1a.jpg', 'commentCount': 434, 'voteCount': 3907, 'readCount': 152051},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114782}, {'id': 76088428, 'title': 'Epilogue', 'url': 'https://www.wattpad.com/76088428-escorting-the-brute-epilogue', 'rating': 0, 'draft': False, 'modifyDate': '2014-12-22T17:31:05Z', 'length': 5162, 'videoId': '', 'photoUrl': 'https://d.wattpad.com/story_parts/76088428/images/139d2ad2def20c23.jpg', 'commentCount': 699, 'voteCount': 5494, 'readCount': 166597}]", 3, 8551927, '[]', 'Escorting the Brute', 'https://www.wattpad.com/story/16618124-escorting-the-brute', 'https://a.wattpad.com/useravatar/iwillluv1d4ever.128.809982.jpg', 'Q.', 'iwillluv1d4ever', 189261], [19, 9715, True, 0, 'https://a.wattpad.com/cover/42937930-256-k992146.jpg', '2015-06-22T23:55:46Z', '2015-06-22T23:55:09Z', False, 'yessss!!!!', 141082265, '2015-06-23T02:59:41Z', 141082265, 42937930, 1, 'English', '2015-06-23T03:06:30Z', 141082405, 2204, False, '2015-08-16T08:07:12Z', 16, "[{'id': 141082265, 'title': 'lol!', 'url': 'https://www.wattpad.com/141082265-%E2%9D%87awsome-comebacks%E2%9D%87-lol', 'rating': 0, 'draft': False, 'modifyDate': '2015-06-23T02:59:42Z', 'length': 119, 'videoId': '', 'photoUrl': '', 'commentCount': 905, 'voteCount': 2134, 'readCount': 131989}, {'id': 141082305, 'title': 'oh no!', 'url': 'https://www.wattpad.com/141082305-%E2%9D%87awsome-comebacks%E2%9D%87-oh-no', 'rating': 0, 'draft': False, 'modifyDate': '2015-06-23T02:59:55Z', 'length': 249, 'videoId': '', 'photoUrl': '', 'commentCount': 490, 'voteCount': 1986, 'readCount': 119221}, {'id': 141082311, 'title': 'funny!', 'url': 'https://www.wattpad.com/141082311-%E2%9D%87awsome-comebacks%E2%9D%87-funny', 'rating': 0, 'draft': False, 'modifyDate': '2015-06-23T03:00:13Z', 'length': 152, 'videoId': '', 'photoUrl': '', 'commentCount': 825, 'voteCount': 2990, 'readCount': 108381}, {'id': 141082314, 'title': 'umm....', 'url': 'https://www.wattpad.com/141082314-%E2%9D%87awsome-comebacks%E2%9D%87-umm', 'rating': 0, 'draft': False, 'modifyDate': '2015-06-23T03:00:32Z', 'length': 97, 'videoId': '', 'photoUrl': '', 'commentCount': 771, 'voteCount': 5208, 'readCount': 100610}, {'id': 141082316, 'title': 'teachers!', 'url': 'https://www.wattpad.com/141082316-%E2%9D%87awsome-comebacks%E2%9D%87-teachers', 'rating': 0, 'draft': False, 'modifyDate': '2015-06-23T03:00:50Z', 'length': 103, 'videoId': '', 'photoUrl': '', 'commentCount': 787, 'voteCount': 3183, 'readCount': 95543}, {'id': 141082326, 'title': 'okay', 'url': 'https://www.wattpad.com/141082326-%E2%9D%87awsome-comebacks%E2%9D%87-okay', 'rating': 0, 'draft': False, 'modifyDate': '2015-06-23T03:01:19Z', 'length': 150, 'videoId': '', 'photoUrl': '', 'commentCount': 471, 'voteCount': 2297, 'readCount': 90071}, {'id': 141082338, 'title': 'not really a comeback', 'url': 'https://www.wattpad.com/141082338-%E2%9D%87awsome-comebacks%E2%9D%87-not-really-a-comeback', 'rating': 0, 'draft': False, 'modifyDate': '2015-06-23T03:02:18Z', 'length': 59, 'videoId': '', 'photoUrl': '', 'commentCount': 394, 'voteCount': 2335, 'readCount': 84782}, {'id': 141082343, 'title': 'to the person you hate', 'url': 'https://www.wattpad.com/141082343-%E2%9D%87awsome-comebacks%E2%9D%87-to-the-person-you-hate', 'rating': 0, 'draft': False, 'modifyDate': '2015-06-23T03:03:03Z', 'length': 123, 'videoId': '', 'photoUrl': '', 'commentCount': 579, 'voteCount': 2494, 'readCount': 81407}, {'id': 141082356, 'title': 'haha', 'url': 'https://www.wattpad.com/141082356-%E2%9D%87awsome-comebacks%E2%9D%87-haha', 'rating': 0, 'draft': False, 'modifyDate': '2015-06-23T03:03:10Z', 'length': 262, 'videoId': '', 'photoUrl': '', 'commentCount': 588, 'voteCount': 1781, 'readCount': 79462}, {'id': 141082361, 'title': 'not really a comeback #2', 'url': 'https://www.wattpad.com/141082361-%E2%9D%87awsome-comebacks%E2%9D%87-not-really-a-comeback-2', 'rating': 0, 'draft': False, 'modifyDate': '2015-06-23T03:03:26Z', 'length': 87, 'videoId': '', 'photoUrl': '', 'commentCount': 481, 'voteCount': 1928, 'readCount': 73456}, {'id': 141082369, 'title': 'why do we need school', 'url': 'https://www.wattpad.com/141082369-%E2%9D%87awsome-comebacks%E2%9D%87-why-do-we-need-school', 'rating': 0, 'draft': False, 'modifyDate': '2015-06-23T03:03:37Z', 'length': 191, 'videoId': '', 'photoUrl': '', 'commentCount': 1527, 'voteCount': 2632, 'readCount': 72657}, {'id': 141082375, 'title': 'poopfaces', 'url': 'https://www.wattpad.com/141082375-%E2%9D%87awsome-comebacks%E2%9D%87-poopfaces', 'rating': 0, 'draft': False, 'modifyDate': '2015-06-23T03:05:48Z', 'length': 94, 'videoId': '', 'photoUrl': '', 'commentCount': 169, 'voteCount': 1889, 'readCount': 68187}, {'id': 141082382, 'title': 'mmhhmm!', 'url': 'https://www.wattpad.com/141082382-%E2%9D%87awsome-comebacks%E2%9D%87-mmhhmm', 'rating': 0, 'draft': False, 'modifyDate': '2015-06-23T03:05:55Z', 'length': 159, 'videoId': '', 'photoUrl': '', 'commentCount': 532, 'voteCount': 2084, 'readCount': 61741}, {'id': 141082390, 'title': 'gotta tell ya', 'url': 'https://www.wattpad.com/141082390-%E2%9D%87awsome-comebacks%E2%9D%87-gotta-tell-ya', 'rating': 0, 'draft': False, 'modifyDate': '2015-06-23T03:06:01Z', 'length': 104, 'videoId': '', 'photoUrl': '', 'commentCount': 465, 'voteCount': 997, 'readCount': 57099}, {'id': 141082397, 'title': 'okay okay im back!', 'url': 'https://www.wattpad.com/141082397-%E2%9D%87awsome-comebacks%E2%9D%87-okay-okay-im-back', 'rating': 0, 'draft': False, 'modifyDate': '2015-06-23T03:06:12Z', 'length': 165, 'videoId': '', 'photoUrl': '', 'commentCount': 527, 'voteCount': 2294, 'readCount': 55282}, {'id': 141082405, 'title': 'im done', 'url': 'https://www.wattpad.com/141082405-%E2%9D%87awsome-comebacks%E2%9D%87-im-done', 'rating': 0, 'draft': False, 'modifyDate': '2015-06-23T03:06:30Z', 'length': 90, 'videoId': '', 'photoUrl': '', 'commentCount': 204, 'voteCount': 927, 'readCount': 59929}]", 0, 1339809, "['dumb', 'funny', 'listen', 'nothing', 'okay']", '❇awsome comebacks❇', 'https://www.wattpad.com/story/42937930-%E2%9D%87awsome-comebacks%E2%9D%87', 'https://a.wattpad.com/useravatar/kittygirl_121604.128.186602.jpg', nan, 'kittygirl_121604', 37159]]</t>
  </si>
  <si>
    <t>[[19, 5187,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'2014-01-29T18:42:05Z', 36978235, 12050237, 1, 'English', '2014-01-30T19:11:05Z', 37087582, 407525, False, '2015-01-27T10:47:41Z', 37, "[{'id': 36978107, 'title': 'Prologue', 'url': 'https://www.wattpad.com/36978107-hadar-watty2014-prologue', 'rating': 3, 'draft': False, 'modifyDate': '2014-11-13T01:39:15Z', 'length': 1628, 'videoId': '', 'photoUrl': '', 'commentCount': 81, 'voteCount': 3395, 'readCount': 137303}, {'id': 36978235, 'title': 'Chapter 1', 'url': 'https://www.wattpad.com/36978235-hadar-watty2014-chapter-1', 'rating': 3, 'draft': False, 'modifyDate': '2014-02-26T00:45:00Z', 'length': 10050, 'videoId': '', 'photoUrl': '', 'commentCount': 232, 'voteCount': 3344, 'readCount': 106789}, {'id': 36978821, 'title': 'Chapter 2', 'url': 'https://www.wattpad.com/36978821-hadar-watty2014-chapter-2', 'rating': 3, 'draft': False, 'modifyDate': '2014-01-29T18:42:18Z', 'length': 10093, 'videoId': '', 'photoUrl': '', 'commentCount': 109, 'voteCount': 3406, 'readCount': 81366}, {'id': 36979152, 'title': 'Chapter 3', 'url': 'https://www.wattpad.com/36979152-hadar-watty2014-chapter-3', 'rating': 3, 'draft': False, 'modifyDate': '2014-01-29T18:50:53Z', 'length': 6597, 'videoId': '', 'photoUrl': '', 'commentCount': 234, 'voteCount': 3489, 'readCount': 75063}, {'id': 36979368, 'title': 'Chapter 4', 'url': 'https://www.wattpad.com/36979368-hadar-watty2014-chapter-4', 'rating': 3, 'draft': False, 'modifyDate': '2014-01-29T18:54:47Z', 'length': 7543, 'videoId': '', 'photoUrl': '', 'commentCount': 292, 'voteCount': 3223, 'readCount': 75257}, {'id': 36979566, 'title': 'Chapter 5', 'url': 'https://www.wattpad.com/36979566-hadar-watty2014-chapter-5', 'rating': 3, 'draft': False, 'modifyDate': '2014-01-29T18:55:13Z', 'length': 6834, 'videoId': '', 'photoUrl': '', 'commentCount': 130, 'voteCount': 3276, 'readCount': 73358}, {'id': 36979779, 'title': 'Chapter 6', 'url': 'https://www.wattpad.com/36979779-hadar-watty2014-chapter-6', 'rating': 3, 'draft': False, 'modifyDate': '2014-01-29T18:55:37Z', 'length': 10459, 'videoId': '', 'photoUrl': '', 'commentCount': 210, 'voteCount': 3194, 'readCount': 80253}, {'id': 36980251, 'title': 'Chapter 7', 'url': 'https://www.wattpad.com/36980251-hadar-watty2014-chapter-7', 'rating': 3, 'draft': False, 'modifyDate': '2014-01-29T18:57:11Z', 'length': 11867, 'videoId': '', 'photoUrl': '', 'commentCount': 236, 'voteCount': 3431, 'readCount': 81657}, {'id': 36980479, 'title': 'Chapter 8', 'url': 'https://www.wattpad.com/36980479-hadar-watty2014-chapter-8', 'rating': 3, 'draft': False, 'modifyDate': '2014-01-29T20:29:11Z', 'length': 6869, 'videoId': '', 'photoUrl': '', 'commentCount': 121, 'voteCount': 3086, 'readCount': 77282}, {'id': 36980663, 'title': 'Chapter 9', 'url': 'https://www.wattpad.com/36980663-hadar-watty2014-chapter-9', 'rating': 3, 'draft': False, 'modifyDate': '2014-01-29T20:57:33Z', 'length': 10071, 'videoId': '', 'photoUrl': '', 'commentCount': 107, 'voteCount': 2945, 'readCount': 72919}, {'id': 36980927, 'title': 'Chapter 10', 'url': 'https://www.wattpad.com/36980927-hadar-watty2014-chapter-10', 'rating': 3, 'draft': False, 'modifyDate': '2014-01-29T21:30:01Z', 'length': 12195, 'videoId': '', 'photoUrl': '', 'commentCount': 96, 'voteCount': 3207, 'readCount': 74331}, {'id': 36981341, 'title': 'Chapter 11', 'url': 'https://www.wattpad.com/36981341-hadar-watty2014-chapter-11', 'rating': 3, 'draft': False, 'modifyDate': '2014-02-26T01:30:30Z', 'length': 11252, 'videoId': '', 'photoUrl': '', 'commentCount': 393, 'voteCount': 3125, 'readCount': 74507}, {'id': 36982017, 'title': 'Chapter 12', 'url': 'https://www.wattpad.com/36982017-hadar-watty2014-chapter-12', 'rating': 3, 'draft': False, 'modifyDate': '2014-01-29T22:59:44Z', 'length': 10929, 'videoId': '', 'photoUrl': '', 'commentCount': 241, 'voteCount': 3011, 'readCount': 78955}, {'id': 36982320, 'title': 'Chapter 13', 'url': 'https://www.wattpad.com/36982320-hadar-watty2014-chapter-13', 'rating': 3, 'draft': False, 'modifyDate': '2014-01-29T22:59:58Z', 'length': 6860, 'videoId': '', 'photoUrl': '', 'commentCount': 125, 'voteCount': 2858, 'readCount': 67398}, {'id': 36982837, 'title': 'Chapter 14', 'url': 'https://www.wattpad.com/36982837-hadar-watty2014-chapter-14', 'rating': 3, 'draft': False, 'modifyDate': '2014-01-29T23:00:10Z', 'length': 10349, 'videoId': '', 'photoUrl': '', 'commentCount': 159, 'voteCount': 2868, 'readCount': 72343}, {'id': 36983243, 'title': 'Chapter 15', 'url': 'https://www.wattpad.com/36983243-hadar-watty2014-chapter-15', 'rating': 3, 'draft': False, 'modifyDate': '2014-01-30T00:56:50Z', 'length': 9840, 'videoId': '', 'photoUrl': '', 'commentCount': 98, 'voteCount': 2825, 'readCount': 69102}, {'id': 36983590, 'title': 'Chapter 16', 'url': 'https://www.wattpad.com/36983590-hadar-watty2014-chapter-16', 'rating': 3, 'draft': False, 'modifyDate': '2014-01-30T01:44:54Z', 'length': 10481, 'videoId': '', 'photoUrl': '', 'commentCount': 91, 'voteCount': 2912, 'readCount': 70572}, {'id': 36984077, 'title': 'Chapter 17', 'url': 'https://www.wattpad.com/36984077-hadar-watty2014-chapter-17', 'rating': 3, 'draft': False, 'modifyDate': '2014-01-30T04:16:30Z', 'length': 11398, 'videoId': '', 'photoUrl': '', 'commentCount': 215, 'voteCount': 2767, 'readCount': 69344}, {'id': 36984452, 'title': 'Chapter 18', 'url': 'https://www.wattpad.com/36984452-hadar-watty2014-chapter-18', 'rating': 3, 'draft': False, 'modifyDate': '2014-01-30T06:58:11Z', 'length': 8700, 'videoId': '', 'photoUrl': '', 'commentCount': 93, 'voteCount': 3050, 'readCount': 64788}, {'id': 36984718, 'title': 'Chapter 19', 'url': 'https://www.wattpad.com/36984718-hadar-watty2014-chapter-19', 'rating': 3, 'draft': False, 'modifyDate': '2015-01-27T10:47:41Z', 'length': 11082, 'videoId': '', 'photoUrl': '', 'commentCount': 124, 'voteCount': 2937, 'readCount': 65422}, {'id': 36984883, 'title': 'Chapter 20', 'url': 'https://www.wattpad.com/36984883-hadar-watty2014-chapter-20', 'rating': 3, 'draft': False, 'modifyDate': '2014-01-30T07:59:59Z', 'length': 10433, 'videoId': '', 'photoUrl': '', 'commentCount': 70, 'voteCount': 2881, 'readCount': 70298}, {'id': 37051288, 'title': 'Chapter 21', 'url': 'https://www.wattpad.com/37051288-hadar-watty2014-chapter-21', 'rating': 3, 'draft': False, 'modifyDate': '2014-01-30T08:11:35Z', 'length': 11957, 'videoId': '', 'photoUrl': '', 'commentCount': 82, 'voteCount': 2654, 'readCount': 68405}, {'id': 37051425, 'title': 'Chapter 22', 'url': 'https://www.wattpad.com/37051425-hadar-watty2014-chapter-22', 'rating': 3, 'draft': False, 'modifyDate': '2014-01-30T08:16:16Z', 'length': 11898, 'videoId': '', 'photoUrl': '', 'commentCount': 139, 'voteCount': 2521, 'readCount': 67150}, {'id': 37051708, 'title': 'Chapter 23', 'url': 'https://www.wattpad.com/37051708-hadar-watty2014-chapter-23', 'rating': 3, 'draft': False, 'modifyDate': '2014-01-30T16:58:00Z', 'length': 11772, 'videoId': '', 'photoUrl': '', 'commentCount': 72, 'voteCount': 2652, 'readCount': 67618}, {'id': 37051912, 'title': 'Chapter 24', 'url': 'https://www.wattpad.com/37051912-hadar-watty2014-chapter-24', 'rating': 3, 'draft': False, 'modifyDate': '2014-01-30T18:15:57Z', 'length': 13288, 'videoId': '', 'photoUrl': '', 'commentCount': 103, 'voteCount': 2600, 'readCount': 69575}, {'id': 37052197, 'title': 'Chapter 25', 'url': 'https://www.wattpad.com/37052197-hadar-watty2014-chapter-25', 'rating': 3, 'draft': False, 'modifyDate': '2014-01-30T18:16:11Z', 'length': 13075, 'videoId': '', 'photoUrl': '', 'commentCount': 43, 'voteCount': 2654, 'readCount': 63485}, {'id': 37052370, 'title': 'Chapter 26', 'url': 'https://www.wattpad.com/37052370-hadar-watty2014-chapter-26', 'rating': 3, 'draft': False, 'modifyDate': '2014-01-30T18:16:24Z', 'length': 14844, 'videoId': '', 'photoUrl': '', 'commentCount': 163, 'voteCount': 2862, 'readCount': 68434}, {'id': 37086017, 'title': 'Chapter 27', 'url': 'https://www.wattpad.com/37086017-hadar-watty2014-chapter-27', 'rating': 3, 'draft': False, 'modifyDate': '2014-01-30T18:49:43Z', 'length': 12832, 'videoId': '', 'photoUrl': '', 'commentCount': 45, 'voteCount': 2461, 'readCount': 64610}, {'id': 37086150, 'title': 'Chapter 28', 'url': 'https://www.wattpad.com/37086150-hadar-watty2014-chapter-28', 'rating': 3, 'draft': False, 'modifyDate': '2014-01-30T18:50:54Z', 'length': 11266, 'videoId': '', 'photoUrl': '', 'commentCount': 26, 'voteCount': 2485, 'readCount': 72790}, {'id': 37086308, 'title': 'Chapter 29', 'url': 'https://www.wattpad.com/37086308-hadar-watty2014-chapter-29', 'rating': 3, 'draft': False, 'modifyDate': '2014-01-30T18:53:38Z', 'length': 13549, 'videoId': '', 'photoUrl': '', 'commentCount': 37, 'voteCount': 2512, 'readCount': 66353}, {'id': 37086422, 'title': 'Chapter 30', 'url': 'https://www.wattpad.com/37086422-hadar-watty2014-chapter-30', 'rating': 3, 'draft': False, 'modifyDate': '2014-01-30T18:55:39Z', 'length': 14554, 'videoId': '', 'photoUrl': '', 'commentCount': 38, 'voteCount': 2499, 'readCount': 66438}, {'id': 37086533, 'title': 'Chapter 31', 'url': 'https://www.wattpad.com/37086533-hadar-watty2014-chapter-31', 'rating': 3, 'draft': False, 'modifyDate': '2014-01-30T18:59:23Z', 'length': 11978, 'videoId': '', 'photoUrl': '', 'commentCount': 136, 'voteCount': 2514, 'readCount': 60066}, {'id': 37086835, 'title': 'Chapter 32', 'url': 'https://www.wattpad.com/37086835-hadar-watty2014-chapter-32', 'rating': 3, 'draft': False, 'modifyDate': '2014-01-30T19:01:11Z', 'length': 18060, 'videoId': '', 'photoUrl': '', 'commentCount': 240, 'voteCount': 2374, 'readCount': 60649}, {'id': 37086934, 'title': 'Chapter 33', 'url': 'https://www.wattpad.com/37086934-hadar-watty2014-chapter-33', 'rating': 3, 'draft': False, 'modifyDate': '2014-01-30T19:04:19Z', 'length': 16490, 'videoId': '', 'photoUrl': '', 'commentCount': 48, 'voteCount': 2324, 'readCount': 55177}, {'id': 37087103, 'title': 'Chapter 35', 'url': 'https://www.wattpad.com/37087103-hadar-watty2014-chapter-35', 'rating': 3, 'draft': False, 'modifyDate': '2014-01-30T19:06:15Z', 'length': 16172, 'videoId': '', 'photoUrl': '', 'commentCount': 54, 'voteCount': 2389, 'readCount': 58312}, {'id': 37087370, 'title': 'Chapter 36', 'url': 'https://www.wattpad.com/37087370-hadar-watty2014-chapter-36', 'rating': 3, 'draft': False, 'modifyDate': '2014-01-30T19:08:34Z', 'length': 17344, 'videoId': '', 'photoUrl': '', 'commentCount': 176, 'voteCount': 2669, 'readCount': 66678}, {'id': 37087582, 'title': 'Epilogue', 'url': 'https://www.wattpad.com/37087582-hadar-watty2014-epilogue', 'rating': 3, 'draft': False, 'modifyDate': '2014-01-30T19:11:05Z', 'length': 2916, 'videoId': '', 'photoUrl': '', 'commentCount': 328, 'voteCount': 3444, 'readCount': 74864}]", 3, 2688905, "['alpha', 'curse', 'luna', 'magic', 'power', 'rejection', 'watty2014', 'wolves']", 'Hadar #Watty2014', 'https://www.wattpad.com/story/12050237-hadar-watty2014', 'https://a.wattpad.com/useravatar/RevyRogue.128.491090.jpg', 'Reviana', 'RevyRogue', 106844], [19, 20018, True, 0, 'https://a.wattpad.com/cover/16618124-256-k662662.jpg', '2014-09-25T23:31:02Z', '2014-05-20T12:25:26Z', False, nan, 50914516, '2014-05-21T07:07:47Z', 50914516, 16618124, 1, 'English', '2014-10-15T00:28:42Z', 76088428, 175785, False, '2015-06-15T00:20:39Z', 38, "[{'id': 50914516, 'title': 'Escorting the Brute', 'url': 'https://www.wattpad.com/50914516-escorting-the-brute', 'rating': 0, 'draft': False, 'modifyDate': '2015-06-15T07:20:36Z', 'length': 83, 'videoId': '', 'photoUrl': '', 'commentCount': 360, 'voteCount': 5299, 'readCount': 626963}, {'id': 51381941, 'title': 'Escorting the Brute {1}', 'url': 'https://www.wattpad.com/51381941-escorting-the-brute-1', 'rating': 3, 'draft': False, 'modifyDate': '2014-08-09T03:43:28Z', 'length': 3742, 'videoId': '', 'photoUrl': '', 'commentCount': 2520, 'voteCount': 7513, 'readCount': 417286}, {'id': 51548344, 'title': 'Escorting the Brute {2}', 'url': 'https://www.wattpad.com/51548344-escorting-the-brute-2', 'rating': 3, 'draft': False, 'modifyDate': '2014-05-26T14:54:33Z', 'length': 7747, 'videoId': '', 'photoUrl': '', 'commentCount': 745, 'voteCount': 7037, 'readCount': 334663}, {'id': 51834345, 'title': 'Escorting the Brute {3}', 'url': 'https://www.wattpad.com/51834345-escorting-the-brute-3', 'rating': 3, 'draft': False, 'modifyDate': '2014-05-26T16:53:40Z', 'length': 2814, 'videoId': '', 'photoUrl': '', 'commentCount': 399, 'voteCount': 6396, 'readCount': 277056},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7061, 'readCount': 277176}, {'id': 52358547, 'title': 'Escorting the Brute {5}', 'url': 'https://www.wattpad.com/52358547-escorting-the-brute-5', 'rating': 3, 'draft': False, 'modifyDate': '2014-06-05T19:24:15Z', 'length': 6855, 'videoId': '', 'photoUrl': '', 'commentCount': 325, 'voteCount': 6035, 'readCount': 282141}, {'id': 53367841, 'title': 'Escorting the Brute {6}', 'url': 'https://www.wattpad.com/53367841-escorting-the-brute-6', 'rating': 3, 'draft': False, 'modifyDate': '2014-06-05T20:52:02Z', 'length': 8740, 'videoId': '', 'photoUrl': '', 'commentCount': 627, 'voteCount': 6237, 'readCount': 297253}, {'id': 53475741, 'title': 'Escorting the Brute {7}', 'url': 'https://www.wattpad.com/53475741-escorting-the-brute-7', 'rating': 3, 'draft': False, 'modifyDate': '2014-07-16T16:45:09Z', 'length': 4551, 'videoId': '', 'photoUrl': '', 'commentCount': 979, 'voteCount': 5831, 'readCount': 261105}, {'id': 53810545, 'title': 'Escorting the Brute {8}', 'url': 'https://www.wattpad.com/53810545-escorting-the-brute-8', 'rating': 3, 'draft': False, 'modifyDate': '2014-07-16T16:46:30Z', 'length': 6852, 'videoId': '', 'photoUrl': '', 'commentCount': 940, 'voteCount': 5702, 'readCount': 251032}, {'id': 54122087, 'title': 'Escorting the Brute {9}', 'url': 'https://www.wattpad.com/54122087-escorting-the-brute-9', 'rating': 0, 'draft': False, 'modifyDate': '2014-06-18T15:07:57Z', 'length': 2953, 'videoId': '', 'photoUrl': '', 'commentCount': 419, 'voteCount': 5179, 'readCount': 234469}, {'id': 55925216, 'title': 'Escorting the Brute {10}', 'url': 'https://www.wattpad.com/55925216-escorting-the-brute-10', 'rating': 0, 'draft': False, 'modifyDate': '2014-07-01T09:29:46Z', 'length': 3068, 'videoId': '', 'photoUrl': '', 'commentCount': 625, 'voteCount': 5183, 'readCount': 239616}, {'id': 58636979, 'title': 'Escorting the Brute {11}', 'url': 'https://www.wattpad.com/58636979-escorting-the-brute-11', 'rating': 0, 'draft': False, 'modifyDate': '2014-07-08T18:30:17Z', 'length': 2267, 'videoId': '', 'photoUrl': '', 'commentCount': 381, 'voteCount': 4992, 'readCount': 229536}, {'id': 58661878, 'title': 'Escorting the Brute {12}', 'url': 'https://www.wattpad.com/58661878-escorting-the-brute-12', 'rating': 3, 'draft': False, 'modifyDate': '2014-07-08T22:01:46Z', 'length': 3402, 'videoId': '', 'photoUrl': '', 'commentCount': 286, 'voteCount': 5206, 'readCount': 224669}, {'id': 58685973, 'title': 'Escorting the Brute {13}', 'url': 'https://www.wattpad.com/58685973-escorting-the-brute-13', 'rating': 0, 'draft': False, 'modifyDate': '2014-07-09T00:30:29Z', 'length': 3798, 'videoId': '', 'photoUrl': '', 'commentCount': 460, 'voteCount': 4791, 'readCount': 213286}, {'id': 58816567, 'title': 'Escorting the Brute {14}', 'url': 'https://www.wattpad.com/58816567-escorting-the-brute-14', 'rating': 0, 'draft': False, 'modifyDate': '2014-07-09T19:51:05Z', 'length': 3179, 'videoId': '', 'photoUrl': '', 'commentCount': 422, 'voteCount': 4929, 'readCount': 215183}, {'id': 59044755, 'title': 'A/N', 'url': 'https://www.wattpad.com/59044755-escorting-the-brute-a-n', 'rating': 0, 'draft': False, 'modifyDate': '2014-07-11T00:41:11Z', 'length': 205, 'videoId': '', 'photoUrl': '', 'commentCount': 17, 'voteCount': 2073, 'readCount': 196453},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4986, 'readCount': 222527}, {'id': 60097444, 'title': 'Escorting the Brute {16}', 'url': 'https://www.wattpad.com/60097444-escorting-the-brute-16', 'rating': 3, 'draft': False, 'modifyDate': '2014-07-17T15:47:52Z', 'length': 7175, 'videoId': '', 'photoUrl': '', 'commentCount': 936, 'voteCount': 4872, 'readCount': 230957},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4605, 'readCount': 207017}, {'id': 61421086, 'title': 'Escorting the Brute {18}', 'url': 'https://www.wattpad.com/61421086-escorting-the-brute-18', 'rating': 3, 'draft': False, 'modifyDate': '2014-09-21T18:21:20Z', 'length': 5868, 'videoId': '', 'photoUrl': '', 'commentCount': 322, 'voteCount': 4503, 'readCount': 215159}, {'id': 62364872, 'title': 'Escorting the Brute {19}', 'url': 'https://www.wattpad.com/62364872-escorting-the-brute-19', 'rating': 3, 'draft': False, 'modifyDate': '2014-07-29T00:43:51Z', 'length': 8091, 'videoId': '', 'photoUrl': '', 'commentCount': 413, 'voteCount': 4613, 'readCount': 211334}, {'id': 62491661, 'title': 'Escorting the Brute {20}', 'url': 'https://www.wattpad.com/62491661-escorting-the-brute-20', 'rating': 0, 'draft': False, 'modifyDate': '2014-07-29T17:55:50Z', 'length': 4796, 'videoId': '', 'photoUrl': '', 'commentCount': 1247, 'voteCount': 4552, 'readCount': 197624}, {'id': 62750780, 'title': 'Escorting the Brute {21}', 'url': 'https://www.wattpad.com/62750780-escorting-the-brute-21', 'rating': 3, 'draft': False, 'modifyDate': '2014-07-31T00:37:11Z', 'length': 5014, 'videoId': '', 'photoUrl': '', 'commentCount': 751, 'voteCount': 4922, 'readCount': 187752}, {'id': 63905331, 'title': 'Escorting the Brute {22}', 'url': 'https://www.wattpad.com/63905331-escorting-the-brute-22', 'rating': 3, 'draft': False, 'modifyDate': '2014-08-07T14:58:14Z', 'length': 7236, 'videoId': '', 'photoUrl': '', 'commentCount': 237, 'voteCount': 4264, 'readCount': 185839}, {'id': 64181587, 'title': 'Escorting the Brute {22.5}', 'url': 'https://www.wattpad.com/64181587-escorting-the-brute-22-5', 'rating': 0, 'draft': False, 'modifyDate': '2014-08-08T00:48:17Z', 'length': 2820, 'videoId': '', 'photoUrl': '', 'commentCount': 461, 'voteCount': 3958, 'readCount': 176016}, {'id': 64372975, 'title': 'Escorting the Brute {23}', 'url': 'https://www.wattpad.com/64372975-escorting-the-brute-23', 'rating': 0, 'draft': False, 'modifyDate': '2014-08-08T15:23:19Z', 'length': 3568, 'videoId': '', 'photoUrl': '', 'commentCount': 431, 'voteCount': 4348, 'readCount': 176778}, {'id': 65558185, 'title': 'Escorting the Brute {24}', 'url': 'https://www.wattpad.com/65558185-escorting-the-brute-24', 'rating': 0, 'draft': False, 'modifyDate': '2014-08-14T21:24:06Z', 'length': 5266, 'videoId': '', 'photoUrl': '', 'commentCount': 354, 'voteCount': 4821, 'readCount': 178550}, {'id': 66125131, 'title': 'Escorting the Brute {25}', 'url': 'https://www.wattpad.com/66125131-escorting-the-brute-25', 'rating': 0, 'draft': False, 'modifyDate': '2014-10-13T13:45:31Z', 'length': 3385, 'videoId': '', 'photoUrl': '', 'commentCount': 181, 'voteCount': 4722, 'readCount': 177088}, {'id': 67641575, 'title': 'Escorting the Brute {26}', 'url': 'https://www.wattpad.com/67641575-escorting-the-brute-26', 'rating': 0, 'draft': False, 'modifyDate': '2014-08-26T00:13:05Z', 'length': 3290, 'videoId': '', 'photoUrl': '', 'commentCount': 460, 'voteCount': 4734, 'readCount': 173026}, {'id': 68090973, 'title': 'Escorting the Brute {27}', 'url': 'https://www.wattpad.com/68090973-escorting-the-brute-27', 'rating': 3, 'draft': False, 'modifyDate': '2014-08-28T17:25:54Z', 'length': 5939, 'videoId': '', 'photoUrl': '', 'commentCount': 151, 'voteCount': 4847, 'readCount': 180404}, {'id': 69639006, 'title': 'Escorting the Brute {28}', 'url': 'https://www.wattpad.com/69639006-escorting-the-brute-28', 'rating': 0, 'draft': False, 'modifyDate': '2014-09-06T15:54:45Z', 'length': 6025, 'videoId': '', 'photoUrl': '', 'commentCount': 379, 'voteCount': 5044, 'readCount': 182763},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4502, 'readCount': 169101}, {'id': 71524640, 'title': 'Escorting the Brute {29 pt.2}', 'url': 'https://www.wattpad.com/71524640-escorting-the-brute-29-pt-2', 'rating': 0, 'draft': False, 'modifyDate': '2014-09-18T00:50:45Z', 'length': 2569, 'videoId': '', 'photoUrl': '', 'commentCount': 250, 'voteCount': 4908, 'readCount': 151110}, {'id': 72789977, 'title': 'Escorting the Brute {30}', 'url': 'https://www.wattpad.com/72789977-escorting-the-brute-30', 'rating': 3, 'draft': False, 'modifyDate': '2014-09-26T01:19:32Z', 'length': 3676, 'videoId': '', 'photoUrl': '', 'commentCount': 179, 'voteCount': 4445, 'readCount': 152152}, {'id': 73079933, 'title': 'Escorting the Brute {31}', 'url': 'https://www.wattpad.com/73079933-escorting-the-brute-31', 'rating': 3, 'draft': False, 'modifyDate': '2014-09-27T18:26:41Z', 'length': 9455, 'videoId': '', 'photoUrl': '', 'commentCount': 396, 'voteCount': 4777, 'readCount': 167699}, {'id': 76049600, 'title': 'Escorting the Brute {32}', 'url': 'https://www.wattpad.com/76049600-escorting-the-brute-32', 'rating': 0, 'draft': False, 'modifyDate': '2014-10-14T21:55:34Z', 'length': 8510, 'videoId': 'a-j86tzxi8s', 'photoUrl': 'https://d.wattpad.com/story_parts/76049600/images/139d1e6aa35f7c1a.jpg', 'commentCount': 434, 'voteCount': 3907, 'readCount': 152096},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114815}, {'id': 76088428, 'title': 'Epilogue', 'url': 'https://www.wattpad.com/76088428-escorting-the-brute-epilogue', 'rating': 0, 'draft': False, 'modifyDate': '2014-12-22T17:31:05Z', 'length': 5162, 'videoId': '', 'photoUrl': 'https://d.wattpad.com/story_parts/76088428/images/139d2ad2def20c23.jpg', 'commentCount': 699, 'voteCount': 5494, 'readCount': 166651}]", 3, 8554166, '[]', 'Escorting the Brute', 'https://www.wattpad.com/story/16618124-escorting-the-brute', 'https://a.wattpad.com/useravatar/iwillluv1d4ever.128.809982.jpg', 'Q.', 'iwillluv1d4ever', 189277], [19, 9738, True, 0, 'https://a.wattpad.com/cover/42937930-256-k992146.jpg', '2015-06-22T23:55:46Z', '2015-06-22T23:55:09Z', False, 'yessss!!!!', 141082265, '2015-06-23T02:59:55Z', 141082305, 42937930, 1, 'English', '2015-06-23T09:59:41Z', 141082265, 2204, False, '2015-08-16T08:07:12Z', 16, "[{'id': 141082265, 'title': 'lol!', 'url': 'https://www.wattpad.com/141082265-%E2%9D%87awsome-comebacks%E2%9D%87-lol', 'rating': 0, 'draft': False, 'modifyDate': '2015-06-23T09:59:42Z', 'length': 119, 'videoId': '', 'photoUrl': '', 'commentCount': 911, 'voteCount': 2138, 'readCount': 132425}, {'id': 141082305, 'title': 'oh no!', 'url': 'https://www.wattpad.com/141082305-%E2%9D%87awsome-comebacks%E2%9D%87-oh-no', 'rating': 0, 'draft': False, 'modifyDate': '2015-06-23T02:59:55Z', 'length': 249, 'videoId': '', 'photoUrl': '', 'commentCount': 490, 'voteCount': 1989, 'readCount': 119621}, {'id': 141082311, 'title': 'funny!', 'url': 'https://www.wattpad.com/141082311-%E2%9D%87awsome-comebacks%E2%9D%87-funny', 'rating': 0, 'draft': False, 'modifyDate': '2015-06-23T03:00:13Z', 'length': 152, 'videoId': '', 'photoUrl': '', 'commentCount': 826, 'voteCount': 3001, 'readCount': 108727}, {'id': 141082314, 'title': 'umm....', 'url': 'https://www.wattpad.com/141082314-%E2%9D%87awsome-comebacks%E2%9D%87-umm', 'rating': 0, 'draft': False, 'modifyDate': '2015-06-23T03:00:32Z', 'length': 97, 'videoId': '', 'photoUrl': '', 'commentCount': 775, 'voteCount': 5219, 'readCount': 100937}, {'id': 141082316, 'title': 'teachers!', 'url': 'https://www.wattpad.com/141082316-%E2%9D%87awsome-comebacks%E2%9D%87-teachers', 'rating': 0, 'draft': False, 'modifyDate': '2015-06-23T03:00:50Z', 'length': 103, 'videoId': '', 'photoUrl': '', 'commentCount': 788, 'voteCount': 3191, 'readCount': 95851}, {'id': 141082326, 'title': 'okay', 'url': 'https://www.wattpad.com/141082326-%E2%9D%87awsome-comebacks%E2%9D%87-okay', 'rating': 0, 'draft': False, 'modifyDate': '2015-06-23T03:01:19Z', 'length': 150, 'videoId': '', 'photoUrl': '', 'commentCount': 471, 'voteCount': 2304, 'readCount': 90374}, {'id': 141082338, 'title': 'not really a comeback', 'url': 'https://www.wattpad.com/141082338-%E2%9D%87awsome-comebacks%E2%9D%87-not-really-a-comeback', 'rating': 0, 'draft': False, 'modifyDate': '2015-06-23T03:02:18Z', 'length': 59, 'videoId': '', 'photoUrl': '', 'commentCount': 395, 'voteCount': 2343, 'readCount': 85065}, {'id': 141082343, 'title': 'to the person you hate', 'url': 'https://www.wattpad.com/141082343-%E2%9D%87awsome-comebacks%E2%9D%87-to-the-person-you-hate', 'rating': 0, 'draft': False, 'modifyDate': '2015-06-23T03:03:03Z', 'length': 123, 'videoId': '', 'photoUrl': '', 'commentCount': 579, 'voteCount': 2501, 'readCount': 81665}, {'id': 141082356, 'title': 'haha', 'url': 'https://www.wattpad.com/141082356-%E2%9D%87awsome-comebacks%E2%9D%87-haha', 'rating': 0, 'draft': False, 'modifyDate': '2015-06-23T03:03:10Z', 'length': 262, 'videoId': '', 'photoUrl': '', 'commentCount': 588, 'voteCount': 1785, 'readCount': 79731}, {'id': 141082361, 'title': 'not really a comeback #2', 'url': 'https://www.wattpad.com/141082361-%E2%9D%87awsome-comebacks%E2%9D%87-not-really-a-comeback-2', 'rating': 0, 'draft': False, 'modifyDate': '2015-06-23T03:03:26Z', 'length': 87, 'videoId': '', 'photoUrl': '', 'commentCount': 483, 'voteCount': 1933, 'readCount': 73704}, {'id': 141082369, 'title': 'why do we need school', 'url': 'https://www.wattpad.com/141082369-%E2%9D%87awsome-comebacks%E2%9D%87-why-do-we-need-school', 'rating': 0, 'draft': False, 'modifyDate': '2015-06-23T03:03:37Z', 'length': 191, 'videoId': '', 'photoUrl': '', 'commentCount': 1530, 'voteCount': 2640, 'readCount': 72913}, {'id': 141082375, 'title': 'poopfaces', 'url': 'https://www.wattpad.com/141082375-%E2%9D%87awsome-comebacks%E2%9D%87-poopfaces', 'rating': 0, 'draft': False, 'modifyDate': '2015-06-23T03:05:48Z', 'length': 94, 'videoId': '', 'photoUrl': '', 'commentCount': 169, 'voteCount': 1895, 'readCount': 68418}, {'id': 141082382, 'title': 'mmhhmm!', 'url': 'https://www.wattpad.com/141082382-%E2%9D%87awsome-comebacks%E2%9D%87-mmhhmm', 'rating': 0, 'draft': False, 'modifyDate': '2015-06-23T03:05:55Z', 'length': 159, 'videoId': '', 'photoUrl': '', 'commentCount': 534, 'voteCount': 2089, 'readCount': 61946}, {'id': 141082390, 'title': 'gotta tell ya', 'url': 'https://www.wattpad.com/141082390-%E2%9D%87awsome-comebacks%E2%9D%87-gotta-tell-ya', 'rating': 0, 'draft': False, 'modifyDate': '2015-06-23T03:06:01Z', 'length': 104, 'videoId': '', 'photoUrl': '', 'commentCount': 465, 'voteCount': 1000, 'readCount': 57297}, {'id': 141082397, 'title': 'okay okay im back!', 'url': 'https://www.wattpad.com/141082397-%E2%9D%87awsome-comebacks%E2%9D%87-okay-okay-im-back', 'rating': 0, 'draft': False, 'modifyDate': '2015-06-23T03:06:12Z', 'length': 165, 'videoId': '', 'photoUrl': '', 'commentCount': 528, 'voteCount': 2300, 'readCount': 55468}, {'id': 141082405, 'title': 'im done', 'url': 'https://www.wattpad.com/141082405-%E2%9D%87awsome-comebacks%E2%9D%87-im-done', 'rating': 0, 'draft': False, 'modifyDate': '2015-06-23T03:06:30Z', 'length': 90, 'videoId': '', 'photoUrl': '', 'commentCount': 206, 'voteCount': 930, 'readCount': 60133}]", 0, 1344254, "['dumb', 'funny', 'listen', 'nothing', 'okay']", '❇awsome comebacks❇', 'https://www.wattpad.com/story/42937930-%E2%9D%87awsome-comebacks%E2%9D%87', 'https://a.wattpad.com/useravatar/kittygirl_121604.128.186602.jpg', nan, 'kittygirl_121604', 37258]]</t>
  </si>
  <si>
    <t>L3_81</t>
  </si>
  <si>
    <t>Target3_81</t>
  </si>
  <si>
    <t>L3_82</t>
  </si>
  <si>
    <t>Target3_82</t>
  </si>
  <si>
    <t>[[19, 5221,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'2014-01-29T18:38:34Z', 36978107, 12050237, 1, 'English', '2014-01-31T02:16:12Z', 37052197, 407525, False, '2015-01-27T10:47:41Z', 37, "[{'id': 36978107, 'title': 'Prologue', 'url': 'https://www.wattpad.com/36978107-hadar-watty2014-prologue', 'rating': 3, 'draft': False, 'modifyDate': '2014-11-12T17:39:15Z', 'length': 1628, 'videoId': '', 'photoUrl': '', 'commentCount': 81, 'voteCount': 3412, 'readCount': 137863}, {'id': 36978235, 'title': 'Chapter 1', 'url': 'https://www.wattpad.com/36978235-hadar-watty2014-chapter-1', 'rating': 3, 'draft': False, 'modifyDate': '2014-02-26T00:45:00Z', 'length': 10050, 'videoId': '', 'photoUrl': '', 'commentCount': 235, 'voteCount': 3361, 'readCount': 107315}, {'id': 36978821, 'title': 'Chapter 2', 'url': 'https://www.wattpad.com/36978821-hadar-watty2014-chapter-2', 'rating': 3, 'draft': False, 'modifyDate': '2014-01-29T18:42:18Z', 'length': 10093, 'videoId': '', 'photoUrl': '', 'commentCount': 110, 'voteCount': 3423, 'readCount': 81789}, {'id': 36979152, 'title': 'Chapter 3', 'url': 'https://www.wattpad.com/36979152-hadar-watty2014-chapter-3', 'rating': 3, 'draft': False, 'modifyDate': '2014-01-29T18:50:53Z', 'length': 6597, 'videoId': '', 'photoUrl': '', 'commentCount': 234, 'voteCount': 3508, 'readCount': 75441}, {'id': 36979368, 'title': 'Chapter 4', 'url': 'https://www.wattpad.com/36979368-hadar-watty2014-chapter-4', 'rating': 3, 'draft': False, 'modifyDate': '2014-01-29T18:54:47Z', 'length': 7543, 'videoId': '', 'photoUrl': '', 'commentCount': 293, 'voteCount': 3237, 'readCount': 75625}, {'id': 36979566, 'title': 'Chapter 5', 'url': 'https://www.wattpad.com/36979566-hadar-watty2014-chapter-5', 'rating': 3, 'draft': False, 'modifyDate': '2014-01-30T02:55:13Z', 'length': 6834, 'videoId': '', 'photoUrl': '', 'commentCount': 131, 'voteCount': 3293, 'readCount': 73711}, {'id': 36979779, 'title': 'Chapter 6', 'url': 'https://www.wattpad.com/36979779-hadar-watty2014-chapter-6', 'rating': 3, 'draft': False, 'modifyDate': '2014-01-29T18:55:37Z', 'length': 10459, 'videoId': '', 'photoUrl': '', 'commentCount': 211, 'voteCount': 3207, 'readCount': 80630}, {'id': 36980251, 'title': 'Chapter 7', 'url': 'https://www.wattpad.com/36980251-hadar-watty2014-chapter-7', 'rating': 3, 'draft': False, 'modifyDate': '2014-01-29T18:57:11Z', 'length': 11867, 'videoId': '', 'photoUrl': '', 'commentCount': 236, 'voteCount': 3450, 'readCount': 82043}, {'id': 36980479, 'title': 'Chapter 8', 'url': 'https://www.wattpad.com/36980479-hadar-watty2014-chapter-8', 'rating': 3, 'draft': False, 'modifyDate': '2014-01-29T20:29:11Z', 'length': 6869, 'videoId': '', 'photoUrl': '', 'commentCount': 122, 'voteCount': 3103, 'readCount': 77686}, {'id': 36980663, 'title': 'Chapter 9', 'url': 'https://www.wattpad.com/36980663-hadar-watty2014-chapter-9', 'rating': 3, 'draft': False, 'modifyDate': '2014-01-29T20:57:33Z', 'length': 10071, 'videoId': '', 'photoUrl': '', 'commentCount': 108, 'voteCount': 2962, 'readCount': 73276}, {'id': 36980927, 'title': 'Chapter 10', 'url': 'https://www.wattpad.com/36980927-hadar-watty2014-chapter-10', 'rating': 3, 'draft': False, 'modifyDate': '2014-01-29T21:30:01Z', 'length': 12195, 'videoId': '', 'photoUrl': '', 'commentCount': 96, 'voteCount': 3225, 'readCount': 74703}, {'id': 36981341, 'title': 'Chapter 11', 'url': 'https://www.wattpad.com/36981341-hadar-watty2014-chapter-11', 'rating': 3, 'draft': False, 'modifyDate': '2014-02-26T01:30:30Z', 'length': 11252, 'videoId': '', 'photoUrl': '', 'commentCount': 396, 'voteCount': 3143, 'readCount': 74884}, {'id': 36982017, 'title': 'Chapter 12', 'url': 'https://www.wattpad.com/36982017-hadar-watty2014-chapter-12', 'rating': 3, 'draft': False, 'modifyDate': '2014-01-29T22:59:44Z', 'length': 10929, 'videoId': '', 'photoUrl': '', 'commentCount': 244, 'voteCount': 3025, 'readCount': 79395}, {'id': 36982320, 'title': 'Chapter 13', 'url': 'https://www.wattpad.com/36982320-hadar-watty2014-chapter-13', 'rating': 3, 'draft': False, 'modifyDate': '2014-01-29T22:59:58Z', 'length': 6860, 'videoId': '', 'photoUrl': '', 'commentCount': 125, 'voteCount': 2871, 'readCount': 67764}, {'id': 36982837, 'title': 'Chapter 14', 'url': 'https://www.wattpad.com/36982837-hadar-watty2014-chapter-14', 'rating': 3, 'draft': False, 'modifyDate': '2014-01-29T23:00:10Z', 'length': 10349, 'videoId': '', 'photoUrl': '', 'commentCount': 160, 'voteCount': 2882, 'readCount': 72754}, {'id': 36983243, 'title': 'Chapter 15', 'url': 'https://www.wattpad.com/36983243-hadar-watty2014-chapter-15', 'rating': 3, 'draft': False, 'modifyDate': '2014-01-30T00:56:50Z', 'length': 9840, 'videoId': '', 'photoUrl': '', 'commentCount': 100, 'voteCount': 2842, 'readCount': 69471}, {'id': 36983590, 'title': 'Chapter 16', 'url': 'https://www.wattpad.com/36983590-hadar-watty2014-chapter-16', 'rating': 3, 'draft': False, 'modifyDate': '2014-01-30T01:44:54Z', 'length': 10481, 'videoId': '', 'photoUrl': '', 'commentCount': 92, 'voteCount': 2925, 'readCount': 70928}, {'id': 36984077, 'title': 'Chapter 17', 'url': 'https://www.wattpad.com/36984077-hadar-watty2014-chapter-17', 'rating': 3, 'draft': False, 'modifyDate': '2014-01-30T12:16:30Z', 'length': 11398, 'videoId': '', 'photoUrl': '', 'commentCount': 218, 'voteCount': 2779, 'readCount': 69707}, {'id': 36984452, 'title': 'Chapter 18', 'url': 'https://www.wattpad.com/36984452-hadar-watty2014-chapter-18', 'rating': 3, 'draft': False, 'modifyDate': '2014-01-30T06:58:11Z', 'length': 8700, 'videoId': '', 'photoUrl': '', 'commentCount': 93, 'voteCount': 3063, 'readCount': 65116}, {'id': 36984718, 'title': 'Chapter 19', 'url': 'https://www.wattpad.com/36984718-hadar-watty2014-chapter-19', 'rating': 3, 'draft': False, 'modifyDate': '2015-01-27T10:47:41Z', 'length': 11082, 'videoId': '', 'photoUrl': '', 'commentCount': 124, 'voteCount': 2948, 'readCount': 65721}, {'id': 36984883, 'title': 'Chapter 20', 'url': 'https://www.wattpad.com/36984883-hadar-watty2014-chapter-20', 'rating': 3, 'draft': False, 'modifyDate': '2014-01-30T07:59:59Z', 'length': 10433, 'videoId': '', 'photoUrl': '', 'commentCount': 71, 'voteCount': 2893, 'readCount': 70662}, {'id': 37051288, 'title': 'Chapter 21', 'url': 'https://www.wattpad.com/37051288-hadar-watty2014-chapter-21', 'rating': 3, 'draft': False, 'modifyDate': '2014-01-30T08:11:35Z', 'length': 11957, 'videoId': '', 'photoUrl': '', 'commentCount': 83, 'voteCount': 2666, 'readCount': 68720}, {'id': 37051425, 'title': 'Chapter 22', 'url': 'https://www.wattpad.com/37051425-hadar-watty2014-chapter-22', 'rating': 3, 'draft': False, 'modifyDate': '2014-01-30T08:16:16Z', 'length': 11898, 'videoId': '', 'photoUrl': '', 'commentCount': 139, 'voteCount': 2532, 'readCount': 67470}, {'id': 37051708, 'title': 'Chapter 23', 'url': 'https://www.wattpad.com/37051708-hadar-watty2014-chapter-23', 'rating': 3, 'draft': False, 'modifyDate': '2014-01-30T16:58:00Z', 'length': 11772, 'videoId': '', 'photoUrl': '', 'commentCount': 73, 'voteCount': 2665, 'readCount': 67903}, {'id': 37051912, 'title': 'Chapter 24', 'url': 'https://www.wattpad.com/37051912-hadar-watty2014-chapter-24', 'rating': 3, 'draft': False, 'modifyDate': '2014-01-30T18:15:57Z', 'length': 13288, 'videoId': '', 'photoUrl': '', 'commentCount': 104, 'voteCount': 2612, 'readCount': 69881}, {'id': 37052197, 'title': 'Chapter 25', 'url': 'https://www.wattpad.com/37052197-hadar-watty2014-chapter-25', 'rating': 3, 'draft': False, 'modifyDate': '2014-01-31T02:16:11Z', 'length': 13075, 'videoId': '', 'photoUrl': '', 'commentCount': 43, 'voteCount': 2666, 'readCount': 63754}, {'id': 37052370, 'title': 'Chapter 26', 'url': 'https://www.wattpad.com/37052370-hadar-watty2014-chapter-26', 'rating': 3, 'draft': False, 'modifyDate': '2014-01-30T18:16:24Z', 'length': 14844, 'videoId': '', 'photoUrl': '', 'commentCount': 167, 'voteCount': 2874, 'readCount': 68743}, {'id': 37086017, 'title': 'Chapter 27', 'url': 'https://www.wattpad.com/37086017-hadar-watty2014-chapter-27', 'rating': 3, 'draft': False, 'modifyDate': '2014-01-30T18:49:43Z', 'length': 12832, 'videoId': '', 'photoUrl': '', 'commentCount': 46, 'voteCount': 2474, 'readCount': 64933}, {'id': 37086150, 'title': 'Chapter 28', 'url': 'https://www.wattpad.com/37086150-hadar-watty2014-chapter-28', 'rating': 3, 'draft': False, 'modifyDate': '2014-01-30T18:50:54Z', 'length': 11266, 'videoId': '', 'photoUrl': '', 'commentCount': 26, 'voteCount': 2500, 'readCount': 73130}, {'id': 37086308, 'title': 'Chapter 29', 'url': 'https://www.wattpad.com/37086308-hadar-watty2014-chapter-29', 'rating': 3, 'draft': False, 'modifyDate': '2014-01-30T18:53:38Z', 'length': 13549, 'videoId': '', 'photoUrl': '', 'commentCount': 37, 'voteCount': 2525, 'readCount': 66678}, {'id': 37086422, 'title': 'Chapter 30', 'url': 'https://www.wattpad.com/37086422-hadar-watty2014-chapter-30', 'rating': 3, 'draft': False, 'modifyDate': '2014-01-30T18:55:39Z', 'length': 14554, 'videoId': '', 'photoUrl': '', 'commentCount': 38, 'voteCount': 2514, 'readCount': 66721}, {'id': 37086533, 'title': 'Chapter 31', 'url': 'https://www.wattpad.com/37086533-hadar-watty2014-chapter-31', 'rating': 3, 'draft': False, 'modifyDate': '2014-01-30T18:59:23Z', 'length': 11978, 'videoId': '', 'photoUrl': '', 'commentCount': 137, 'voteCount': 2526, 'readCount': 60337}, {'id': 37086835, 'title': 'Chapter 32', 'url': 'https://www.wattpad.com/37086835-hadar-watty2014-chapter-32', 'rating': 3, 'draft': False, 'modifyDate': '2014-01-30T19:01:11Z', 'length': 18060, 'videoId': '', 'photoUrl': '', 'commentCount': 241, 'voteCount': 2386, 'readCount': 60910}, {'id': 37086934, 'title': 'Chapter 33', 'url': 'https://www.wattpad.com/37086934-hadar-watty2014-chapter-33', 'rating': 3, 'draft': False, 'modifyDate': '2014-01-30T19:04:19Z', 'length': 16490, 'videoId': '', 'photoUrl': '', 'commentCount': 48, 'voteCount': 2336, 'readCount': 55422}, {'id': 37087103, 'title': 'Chapter 35', 'url': 'https://www.wattpad.com/37087103-hadar-watty2014-chapter-35', 'rating': 3, 'draft': False, 'modifyDate': '2014-01-30T19:06:15Z', 'length': 16172, 'videoId': '', 'photoUrl': '', 'commentCount': 54, 'voteCount': 2403, 'readCount': 58541}, {'id': 37087370, 'title': 'Chapter 36', 'url': 'https://www.wattpad.com/37087370-hadar-watty2014-chapter-36', 'rating': 3, 'draft': False, 'modifyDate': '2014-01-30T19:08:34Z', 'length': 17344, 'videoId': '', 'photoUrl': '', 'commentCount': 176, 'voteCount': 2684, 'readCount': 66964}, {'id': 37087582, 'title': 'Epilogue', 'url': 'https://www.wattpad.com/37087582-hadar-watty2014-epilogue', 'rating': 3, 'draft': False, 'modifyDate': '2014-01-30T19:11:05Z', 'length': 2916, 'videoId': '', 'photoUrl': '', 'commentCount': 329, 'voteCount': 3460, 'readCount': 75200}]", 3, 2701720, "['alpha', 'curse', 'luna', 'magic', 'power', 'rejection', 'watty2014', 'wolves']", 'Hadar #Watty2014', 'https://www.wattpad.com/story/12050237-hadar-watty2014', 'https://a.wattpad.com/useravatar/RevyRogue.128.491090.jpg', 'Reviana', 'RevyRogue', 107375], [19, 20045, True, 0, 'https://a.wattpad.com/cover/16618124-256-k662662.jpg', '2014-09-25T23:31:02Z', '2014-05-20T12:25:26Z', False, nan, 50914516, '2014-05-21T00:07:47Z', 50914516, 16618124, 1, 'English', '2014-10-15T00:28:42Z', 76088428, 175785, False, '2015-06-15T00:20:39Z', 38, "[{'id': 50914516, 'title': 'Escorting the Brute', 'url': 'https://www.wattpad.com/50914516-escorting-the-brute', 'rating': 0, 'draft': False, 'modifyDate': '2015-06-15T00:20:36Z', 'length': 83, 'videoId': '', 'photoUrl': '', 'commentCount': 362, 'voteCount': 5305, 'readCount': 627700}, {'id': 51381941, 'title': 'Escorting the Brute {1}', 'url': 'https://www.wattpad.com/51381941-escorting-the-brute-1', 'rating': 3, 'draft': False, 'modifyDate': '2014-08-09T03:43:28Z', 'length': 3742, 'videoId': '', 'photoUrl': '', 'commentCount': 2521, 'voteCount': 7525, 'readCount': 418084}, {'id': 51548344, 'title': 'Escorting the Brute {2}', 'url': 'https://www.wattpad.com/51548344-escorting-the-brute-2', 'rating': 3, 'draft': False, 'modifyDate': '2014-05-26T14:54:33Z', 'length': 7747, 'videoId': '', 'photoUrl': '', 'commentCount': 748, 'voteCount': 7050, 'readCount': 335166}, {'id': 51834345, 'title': 'Escorting the Brute {3}', 'url': 'https://www.wattpad.com/51834345-escorting-the-brute-3', 'rating': 3, 'draft': False, 'modifyDate': '2014-05-26T16:53:40Z', 'length': 2814, 'videoId': '', 'photoUrl': '', 'commentCount': 400, 'voteCount': 6403, 'readCount': 277453},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7073, 'readCount': 277528}, {'id': 52358547, 'title': 'Escorting the Brute {5}', 'url': 'https://www.wattpad.com/52358547-escorting-the-brute-5', 'rating': 3, 'draft': False, 'modifyDate': '2014-06-05T19:24:15Z', 'length': 6855, 'videoId': '', 'photoUrl': '', 'commentCount': 325, 'voteCount': 6044, 'readCount': 282513}, {'id': 53367841, 'title': 'Escorting the Brute {6}', 'url': 'https://www.wattpad.com/53367841-escorting-the-brute-6', 'rating': 3, 'draft': False, 'modifyDate': '2014-06-05T20:52:02Z', 'length': 8740, 'videoId': '', 'photoUrl': '', 'commentCount': 628, 'voteCount': 6248, 'readCount': 297607}, {'id': 53475741, 'title': 'Escorting the Brute {7}', 'url': 'https://www.wattpad.com/53475741-escorting-the-brute-7', 'rating': 3, 'draft': False, 'modifyDate': '2014-07-16T16:45:09Z', 'length': 4551, 'videoId': '', 'photoUrl': '', 'commentCount': 981, 'voteCount': 5843, 'readCount': 261414}, {'id': 53810545, 'title': 'Escorting the Brute {8}', 'url': 'https://www.wattpad.com/53810545-escorting-the-brute-8', 'rating': 3, 'draft': False, 'modifyDate': '2014-07-16T16:46:30Z', 'length': 6852, 'videoId': '', 'photoUrl': '', 'commentCount': 941, 'voteCount': 5713, 'readCount': 251322}, {'id': 54122087, 'title': 'Escorting the Brute {9}', 'url': 'https://www.wattpad.com/54122087-escorting-the-brute-9', 'rating': 0, 'draft': False, 'modifyDate': '2014-06-18T15:07:57Z', 'length': 2953, 'videoId': '', 'photoUrl': '', 'commentCount': 421, 'voteCount': 5190, 'readCount': 234767}, {'id': 55925216, 'title': 'Escorting the Brute {10}', 'url': 'https://www.wattpad.com/55925216-escorting-the-brute-10', 'rating': 0, 'draft': False, 'modifyDate': '2014-07-01T09:29:46Z', 'length': 3068, 'videoId': '', 'photoUrl': '', 'commentCount': 625, 'voteCount': 5195, 'readCount': 239893}, {'id': 58636979, 'title': 'Escorting the Brute {11}', 'url': 'https://www.wattpad.com/58636979-escorting-the-brute-11', 'rating': 0, 'draft': False, 'modifyDate': '2014-07-08T18:30:17Z', 'length': 2267, 'videoId': '', 'photoUrl': '', 'commentCount': 382, 'voteCount': 5001, 'readCount': 229787}, {'id': 58661878, 'title': 'Escorting the Brute {12}', 'url': 'https://www.wattpad.com/58661878-escorting-the-brute-12', 'rating': 3, 'draft': False, 'modifyDate': '2014-07-08T22:01:46Z', 'length': 3402, 'videoId': '', 'photoUrl': '', 'commentCount': 286, 'voteCount': 5218, 'readCount': 224929}, {'id': 58685973, 'title': 'Escorting the Brute {13}', 'url': 'https://www.wattpad.com/58685973-escorting-the-brute-13', 'rating': 0, 'draft': False, 'modifyDate': '2014-07-09T00:30:29Z', 'length': 3798, 'videoId': '', 'photoUrl': '', 'commentCount': 460, 'voteCount': 4799, 'readCount': 213514}, {'id': 58816567, 'title': 'Escorting the Brute {14}', 'url': 'https://www.wattpad.com/58816567-escorting-the-brute-14', 'rating': 0, 'draft': False, 'modifyDate': '2014-07-09T19:51:05Z', 'length': 3179, 'videoId': '', 'photoUrl': '', 'commentCount': 422, 'voteCount': 4939, 'readCount': 215421}, {'id': 59044755, 'title': 'A/N', 'url': 'https://www.wattpad.com/59044755-escorting-the-brute-a-n', 'rating': 0, 'draft': False, 'modifyDate': '2014-07-11T00:41:11Z', 'length': 205, 'videoId': '', 'photoUrl': '', 'commentCount': 17, 'voteCount': 2074, 'readCount': 196675},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4997, 'readCount': 222774}, {'id': 60097444, 'title': 'Escorting the Brute {16}', 'url': 'https://www.wattpad.com/60097444-escorting-the-brute-16', 'rating': 3, 'draft': False, 'modifyDate': '2014-07-17T15:47:52Z', 'length': 7175, 'videoId': '', 'photoUrl': '', 'commentCount': 937, 'voteCount': 4880, 'readCount': 231237},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4613, 'readCount': 207230}, {'id': 61421086, 'title': 'Escorting the Brute {18}', 'url': 'https://www.wattpad.com/61421086-escorting-the-brute-18', 'rating': 3, 'draft': False, 'modifyDate': '2014-09-21T18:21:20Z', 'length': 5868, 'videoId': '', 'photoUrl': '', 'commentCount': 328, 'voteCount': 4510, 'readCount': 215392}, {'id': 62364872, 'title': 'Escorting the Brute {19}', 'url': 'https://www.wattpad.com/62364872-escorting-the-brute-19', 'rating': 3, 'draft': False, 'modifyDate': '2014-07-29T00:43:51Z', 'length': 8091, 'videoId': '', 'photoUrl': '', 'commentCount': 415, 'voteCount': 4619, 'readCount': 211577}, {'id': 62491661, 'title': 'Escorting the Brute {20}', 'url': 'https://www.wattpad.com/62491661-escorting-the-brute-20', 'rating': 0, 'draft': False, 'modifyDate': '2014-07-29T17:55:50Z', 'length': 4796, 'videoId': '', 'photoUrl': '', 'commentCount': 1248, 'voteCount': 4559, 'readCount': 197850}, {'id': 62750780, 'title': 'Escorting the Brute {21}', 'url': 'https://www.wattpad.com/62750780-escorting-the-brute-21', 'rating': 3, 'draft': False, 'modifyDate': '2014-07-31T00:37:11Z', 'length': 5014, 'videoId': '', 'photoUrl': '', 'commentCount': 754, 'voteCount': 4927, 'readCount': 187939}, {'id': 63905331, 'title': 'Escorting the Brute {22}', 'url': 'https://www.wattpad.com/63905331-escorting-the-brute-22', 'rating': 3, 'draft': False, 'modifyDate': '2014-08-07T14:58:14Z', 'length': 7236, 'videoId': '', 'photoUrl': '', 'commentCount': 237, 'voteCount': 4270, 'readCount': 186030}, {'id': 64181587, 'title': 'Escorting the Brute {22.5}', 'url': 'https://www.wattpad.com/64181587-escorting-the-brute-22-5', 'rating': 0, 'draft': False, 'modifyDate': '2014-08-08T00:48:17Z', 'length': 2820, 'videoId': '', 'photoUrl': '', 'commentCount': 461, 'voteCount': 3963, 'readCount': 176191}, {'id': 64372975, 'title': 'Escorting the Brute {23}', 'url': 'https://www.wattpad.com/64372975-escorting-the-brute-23', 'rating': 0, 'draft': False, 'modifyDate': '2014-08-08T15:23:19Z', 'length': 3568, 'videoId': '', 'photoUrl': '', 'commentCount': 431, 'voteCount': 4353, 'readCount': 176959}, {'id': 65558185, 'title': 'Escorting the Brute {24}', 'url': 'https://www.wattpad.com/65558185-escorting-the-brute-24', 'rating': 0, 'draft': False, 'modifyDate': '2014-08-14T21:24:06Z', 'length': 5266, 'videoId': '', 'photoUrl': '', 'commentCount': 354, 'voteCount': 4828, 'readCount': 178722}, {'id': 66125131, 'title': 'Escorting the Brute {25}', 'url': 'https://www.wattpad.com/66125131-escorting-the-brute-25', 'rating': 0, 'draft': False, 'modifyDate': '2014-10-13T13:45:31Z', 'length': 3385, 'videoId': '', 'photoUrl': '', 'commentCount': 181, 'voteCount': 4729, 'readCount': 177261}, {'id': 67641575, 'title': 'Escorting the Brute {26}', 'url': 'https://www.wattpad.com/67641575-escorting-the-brute-26', 'rating': 0, 'draft': False, 'modifyDate': '2014-08-26T00:13:05Z', 'length': 3290, 'videoId': '', 'photoUrl': '', 'commentCount': 460, 'voteCount': 4742, 'readCount': 173199}, {'id': 68090973, 'title': 'Escorting the Brute {27}', 'url': 'https://www.wattpad.com/68090973-escorting-the-brute-27', 'rating': 3, 'draft': False, 'modifyDate': '2014-08-28T17:25:54Z', 'length': 5939, 'videoId': '', 'photoUrl': '', 'commentCount': 151, 'voteCount': 4853, 'readCount': 180612}, {'id': 69639006, 'title': 'Escorting the Brute {28}', 'url': 'https://www.wattpad.com/69639006-escorting-the-brute-28', 'rating': 0, 'draft': False, 'modifyDate': '2014-09-06T15:54:45Z', 'length': 6025, 'videoId': '', 'photoUrl': '', 'commentCount': 379, 'voteCount': 5051, 'readCount': 182967},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4507, 'readCount': 169292}, {'id': 71524640, 'title': 'Escorting the Brute {29 pt.2}', 'url': 'https://www.wattpad.com/71524640-escorting-the-brute-29-pt-2', 'rating': 0, 'draft': False, 'modifyDate': '2014-09-18T00:50:45Z', 'length': 2569, 'videoId': '', 'photoUrl': '', 'commentCount': 250, 'voteCount': 4914, 'readCount': 151280}, {'id': 72789977, 'title': 'Escorting the Brute {30}', 'url': 'https://www.wattpad.com/72789977-escorting-the-brute-30', 'rating': 3, 'draft': False, 'modifyDate': '2014-09-26T01:19:32Z', 'length': 3676, 'videoId': '', 'photoUrl': '', 'commentCount': 179, 'voteCount': 4450, 'readCount': 152349}, {'id': 73079933, 'title': 'Escorting the Brute {31}', 'url': 'https://www.wattpad.com/73079933-escorting-the-brute-31', 'rating': 3, 'draft': False, 'modifyDate': '2014-09-27T18:26:41Z', 'length': 9455, 'videoId': '', 'photoUrl': '', 'commentCount': 396, 'voteCount': 4783, 'readCount': 167914}, {'id': 76049600, 'title': 'Escorting the Brute {32}', 'url': 'https://www.wattpad.com/76049600-escorting-the-brute-32', 'rating': 0, 'draft': False, 'modifyDate': '2014-10-14T21:55:34Z', 'length': 8510, 'videoId': 'a-j86tzxi8s', 'photoUrl': 'https://d.wattpad.com/story_parts/76049600/images/139d1e6aa35f7c1a.jpg', 'commentCount': 434, 'voteCount': 3913, 'readCount': 152315},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114984}, {'id': 76088428, 'title': 'Epilogue', 'url': 'https://www.wattpad.com/76088428-escorting-the-brute-epilogue', 'rating': 0, 'draft': False, 'modifyDate': '2014-12-22T17:31:05Z', 'length': 5162, 'videoId': '', 'photoUrl': 'https://d.wattpad.com/story_parts/76088428/images/139d2ad2def20c23.jpg', 'commentCount': 699, 'voteCount': 5501, 'readCount': 166919}]", 3, 8564734, '[]', 'Escorting the Brute', 'https://www.wattpad.com/story/16618124-escorting-the-brute', 'https://a.wattpad.com/useravatar/iwillluv1d4ever.128.809982.jpg', 'Q.', 'iwillluv1d4ever', 189571], [19, 9867, True, 0, 'https://a.wattpad.com/cover/42937930-256-k992146.jpg', '2015-06-22T23:55:46Z', '2015-06-22T23:55:09Z', False, 'yessss!!!!', 141082265, '2015-06-23T02:59:41Z', 141082265, 42937930, 1, 'English', '2015-06-23T10:06:02Z', 141082390, 2204, False, '2015-08-16T08:07:12Z', 16, "[{'id': 141082265, 'title': 'lol!', 'url': 'https://www.wattpad.com/141082265-%E2%9D%87awsome-comebacks%E2%9D%87-lol', 'rating': 0, 'draft': False, 'modifyDate': '2015-06-23T02:59:42Z', 'length': 119, 'videoId': '', 'photoUrl': '', 'commentCount': 921, 'voteCount': 2163, 'readCount': 134193}, {'id': 141082305, 'title': 'oh no!', 'url': 'https://www.wattpad.com/141082305-%E2%9D%87awsome-comebacks%E2%9D%87-oh-no', 'rating': 0, 'draft': False, 'modifyDate': '2015-06-23T02:59:55Z', 'length': 249, 'videoId': '', 'photoUrl': '', 'commentCount': 495, 'voteCount': 2014, 'readCount': 121259}, {'id': 141082311, 'title': 'funny!', 'url': 'https://www.wattpad.com/141082311-%E2%9D%87awsome-comebacks%E2%9D%87-funny', 'rating': 0, 'draft': False, 'modifyDate': '2015-06-23T03:00:13Z', 'length': 152, 'videoId': '', 'photoUrl': '', 'commentCount': 833, 'voteCount': 3041, 'readCount': 110192}, {'id': 141082314, 'title': 'umm....', 'url': 'https://www.wattpad.com/141082314-%E2%9D%87awsome-comebacks%E2%9D%87-umm', 'rating': 0, 'draft': False, 'modifyDate': '2015-06-23T03:00:32Z', 'length': 97, 'videoId': '', 'photoUrl': '', 'commentCount': 793, 'voteCount': 5291, 'readCount': 102299}, {'id': 141082316, 'title': 'teachers!', 'url': 'https://www.wattpad.com/141082316-%E2%9D%87awsome-comebacks%E2%9D%87-teachers', 'rating': 0, 'draft': False, 'modifyDate': '2015-06-23T03:00:50Z', 'length': 103, 'videoId': '', 'photoUrl': '', 'commentCount': 797, 'voteCount': 3236, 'readCount': 97144}, {'id': 141082326, 'title': 'okay', 'url': 'https://www.wattpad.com/141082326-%E2%9D%87awsome-comebacks%E2%9D%87-okay', 'rating': 0, 'draft': False, 'modifyDate': '2015-06-23T03:01:19Z', 'length': 150, 'videoId': '', 'photoUrl': '', 'commentCount': 480, 'voteCount': 2327, 'readCount': 91578}, {'id': 141082338, 'title': 'not really a comeback', 'url': 'https://www.wattpad.com/141082338-%E2%9D%87awsome-comebacks%E2%9D%87-not-really-a-comeback', 'rating': 0, 'draft': False, 'modifyDate': '2015-06-23T03:02:18Z', 'length': 59, 'videoId': '', 'photoUrl': '', 'commentCount': 402, 'voteCount': 2371, 'readCount': 86203}, {'id': 141082343, 'title': 'to the person you hate', 'url': 'https://www.wattpad.com/141082343-%E2%9D%87awsome-comebacks%E2%9D%87-to-the-person-you-hate', 'rating': 0, 'draft': False, 'modifyDate': '2015-06-23T03:03:03Z', 'length': 123, 'videoId': '', 'photoUrl': '', 'commentCount': 590, 'voteCount': 2530, 'readCount': 82758}, {'id': 141082356, 'title': 'haha', 'url': 'https://www.wattpad.com/141082356-%E2%9D%87awsome-comebacks%E2%9D%87-haha', 'rating': 0, 'draft': False, 'modifyDate': '2015-06-23T03:03:10Z', 'length': 262, 'videoId': '', 'photoUrl': '', 'commentCount': 592, 'voteCount': 1805, 'readCount': 80774}, {'id': 141082361, 'title': 'not really a comeback #2', 'url': 'https://www.wattpad.com/141082361-%E2%9D%87awsome-comebacks%E2%9D%87-not-really-a-comeback-2', 'rating': 0, 'draft': False, 'modifyDate': '2015-06-23T03:03:26Z', 'length': 87, 'videoId': '', 'photoUrl': '', 'commentCount': 490, 'voteCount': 1951, 'readCount': 74684}, {'id': 141082369, 'title': 'why do we need school', 'url': 'https://www.wattpad.com/141082369-%E2%9D%87awsome-comebacks%E2%9D%87-why-do-we-need-school', 'rating': 0, 'draft': False, 'modifyDate': '2015-06-23T03:03:37Z', 'length': 191, 'videoId': '', 'photoUrl': '', 'commentCount': 1545, 'voteCount': 2664, 'readCount': 73858}, {'id': 141082375, 'title': 'poopfaces', 'url': 'https://www.wattpad.com/141082375-%E2%9D%87awsome-comebacks%E2%9D%87-poopfaces', 'rating': 0, 'draft': False, 'modifyDate': '2015-06-23T03:05:48Z', 'length': 94, 'videoId': '', 'photoUrl': '', 'commentCount': 173, 'voteCount': 1912, 'readCount': 69297}, {'id': 141082382, 'title': 'mmhhmm!', 'url': 'https://www.wattpad.com/141082382-%E2%9D%87awsome-comebacks%E2%9D%87-mmhhmm', 'rating': 0, 'draft': False, 'modifyDate': '2015-06-23T03:05:55Z', 'length': 159, 'videoId': '', 'photoUrl': '', 'commentCount': 540, 'voteCount': 2110, 'readCount': 62766}, {'id': 141082390, 'title': 'gotta tell ya', 'url': 'https://www.wattpad.com/141082390-%E2%9D%87awsome-comebacks%E2%9D%87-gotta-tell-ya', 'rating': 0, 'draft': False, 'modifyDate': '2015-06-23T10:06:01Z', 'length': 104, 'videoId': '', 'photoUrl': '', 'commentCount': 468, 'voteCount': 1013, 'readCount': 58047}, {'id': 141082397, 'title': 'okay okay im back!', 'url': 'https://www.wattpad.com/141082397-%E2%9D%87awsome-comebacks%E2%9D%87-okay-okay-im-back', 'rating': 0, 'draft': False, 'modifyDate': '2015-06-23T03:06:12Z', 'length': 165, 'videoId': '', 'photoUrl': '', 'commentCount': 540, 'voteCount': 2328, 'readCount': 56227}, {'id': 141082405, 'title': 'im done', 'url': 'https://www.wattpad.com/141082405-%E2%9D%87awsome-comebacks%E2%9D%87-im-done', 'rating': 0, 'draft': False, 'modifyDate': '2015-06-23T03:06:30Z', 'length': 90, 'videoId': '', 'photoUrl': '', 'commentCount': 208, 'voteCount': 941, 'readCount': 60953}]", 0, 1362167, "['dumb', 'funny', 'listen', 'nothing', 'okay']", '❇awsome comebacks❇', 'https://www.wattpad.com/story/42937930-%E2%9D%87awsome-comebacks%E2%9D%87', 'https://a.wattpad.com/useravatar/kittygirl_121604.128.186602.jpg', nan, 'kittygirl_121604', 37697]]</t>
  </si>
  <si>
    <t>L3_83</t>
  </si>
  <si>
    <t>Target3_83</t>
  </si>
  <si>
    <t>['bidder_id', 'payment_account', 'address', 'outcome', 'bids_count']</t>
  </si>
  <si>
    <t>[['585e7c21b80baf2225224fe140cdb1a73ddrf', 'a3d2de7675556553a5f08e4c88d2c228bvufu', 'a3d2de7675556553a5f08e4c88d2c22881vc1', 0.0, 1], ['d91a4421996dcf429f575e372915cdcedae6g', 'a3d2de7675556553a5f08e4c88d2c2286gew9', 'e350bda3ceb6067cad400ae931c3527aetdd8', 0.0, 3], ['067ff22ebf0d33fe0deedc816d75973865jo7', 'a3d2de7675556553a5f08e4c88d2c22848lqa', '022b06519985716abd9fc8ce83540d58wsgo1', 0.0, 1]]</t>
  </si>
  <si>
    <t>L3_84</t>
  </si>
  <si>
    <t>Target3_84</t>
  </si>
  <si>
    <t>same above fail</t>
  </si>
  <si>
    <t>L3_85</t>
  </si>
  <si>
    <t>Target3_85</t>
  </si>
  <si>
    <t>L3_86</t>
  </si>
  <si>
    <t>Target3_86</t>
  </si>
  <si>
    <t>['Rank', 'Documents', 'Citable documents', 'Citations', 'Self-citations', 'Citations per document', 'H index', 'Energy Supply', 'Energy Supply per Capita', '% Renewable', '2006', '2007', '2008', '2009', '2010', '2011', '2012', '2013', '2014', '2015']</t>
  </si>
  <si>
    <t>[[1, 1, 1, 1, 1, 1, 1, 1, 1, 1, 1, 1, 1, 1, 1, 1, 1, 1, 1, 1], [1, 1, 1, 1, 1, 1, 1, 1, 1, 1, 1, 1, 1, 1, 1, 1, 1, 1, 1, 1], [1, 1, 1, 1, 1, 1, 1, 1, 1, 1, 1, 1, 1, 1, 1, 1, 1, 1, 1, 1]]</t>
  </si>
  <si>
    <t>[['Aruba', 'ABW', 'GDP at market prices (constant 2010 US$)', 'NY.GDP.MKTP.KD', nan, nan, nan, nan, nan, nan, nan, nan, nan, nan, nan, nan, nan, nan, nan, nan, nan, nan, nan, nan, nan, nan, nan, nan, nan, nan, nan, nan, nan, nan, nan, nan, nan, nan, nan, nan, nan, nan, nan, nan, nan, nan, nan, nan, nan, nan, nan, nan, nan, nan, 2467703910.61, nan, nan, nan, nan, nan], ['Andorra', 'AND', 'GDP at market prices (constant 2010 US$)', 'NY.GDP.MKTP.KD', nan, nan, nan, nan, nan, nan, nan, nan, nan, nan, 1022871401.93, 1070429536.96, 1157666822.22, 1247831302.28, 1317944270.1, 1325090206.69, 1368868423.74, 1407724771.11, 1428319832.56, 1428913249.71, 1460474058.82, 1458539387.76, 1476719523.09, 1502859168.8, 1529680509.57, 1565191061.36, 1616111761.51, 1705759462.17, 1792656379.78, 1879188446.01, 1950247955.35, 1999901280.79, 2018484671.13, 1997664169.0, 2045272407.14, 2101670670.58, 2199392933.59, 2398826713.99, 2475464141.15, 2576935425.08, 2606977004.92, 2765136580.02, 2942847625.89, 3296693262.49, 3562720066.76, 3842026792.01, 4018195653.51, 4021331428.4, 3675727910.5, 3535389132.6, 3346317328.52, 3185604581.52, 3129537611.88, 3127549907.58, nan, nan], ['Afghanistan', 'AFG', 'GDP at market prices (constant 2010 US$)', 'NY.GDP.MKTP.KD', nan, nan, nan, nan, nan, nan, nan, nan, nan, nan, nan, nan, nan, nan, nan, nan, nan, nan, nan, nan, nan, nan, nan, nan, nan, nan, nan, nan, nan, nan, nan, nan, nan, nan, nan, nan, nan, nan, nan, nan, nan, nan, 8013233121.55, 8689883606.07, 8781610175.4, 9762978844.07, 10305228125.13, 11721187594.2, 12144482858.18, 14697331940.64, 15936800636.24, 16911126453.22, 19352203805.62, 19731337260.63, 19990317160.67, 20294152243.0]]</t>
  </si>
  <si>
    <t>[[1, 'China', 127050, 126767, 597237, 411683, 4.7, 138], [2, 'United States', 96661, 94747, 792274, 265436, 8.19, 230], [3, 'Japan', 30504, 30287, 223024, 61554, 7.31, 134]]</t>
  </si>
  <si>
    <t>[['Afghanistan', 321.0, 10.0, 78.66], ['Albania', 102.0, 35.0, 100.0], ['Algeria', 1959.0, 51.0, 0.55]]</t>
  </si>
  <si>
    <t>L3_87</t>
  </si>
  <si>
    <t>Target3_87</t>
  </si>
  <si>
    <t>[[6, 1], [7, 1], [8, 1]]</t>
  </si>
  <si>
    <t>L3_88</t>
  </si>
  <si>
    <t>Target3_88</t>
  </si>
  <si>
    <t>['playlist_id', 'track_id', 'interaction', 'index_playlist', 'index_track']</t>
  </si>
  <si>
    <t>[[10250368, 2122985, 1, 38244, 52865], [10250368, 3578597, 1, 38244, 91711], [10250368, 2673648, 1, 38244, 67007]]</t>
  </si>
  <si>
    <t>[[0, 252], [1, 360], [2, 394]]</t>
  </si>
  <si>
    <t>[[10250368, 2122985, 1], [6542918, 2229489, 1], [7560214, 1494164, 1]]</t>
  </si>
  <si>
    <t>[[10024884], [10624787], [4891851]]</t>
  </si>
  <si>
    <t>['playlist_id']</t>
  </si>
  <si>
    <t>L3_89</t>
  </si>
  <si>
    <t>Target3_89</t>
  </si>
  <si>
    <t>['Station', 'Tmax', 'Tmin', 'Tavg', 'Depart', 'DewPoint', 'WetBulb', 'Heat', 'Cool', 'Sunrise', 'Sunset', 'CodeSum', 'Depth', 'Water1', 'SnowFall', 'PrecipTotal', 'StnPressure', 'SeaLevel', 'ResultSpeed', 'ResultDir', 'AvgSpeed']</t>
  </si>
  <si>
    <t>[[1, 736, 736, 736, 736, 736, 735, 736, 736, 736, 736, 736, 736, 736, 736, 736, 735, 736, 736, 736, 736], [2, 736, 736, 733, 736, 736, 736, 733, 733, 736, 736, 736, 736, 736, 736, 734, 735, 736, 736, 736, 736]]</t>
  </si>
  <si>
    <t>[[1, '2007-05-01', 83, 50, 67.0, '14', 51, 56.0, 0.0, 2.0, '0448', '1849', ' ', '0', 'M', '0.0', 0.0, 29.1, 29.82, 1.7, 27, 9.2], [2, '2007-05-01', 84, 52, 68.0, 'M', 51, 57.0, 0.0, 3.0, '-', '-', ' ', 'M', 'M', 'M', 0.0, 29.18, 29.82, 2.7, 25, 9.6], [1, '2007-05-02', 59, 42, 51.0, '-3', 42, 47.0, 14.0, 0.0, '0447', '1850', 'BR', '0', 'M', '0.0', 0.0, 29.38, 30.09, 13.0, 4, 13.4]]</t>
  </si>
  <si>
    <t>same fail</t>
  </si>
  <si>
    <t>L3_9</t>
  </si>
  <si>
    <t>Target3_9</t>
  </si>
  <si>
    <t>['park_name', 'observations']</t>
  </si>
  <si>
    <t>[['Bryce National Park', 1], ['Great Smoky Mountains National Park', 1], ['Yellowstone National Park', 1]]</t>
  </si>
  <si>
    <t>[['Vicia benghalensis', 'Great Smoky Mountains National Park', 68], ['Neovison vison', 'Great Smoky Mountains National Park', 77], ['Prunus subcordata', 'Yosemite National Park', 138]]</t>
  </si>
  <si>
    <t>['scientific_name', 'park_name', 'observations']</t>
  </si>
  <si>
    <t>L3_90</t>
  </si>
  <si>
    <t>Target3_90</t>
  </si>
  <si>
    <t>L3_91</t>
  </si>
  <si>
    <t>Target3_91</t>
  </si>
  <si>
    <t>['title', 'movie_id', 'video_release_date', 'user_id', 'rating', 'unix_timestamp', 'age']</t>
  </si>
  <si>
    <t>[["'Til There Was You (1997)", 1300, nan, 306.8333333333333, 2.333333333333333, 886171012.0, 25.33333333333333], ['1-900 (1994)', 1353, nan, 395.0, 2.5, 882494921.5, 29.0], ['101 Dalmatians (1996)', 225, nan, 278.36538461538464, 2.9423076923076925, 882724023.8846154, 31.961538461538463]]</t>
  </si>
  <si>
    <t>L3_92</t>
  </si>
  <si>
    <t>Target3_92</t>
  </si>
  <si>
    <t>L3_93</t>
  </si>
  <si>
    <t>Target3_93</t>
  </si>
  <si>
    <t>['movie_id', '0']</t>
  </si>
  <si>
    <t>[[1, 208], [2, 59], [3, 47]]</t>
  </si>
  <si>
    <t>L3_94</t>
  </si>
  <si>
    <t>Target3_94</t>
  </si>
  <si>
    <t>L3_95</t>
  </si>
  <si>
    <t>Target3_95</t>
  </si>
  <si>
    <t>L3_96</t>
  </si>
  <si>
    <t>Target3_96</t>
  </si>
  <si>
    <t>['movie title', 'movie id', 'release date', 'video release date', 'IMDb URL', 'unknown', 'Action', 'Adventure', 'Animation', 'Childrens', 'Comedy', 'Crime', 'Documentary', 'Drama', 'Fantasy', 'Film-Noir', 'Horror', 'Musical', 'Mystery', 'Romance ', 'Sci-Fi', 'Thriller', 'War', 'Western', 'user id', 'rating', 'timestamp', 'age', 'gender', 'occupation', 'zip code']</t>
  </si>
  <si>
    <t>[["'Til There Was You (1997)", 6, 6, 0, 6, 6, 6, 6, 6, 6, 6, 6, 6, 6, 6, 6, 6, 6, 6, 6, 6, 6, 6, 6, 6, 6, 6, 6, 6, 6, 6], ['1-900 (1994)', 2, 2, 0, 2, 2, 2, 2, 2, 2, 2, 2, 2, 2, 2, 2, 2, 2, 2, 2, 2, 2, 2, 2, 2, 2, 2, 2, 2, 2, 2], ['101 Dalmatians (1996)', 52, 52, 0, 52, 52, 52, 52, 52, 52, 52, 52, 52, 52, 52, 52, 52, 52, 52, 52, 52, 52, 52, 52, 52, 52, 52, 52, 52, 52, 52]]</t>
  </si>
  <si>
    <t>L3_97</t>
  </si>
  <si>
    <t>Target3_97</t>
  </si>
  <si>
    <t>L3_99</t>
  </si>
  <si>
    <t>Target3_99</t>
  </si>
  <si>
    <t xml:space="preserve">Success* </t>
  </si>
  <si>
    <t>Need Domain Knowledge</t>
  </si>
  <si>
    <t>Failed-syntax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</si>
</sst>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theme="1"/>
      <name val="Calibri"/>
      <family val="2"/>
      <scheme val="minor"/>
    </font>
    <font>
      <sz val="9.8000000000000007"/>
      <color rgb="FF000000"/>
      <name val="JetBrains Mono"/>
      <family val="3"/>
    </font>
    <font>
      <sz val="11"/>
      <color rgb="FF000000"/>
      <name val="Calibri"/>
      <family val="2"/>
      <scheme val="minor"/>
    </font>
    <font>
      <sz val="11"/>
      <color theme="1"/>
      <name val="Calibri"/>
      <family val="2"/>
      <scheme val="minor"/>
    </font>
    <font>
      <sz val="12"/>
      <color rgb="FF006100"/>
      <name val="Calibri"/>
      <family val="2"/>
      <scheme val="minor"/>
    </font>
    <font>
      <sz val="12"/>
      <color rgb="FF9C0006"/>
      <name val="Calibri"/>
      <family val="2"/>
      <scheme val="minor"/>
    </font>
    <font>
      <b/>
      <sz val="12"/>
      <color theme="0"/>
      <name val="Calibri"/>
      <family val="2"/>
      <scheme val="minor"/>
    </font>
    <font>
      <sz val="11"/>
      <color theme="1"/>
      <name val="Calibri"/>
      <family val="2"/>
    </font>
    <font>
      <sz val="10"/>
      <color rgb="FF434343"/>
      <name val="Calibri"/>
      <family val="2"/>
    </font>
    <font>
      <sz val="10"/>
      <color theme="1"/>
      <name val="Calibri"/>
      <family val="2"/>
    </font>
    <font>
      <sz val="10"/>
      <color rgb="FFC00000"/>
      <name val="Calibri"/>
      <family val="2"/>
    </font>
    <font>
      <sz val="10"/>
      <color rgb="FF7030A0"/>
      <name val="Calibri"/>
      <family val="2"/>
    </font>
    <font>
      <b/>
      <sz val="11"/>
      <color rgb="FF00B0F0"/>
      <name val="Calibri"/>
      <family val="2"/>
      <scheme val="minor"/>
    </font>
    <font>
      <sz val="10"/>
      <color theme="1"/>
      <name val="Arial"/>
      <family val="2"/>
    </font>
    <font>
      <sz val="11"/>
      <color rgb="FFC00000"/>
      <name val="Calibri"/>
      <family val="2"/>
      <scheme val="minor"/>
    </font>
    <font>
      <sz val="11"/>
      <color rgb="FF7030A0"/>
      <name val="Calibri"/>
      <family val="2"/>
      <scheme val="minor"/>
    </font>
    <font>
      <sz val="11"/>
      <color rgb="FF00B0F0"/>
      <name val="Calibri"/>
      <family val="2"/>
      <scheme val="minor"/>
    </font>
    <font>
      <b/>
      <sz val="10"/>
      <color theme="1"/>
      <name val="Calibri"/>
      <family val="2"/>
    </font>
    <font>
      <sz val="11"/>
      <color theme="9"/>
      <name val="Calibri"/>
      <family val="2"/>
      <scheme val="minor"/>
    </font>
    <font>
      <sz val="10"/>
      <color rgb="FF000000"/>
      <name val="Calibri"/>
      <family val="2"/>
      <scheme val="minor"/>
    </font>
    <font>
      <sz val="10"/>
      <color rgb="FFC00000"/>
      <name val="Calibri"/>
      <family val="2"/>
      <scheme val="minor"/>
    </font>
    <font>
      <sz val="10"/>
      <color rgb="FFFF0000"/>
      <name val="Calibri"/>
      <family val="2"/>
    </font>
    <font>
      <sz val="10"/>
      <color rgb="FF434343"/>
      <name val="Calibri"/>
      <family val="2"/>
      <scheme val="minor"/>
    </font>
    <font>
      <sz val="10"/>
      <color theme="1"/>
      <name val="Calibri"/>
      <family val="2"/>
      <scheme val="minor"/>
    </font>
    <font>
      <sz val="10"/>
      <name val="Arial"/>
      <family val="2"/>
    </font>
    <font>
      <strike/>
      <sz val="10"/>
      <color rgb="FF434343"/>
      <name val="Calibri"/>
      <family val="2"/>
      <scheme val="minor"/>
    </font>
    <font>
      <strike/>
      <sz val="10"/>
      <color theme="1"/>
      <name val="Calibri"/>
      <family val="2"/>
      <scheme val="minor"/>
    </font>
    <font>
      <strike/>
      <sz val="10"/>
      <name val="Arial"/>
      <family val="2"/>
    </font>
    <font>
      <sz val="10"/>
      <color rgb="FF000000"/>
      <name val="Tahoma"/>
      <family val="2"/>
    </font>
  </fonts>
  <fills count="1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CC"/>
      </patternFill>
    </fill>
    <fill>
      <patternFill patternType="solid">
        <fgColor theme="9"/>
        <bgColor indexed="64"/>
      </patternFill>
    </fill>
    <fill>
      <patternFill patternType="solid">
        <fgColor rgb="FFFFFF00"/>
        <bgColor indexed="64"/>
      </patternFill>
    </fill>
    <fill>
      <patternFill patternType="solid">
        <fgColor rgb="FFFFFF00"/>
        <bgColor rgb="FFFFFF00"/>
      </patternFill>
    </fill>
    <fill>
      <patternFill patternType="solid">
        <fgColor theme="1"/>
        <bgColor indexed="64"/>
      </patternFill>
    </fill>
  </fills>
  <borders count="42">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indexed="64"/>
      </left>
      <right/>
      <top/>
      <bottom/>
      <diagonal/>
    </border>
    <border>
      <left/>
      <right style="medium">
        <color indexed="64"/>
      </right>
      <top/>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000000"/>
      </top>
      <bottom/>
      <diagonal/>
    </border>
    <border>
      <left/>
      <right style="medium">
        <color rgb="FFCCCCCC"/>
      </right>
      <top style="medium">
        <color rgb="FFCCCCCC"/>
      </top>
      <bottom/>
      <diagonal/>
    </border>
    <border>
      <left style="medium">
        <color rgb="FFCCCCCC"/>
      </left>
      <right style="medium">
        <color rgb="FF000000"/>
      </right>
      <top/>
      <bottom style="medium">
        <color rgb="FFCCCCCC"/>
      </bottom>
      <diagonal/>
    </border>
    <border>
      <left style="medium">
        <color rgb="FF000000"/>
      </left>
      <right style="medium">
        <color rgb="FF000000"/>
      </right>
      <top/>
      <bottom style="medium">
        <color rgb="FF000000"/>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style="medium">
        <color rgb="FFCCCCCC"/>
      </top>
      <bottom/>
      <diagonal/>
    </border>
    <border>
      <left/>
      <right style="medium">
        <color rgb="FF000000"/>
      </right>
      <top style="medium">
        <color rgb="FFCCCCCC"/>
      </top>
      <bottom/>
      <diagonal/>
    </border>
    <border>
      <left style="medium">
        <color rgb="FF000000"/>
      </left>
      <right style="medium">
        <color rgb="FF000000"/>
      </right>
      <top style="medium">
        <color rgb="FFCCCCCC"/>
      </top>
      <bottom/>
      <diagonal/>
    </border>
    <border>
      <left style="medium">
        <color rgb="FF000000"/>
      </left>
      <right style="medium">
        <color rgb="FFCCCCCC"/>
      </right>
      <top style="medium">
        <color rgb="FFCCCCCC"/>
      </top>
      <bottom/>
      <diagonal/>
    </border>
    <border>
      <left/>
      <right style="medium">
        <color rgb="FF000000"/>
      </right>
      <top/>
      <bottom/>
      <diagonal/>
    </border>
    <border>
      <left style="medium">
        <color rgb="FF000000"/>
      </left>
      <right style="medium">
        <color rgb="FF000000"/>
      </right>
      <top/>
      <bottom style="medium">
        <color rgb="FFCCCCCC"/>
      </bottom>
      <diagonal/>
    </border>
    <border>
      <left style="medium">
        <color rgb="FF000000"/>
      </left>
      <right style="medium">
        <color rgb="FFCCCCCC"/>
      </right>
      <top/>
      <bottom style="medium">
        <color rgb="FFCCCCCC"/>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5" fillId="6" borderId="0" applyNumberFormat="0" applyBorder="0" applyAlignment="0" applyProtection="0"/>
    <xf numFmtId="0" fontId="6" fillId="7" borderId="0" applyNumberFormat="0" applyBorder="0" applyAlignment="0" applyProtection="0"/>
    <xf numFmtId="0" fontId="7" fillId="8" borderId="2" applyNumberFormat="0" applyAlignment="0" applyProtection="0"/>
    <xf numFmtId="0" fontId="4" fillId="9" borderId="3" applyNumberFormat="0" applyFont="0" applyAlignment="0" applyProtection="0"/>
    <xf numFmtId="0" fontId="20" fillId="0" borderId="0"/>
  </cellStyleXfs>
  <cellXfs count="181">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Alignment="1">
      <alignment horizontal="left"/>
    </xf>
    <xf numFmtId="0" fontId="0" fillId="2" borderId="0" xfId="0" applyFill="1" applyAlignment="1">
      <alignment horizontal="left" indent="1"/>
    </xf>
    <xf numFmtId="0" fontId="0" fillId="3" borderId="0" xfId="0" applyFill="1" applyAlignment="1">
      <alignment horizontal="left"/>
    </xf>
    <xf numFmtId="0" fontId="0" fillId="3" borderId="0" xfId="0" applyFill="1" applyAlignment="1">
      <alignment horizontal="left" indent="1"/>
    </xf>
    <xf numFmtId="0" fontId="0" fillId="3" borderId="0" xfId="0" applyFill="1"/>
    <xf numFmtId="0" fontId="0" fillId="4" borderId="0" xfId="0" applyFill="1"/>
    <xf numFmtId="0" fontId="0" fillId="2" borderId="0" xfId="0" applyFill="1"/>
    <xf numFmtId="0" fontId="0" fillId="5" borderId="0" xfId="0" applyFill="1" applyAlignment="1">
      <alignment horizontal="left" indent="1"/>
    </xf>
    <xf numFmtId="0" fontId="3" fillId="0" borderId="0" xfId="0" applyFont="1"/>
    <xf numFmtId="0" fontId="9" fillId="0" borderId="4" xfId="0" applyFont="1" applyBorder="1" applyAlignment="1">
      <alignment vertical="top" wrapText="1"/>
    </xf>
    <xf numFmtId="0" fontId="9" fillId="0" borderId="5"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top" wrapText="1"/>
    </xf>
    <xf numFmtId="0" fontId="10" fillId="0" borderId="7" xfId="0" applyFont="1" applyBorder="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2" fillId="0" borderId="0" xfId="0" applyFont="1" applyAlignment="1">
      <alignment horizontal="left" vertical="top" wrapText="1"/>
    </xf>
    <xf numFmtId="0" fontId="13" fillId="0" borderId="11" xfId="0" applyFont="1" applyBorder="1" applyAlignment="1">
      <alignment wrapText="1"/>
    </xf>
    <xf numFmtId="0" fontId="13" fillId="0" borderId="12" xfId="0" applyFont="1" applyBorder="1" applyAlignment="1">
      <alignment wrapText="1"/>
    </xf>
    <xf numFmtId="0" fontId="14" fillId="0" borderId="13" xfId="0" applyFont="1" applyBorder="1" applyAlignment="1">
      <alignment vertical="top" wrapText="1"/>
    </xf>
    <xf numFmtId="0" fontId="9" fillId="0" borderId="14" xfId="0" applyFont="1" applyBorder="1" applyAlignment="1">
      <alignment vertical="top" wrapText="1"/>
    </xf>
    <xf numFmtId="0" fontId="10" fillId="0" borderId="14" xfId="0" applyFont="1" applyBorder="1" applyAlignment="1">
      <alignment vertical="top" wrapText="1"/>
    </xf>
    <xf numFmtId="0" fontId="10" fillId="0" borderId="15" xfId="0" applyFont="1" applyBorder="1" applyAlignment="1">
      <alignment vertical="top" wrapText="1"/>
    </xf>
    <xf numFmtId="0" fontId="14" fillId="0" borderId="14" xfId="0" applyFont="1" applyBorder="1" applyAlignment="1">
      <alignment vertical="top" wrapText="1"/>
    </xf>
    <xf numFmtId="0" fontId="10" fillId="0" borderId="16" xfId="0" applyFont="1" applyBorder="1" applyAlignment="1">
      <alignment vertical="top" wrapText="1"/>
    </xf>
    <xf numFmtId="0" fontId="14" fillId="0" borderId="7" xfId="0" applyFont="1" applyBorder="1" applyAlignment="1">
      <alignment vertical="top" wrapText="1"/>
    </xf>
    <xf numFmtId="0" fontId="14" fillId="0" borderId="0" xfId="0" applyFont="1" applyAlignment="1">
      <alignment vertical="top" wrapText="1"/>
    </xf>
    <xf numFmtId="0" fontId="0" fillId="0" borderId="0" xfId="0" applyAlignment="1">
      <alignment vertical="top" wrapText="1"/>
    </xf>
    <xf numFmtId="0" fontId="15" fillId="0" borderId="0" xfId="0" applyFont="1" applyAlignment="1">
      <alignment wrapText="1"/>
    </xf>
    <xf numFmtId="0" fontId="16" fillId="0" borderId="17" xfId="0" applyFont="1" applyBorder="1" applyAlignment="1">
      <alignment horizontal="left" vertical="top" wrapText="1"/>
    </xf>
    <xf numFmtId="0" fontId="16" fillId="0" borderId="0" xfId="0" applyFont="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17" fillId="0" borderId="0" xfId="0" applyFont="1" applyAlignment="1">
      <alignment wrapText="1"/>
    </xf>
    <xf numFmtId="0" fontId="14" fillId="0" borderId="19" xfId="0" applyFont="1" applyBorder="1" applyAlignment="1">
      <alignment vertical="top" wrapText="1"/>
    </xf>
    <xf numFmtId="0" fontId="9" fillId="0" borderId="20" xfId="0" applyFont="1" applyBorder="1" applyAlignment="1">
      <alignment vertical="top" wrapText="1"/>
    </xf>
    <xf numFmtId="0" fontId="18" fillId="0" borderId="20" xfId="0" applyFont="1" applyBorder="1" applyAlignment="1">
      <alignment vertical="top" wrapText="1"/>
    </xf>
    <xf numFmtId="0" fontId="10" fillId="0" borderId="20" xfId="0" applyFont="1" applyBorder="1" applyAlignment="1">
      <alignment vertical="top" wrapText="1"/>
    </xf>
    <xf numFmtId="0" fontId="14" fillId="0" borderId="20" xfId="0" applyFont="1" applyBorder="1" applyAlignment="1">
      <alignment vertical="top" wrapText="1"/>
    </xf>
    <xf numFmtId="0" fontId="10" fillId="0" borderId="21" xfId="0" applyFont="1" applyBorder="1" applyAlignment="1">
      <alignment vertical="top" wrapText="1"/>
    </xf>
    <xf numFmtId="0" fontId="14" fillId="0" borderId="21" xfId="0" applyFont="1" applyBorder="1" applyAlignment="1">
      <alignment horizontal="center" vertical="top" wrapText="1"/>
    </xf>
    <xf numFmtId="0" fontId="14" fillId="0" borderId="16" xfId="0" applyFont="1" applyBorder="1" applyAlignment="1">
      <alignment horizontal="center" vertical="top" wrapText="1"/>
    </xf>
    <xf numFmtId="0" fontId="14" fillId="0" borderId="0" xfId="0" applyFont="1" applyAlignment="1">
      <alignment horizontal="center" vertical="top" wrapText="1"/>
    </xf>
    <xf numFmtId="0" fontId="15" fillId="0" borderId="0" xfId="0" applyFont="1" applyAlignment="1">
      <alignment horizontal="center" wrapText="1"/>
    </xf>
    <xf numFmtId="0" fontId="16" fillId="0" borderId="17" xfId="0" applyFont="1" applyBorder="1" applyAlignment="1">
      <alignment horizontal="left" vertical="top" wrapText="1"/>
    </xf>
    <xf numFmtId="0" fontId="14" fillId="0" borderId="22" xfId="0" applyFont="1" applyBorder="1" applyAlignment="1">
      <alignment vertical="top" wrapText="1"/>
    </xf>
    <xf numFmtId="0" fontId="9" fillId="0" borderId="23" xfId="0" applyFont="1" applyBorder="1" applyAlignment="1">
      <alignment vertical="top" wrapText="1"/>
    </xf>
    <xf numFmtId="0" fontId="18" fillId="0" borderId="23" xfId="0" applyFont="1" applyBorder="1" applyAlignment="1">
      <alignment vertical="top" wrapText="1"/>
    </xf>
    <xf numFmtId="0" fontId="10" fillId="0" borderId="23" xfId="0" applyFont="1" applyBorder="1" applyAlignment="1">
      <alignment vertical="top" wrapText="1"/>
    </xf>
    <xf numFmtId="0" fontId="14" fillId="0" borderId="23" xfId="0" applyFont="1" applyBorder="1" applyAlignment="1">
      <alignment vertical="top" wrapText="1"/>
    </xf>
    <xf numFmtId="0" fontId="14" fillId="0" borderId="24" xfId="0" applyFont="1" applyBorder="1" applyAlignment="1">
      <alignment horizontal="center" vertical="top" wrapText="1"/>
    </xf>
    <xf numFmtId="0" fontId="14" fillId="0" borderId="25" xfId="0" applyFont="1" applyBorder="1" applyAlignment="1">
      <alignment horizontal="center" vertical="top" wrapText="1"/>
    </xf>
    <xf numFmtId="0" fontId="5" fillId="6" borderId="0" xfId="1" applyAlignment="1">
      <alignment wrapText="1"/>
    </xf>
    <xf numFmtId="0" fontId="18" fillId="0" borderId="14" xfId="0" applyFont="1" applyBorder="1" applyAlignment="1">
      <alignment vertical="top" wrapText="1"/>
    </xf>
    <xf numFmtId="0" fontId="10" fillId="0" borderId="26" xfId="0" applyFont="1" applyBorder="1" applyAlignment="1">
      <alignment vertical="top" wrapText="1"/>
    </xf>
    <xf numFmtId="0" fontId="19" fillId="0" borderId="0" xfId="0" applyFont="1" applyAlignment="1">
      <alignment wrapText="1"/>
    </xf>
    <xf numFmtId="0" fontId="10" fillId="0" borderId="21" xfId="0" applyFont="1" applyBorder="1" applyAlignment="1">
      <alignment horizontal="center" vertical="top" wrapText="1"/>
    </xf>
    <xf numFmtId="0" fontId="10" fillId="0" borderId="24" xfId="0" applyFont="1" applyBorder="1" applyAlignment="1">
      <alignment horizontal="center" vertical="top" wrapText="1"/>
    </xf>
    <xf numFmtId="0" fontId="7" fillId="8" borderId="2" xfId="3" applyAlignment="1">
      <alignment vertical="top" wrapText="1"/>
    </xf>
    <xf numFmtId="0" fontId="14" fillId="0" borderId="20" xfId="0" applyFont="1" applyBorder="1" applyAlignment="1">
      <alignment horizontal="center" vertical="top" wrapText="1"/>
    </xf>
    <xf numFmtId="0" fontId="14" fillId="0" borderId="23" xfId="0" applyFont="1" applyBorder="1" applyAlignment="1">
      <alignment horizontal="center" vertical="top" wrapText="1"/>
    </xf>
    <xf numFmtId="0" fontId="14" fillId="0" borderId="19" xfId="0" applyFont="1" applyBorder="1" applyAlignment="1">
      <alignment horizontal="center" vertical="top" wrapText="1"/>
    </xf>
    <xf numFmtId="0" fontId="10" fillId="0" borderId="16" xfId="0" applyFont="1" applyBorder="1" applyAlignment="1">
      <alignment horizontal="center" vertical="top" wrapText="1"/>
    </xf>
    <xf numFmtId="0" fontId="16" fillId="0" borderId="0" xfId="0" applyFont="1" applyAlignment="1">
      <alignment horizontal="left" vertical="top" wrapText="1"/>
    </xf>
    <xf numFmtId="0" fontId="14" fillId="0" borderId="22" xfId="0" applyFont="1" applyBorder="1" applyAlignment="1">
      <alignment horizontal="center" vertical="top" wrapText="1"/>
    </xf>
    <xf numFmtId="0" fontId="10" fillId="0" borderId="25" xfId="0" applyFont="1" applyBorder="1" applyAlignment="1">
      <alignment horizontal="center" vertical="top" wrapText="1"/>
    </xf>
    <xf numFmtId="0" fontId="9" fillId="10" borderId="20" xfId="0" applyFont="1" applyFill="1" applyBorder="1" applyAlignment="1">
      <alignment vertical="top" wrapText="1"/>
    </xf>
    <xf numFmtId="0" fontId="9" fillId="10" borderId="23" xfId="0" applyFont="1" applyFill="1" applyBorder="1" applyAlignment="1">
      <alignment vertical="top" wrapText="1"/>
    </xf>
    <xf numFmtId="0" fontId="10" fillId="0" borderId="7" xfId="0" applyFont="1" applyBorder="1" applyAlignment="1">
      <alignment horizontal="right" vertical="top" wrapText="1"/>
    </xf>
    <xf numFmtId="0" fontId="10" fillId="0" borderId="27" xfId="0" applyFont="1" applyBorder="1" applyAlignment="1">
      <alignment vertical="top" wrapText="1"/>
    </xf>
    <xf numFmtId="0" fontId="10" fillId="0" borderId="28" xfId="0" applyFont="1" applyBorder="1" applyAlignment="1">
      <alignment horizontal="center" vertical="top" wrapText="1"/>
    </xf>
    <xf numFmtId="0" fontId="10" fillId="0" borderId="29" xfId="0" applyFont="1" applyBorder="1" applyAlignment="1">
      <alignment horizontal="center" vertical="top" wrapText="1"/>
    </xf>
    <xf numFmtId="0" fontId="10" fillId="0" borderId="30" xfId="0" applyFont="1" applyBorder="1" applyAlignment="1">
      <alignment vertical="top" wrapText="1"/>
    </xf>
    <xf numFmtId="0" fontId="10" fillId="0" borderId="31" xfId="0" applyFont="1" applyBorder="1" applyAlignment="1">
      <alignment horizontal="center" vertical="top" wrapText="1"/>
    </xf>
    <xf numFmtId="0" fontId="10" fillId="0" borderId="32" xfId="0" applyFont="1" applyBorder="1" applyAlignment="1">
      <alignment horizontal="center" vertical="top" wrapText="1"/>
    </xf>
    <xf numFmtId="0" fontId="8" fillId="0" borderId="7" xfId="0" applyFont="1" applyBorder="1" applyAlignment="1">
      <alignment horizontal="right" vertical="top" wrapText="1"/>
    </xf>
    <xf numFmtId="0" fontId="6" fillId="7" borderId="0" xfId="2" applyAlignment="1">
      <alignment wrapText="1"/>
    </xf>
    <xf numFmtId="0" fontId="14" fillId="0" borderId="6" xfId="0" applyFont="1" applyBorder="1" applyAlignment="1">
      <alignment vertical="top" wrapText="1"/>
    </xf>
    <xf numFmtId="0" fontId="0" fillId="0" borderId="6" xfId="0" applyBorder="1" applyAlignment="1">
      <alignment horizontal="center" vertical="top" wrapText="1"/>
    </xf>
    <xf numFmtId="0" fontId="15" fillId="6" borderId="0" xfId="1" applyFont="1" applyAlignment="1">
      <alignment wrapText="1"/>
    </xf>
    <xf numFmtId="0" fontId="9" fillId="11" borderId="14" xfId="0" applyFont="1" applyFill="1" applyBorder="1" applyAlignment="1">
      <alignment vertical="top" wrapText="1"/>
    </xf>
    <xf numFmtId="0" fontId="21" fillId="0" borderId="0" xfId="5" applyFont="1" applyAlignment="1">
      <alignment wrapText="1"/>
    </xf>
    <xf numFmtId="0" fontId="22" fillId="0" borderId="20" xfId="0" applyFont="1" applyBorder="1" applyAlignment="1">
      <alignment vertical="top" wrapText="1"/>
    </xf>
    <xf numFmtId="0" fontId="15" fillId="7" borderId="0" xfId="2" applyFont="1" applyAlignment="1">
      <alignment wrapText="1"/>
    </xf>
    <xf numFmtId="0" fontId="22" fillId="0" borderId="23" xfId="0" applyFont="1" applyBorder="1" applyAlignment="1">
      <alignment vertical="top" wrapText="1"/>
    </xf>
    <xf numFmtId="0" fontId="0" fillId="0" borderId="0" xfId="0" applyAlignment="1">
      <alignment horizontal="center" vertical="top" wrapText="1"/>
    </xf>
    <xf numFmtId="0" fontId="9" fillId="9" borderId="3" xfId="4" applyFont="1" applyAlignment="1">
      <alignment vertical="top" wrapText="1"/>
    </xf>
    <xf numFmtId="0" fontId="6" fillId="7" borderId="17" xfId="2" applyBorder="1" applyAlignment="1">
      <alignment horizontal="left" vertical="top" wrapText="1"/>
    </xf>
    <xf numFmtId="0" fontId="24" fillId="0" borderId="33" xfId="5" applyFont="1" applyBorder="1" applyAlignment="1">
      <alignment vertical="top" wrapText="1"/>
    </xf>
    <xf numFmtId="0" fontId="24" fillId="0" borderId="0" xfId="5" applyFont="1" applyAlignment="1">
      <alignment vertical="top" wrapText="1"/>
    </xf>
    <xf numFmtId="0" fontId="24" fillId="0" borderId="35" xfId="5" applyFont="1" applyBorder="1" applyAlignment="1">
      <alignment vertical="top" wrapText="1"/>
    </xf>
    <xf numFmtId="0" fontId="24" fillId="0" borderId="36" xfId="5" applyFont="1" applyBorder="1" applyAlignment="1">
      <alignment horizontal="center" vertical="top" wrapText="1"/>
    </xf>
    <xf numFmtId="0" fontId="25" fillId="0" borderId="37" xfId="5" applyFont="1" applyBorder="1" applyAlignment="1">
      <alignment vertical="top" wrapText="1"/>
    </xf>
    <xf numFmtId="0" fontId="20" fillId="0" borderId="0" xfId="5" applyAlignment="1">
      <alignment horizontal="center" vertical="top" wrapText="1"/>
    </xf>
    <xf numFmtId="0" fontId="0" fillId="0" borderId="0" xfId="0" applyAlignment="1">
      <alignment horizontal="center" wrapText="1"/>
    </xf>
    <xf numFmtId="0" fontId="20" fillId="0" borderId="0" xfId="5" applyAlignment="1">
      <alignment vertical="top" wrapText="1"/>
    </xf>
    <xf numFmtId="0" fontId="24" fillId="0" borderId="35" xfId="5" applyFont="1" applyBorder="1" applyAlignment="1">
      <alignment horizontal="center" vertical="top" wrapText="1"/>
    </xf>
    <xf numFmtId="0" fontId="0" fillId="0" borderId="18" xfId="0" applyBorder="1" applyAlignment="1">
      <alignment horizontal="left" vertical="top" wrapText="1"/>
    </xf>
    <xf numFmtId="0" fontId="24" fillId="0" borderId="38" xfId="5" applyFont="1" applyBorder="1" applyAlignment="1">
      <alignment horizontal="center" vertical="top" wrapText="1"/>
    </xf>
    <xf numFmtId="0" fontId="24" fillId="0" borderId="37" xfId="5" applyFont="1" applyBorder="1" applyAlignment="1">
      <alignment horizontal="center" vertical="top" wrapText="1"/>
    </xf>
    <xf numFmtId="0" fontId="0" fillId="0" borderId="9" xfId="0" applyBorder="1" applyAlignment="1">
      <alignment wrapText="1"/>
    </xf>
    <xf numFmtId="0" fontId="25" fillId="0" borderId="38" xfId="5" applyFont="1" applyBorder="1" applyAlignment="1">
      <alignment vertical="top" wrapText="1"/>
    </xf>
    <xf numFmtId="0" fontId="0" fillId="0" borderId="40" xfId="0" applyBorder="1" applyAlignment="1">
      <alignment wrapText="1"/>
    </xf>
    <xf numFmtId="0" fontId="24" fillId="0" borderId="35" xfId="0" applyFont="1" applyBorder="1" applyAlignment="1">
      <alignment horizontal="center" vertical="top" wrapText="1"/>
    </xf>
    <xf numFmtId="0" fontId="24" fillId="0" borderId="33" xfId="0" applyFont="1" applyBorder="1" applyAlignment="1">
      <alignment vertical="top" wrapText="1"/>
    </xf>
    <xf numFmtId="0" fontId="24" fillId="0" borderId="38" xfId="0" applyFont="1" applyBorder="1" applyAlignment="1">
      <alignment horizontal="center" vertical="top" wrapText="1"/>
    </xf>
    <xf numFmtId="0" fontId="24" fillId="0" borderId="37" xfId="0" applyFont="1" applyBorder="1" applyAlignment="1">
      <alignment horizontal="center" vertical="top" wrapText="1"/>
    </xf>
    <xf numFmtId="0" fontId="24" fillId="0" borderId="35" xfId="0" applyFont="1" applyBorder="1" applyAlignment="1">
      <alignment vertical="top" wrapText="1"/>
    </xf>
    <xf numFmtId="0" fontId="25" fillId="0" borderId="38" xfId="0" applyFont="1" applyBorder="1" applyAlignment="1">
      <alignment wrapText="1"/>
    </xf>
    <xf numFmtId="0" fontId="25" fillId="0" borderId="37" xfId="0" applyFont="1" applyBorder="1" applyAlignment="1">
      <alignment wrapText="1"/>
    </xf>
    <xf numFmtId="0" fontId="24" fillId="12" borderId="35" xfId="0" applyFont="1" applyFill="1" applyBorder="1" applyAlignment="1">
      <alignment vertical="top" wrapText="1"/>
    </xf>
    <xf numFmtId="0" fontId="24" fillId="0" borderId="35" xfId="0" applyFont="1" applyBorder="1" applyAlignment="1">
      <alignment vertical="top" wrapText="1"/>
    </xf>
    <xf numFmtId="0" fontId="25" fillId="0" borderId="38" xfId="0" applyFont="1" applyBorder="1" applyAlignment="1">
      <alignment horizontal="center" wrapText="1"/>
    </xf>
    <xf numFmtId="0" fontId="25" fillId="0" borderId="37" xfId="0" applyFont="1" applyBorder="1" applyAlignment="1">
      <alignment horizontal="center" wrapText="1"/>
    </xf>
    <xf numFmtId="0" fontId="14" fillId="0" borderId="0" xfId="0" applyFont="1" applyAlignment="1">
      <alignment wrapText="1"/>
    </xf>
    <xf numFmtId="0" fontId="24" fillId="0" borderId="0" xfId="0" applyFont="1" applyAlignment="1">
      <alignment wrapText="1"/>
    </xf>
    <xf numFmtId="0" fontId="24" fillId="0" borderId="0" xfId="0" applyFont="1" applyAlignment="1">
      <alignment vertical="top" wrapText="1"/>
    </xf>
    <xf numFmtId="0" fontId="24" fillId="0" borderId="35" xfId="0" applyFont="1" applyBorder="1" applyAlignment="1">
      <alignment horizontal="center" vertical="top" wrapText="1"/>
    </xf>
    <xf numFmtId="0" fontId="5" fillId="6" borderId="33" xfId="1" applyBorder="1" applyAlignment="1">
      <alignment vertical="top" wrapText="1"/>
    </xf>
    <xf numFmtId="0" fontId="25" fillId="0" borderId="38" xfId="0" applyFont="1" applyBorder="1" applyAlignment="1">
      <alignment wrapText="1"/>
    </xf>
    <xf numFmtId="0" fontId="25" fillId="0" borderId="37" xfId="0" applyFont="1" applyBorder="1" applyAlignment="1">
      <alignment wrapText="1"/>
    </xf>
    <xf numFmtId="0" fontId="16" fillId="0" borderId="17" xfId="0" applyFont="1" applyBorder="1" applyAlignment="1">
      <alignment horizontal="center" vertical="top" wrapText="1"/>
    </xf>
    <xf numFmtId="0" fontId="27" fillId="0" borderId="35" xfId="0" applyFont="1" applyBorder="1" applyAlignment="1">
      <alignment horizontal="center" vertical="top" wrapText="1"/>
    </xf>
    <xf numFmtId="0" fontId="27" fillId="0" borderId="35" xfId="0" applyFont="1" applyBorder="1" applyAlignment="1">
      <alignment vertical="top" wrapText="1"/>
    </xf>
    <xf numFmtId="0" fontId="27" fillId="0" borderId="35" xfId="0" applyFont="1" applyBorder="1" applyAlignment="1">
      <alignment vertical="top" wrapText="1"/>
    </xf>
    <xf numFmtId="0" fontId="27" fillId="0" borderId="33" xfId="0" applyFont="1" applyBorder="1" applyAlignment="1">
      <alignment vertical="top" wrapText="1"/>
    </xf>
    <xf numFmtId="0" fontId="27" fillId="0" borderId="37" xfId="0" applyFont="1" applyBorder="1" applyAlignment="1">
      <alignment horizontal="center" vertical="top" wrapText="1"/>
    </xf>
    <xf numFmtId="0" fontId="28" fillId="0" borderId="37" xfId="0" applyFont="1" applyBorder="1" applyAlignment="1">
      <alignment wrapText="1"/>
    </xf>
    <xf numFmtId="0" fontId="28" fillId="0" borderId="37" xfId="0" applyFont="1" applyBorder="1" applyAlignment="1">
      <alignment wrapText="1"/>
    </xf>
    <xf numFmtId="0" fontId="28" fillId="0" borderId="38" xfId="0" applyFont="1" applyBorder="1" applyAlignment="1">
      <alignment wrapText="1"/>
    </xf>
    <xf numFmtId="0" fontId="27" fillId="0" borderId="38" xfId="0" applyFont="1" applyBorder="1" applyAlignment="1">
      <alignment horizontal="center" vertical="top" wrapText="1"/>
    </xf>
    <xf numFmtId="0" fontId="14" fillId="0" borderId="0" xfId="5" applyFont="1" applyAlignment="1">
      <alignment vertical="top" wrapText="1"/>
    </xf>
    <xf numFmtId="0" fontId="23" fillId="0" borderId="33" xfId="5" applyFont="1" applyBorder="1" applyAlignment="1">
      <alignment horizontal="left" vertical="top" wrapText="1"/>
    </xf>
    <xf numFmtId="0" fontId="14" fillId="0" borderId="34" xfId="5" applyFont="1" applyBorder="1" applyAlignment="1">
      <alignment horizontal="center" vertical="top" wrapText="1"/>
    </xf>
    <xf numFmtId="0" fontId="23" fillId="0" borderId="35" xfId="5" applyFont="1" applyBorder="1" applyAlignment="1">
      <alignment horizontal="left" vertical="top" wrapText="1"/>
    </xf>
    <xf numFmtId="0" fontId="23" fillId="0" borderId="37" xfId="5" applyFont="1" applyBorder="1" applyAlignment="1">
      <alignment horizontal="left" vertical="top" wrapText="1"/>
    </xf>
    <xf numFmtId="0" fontId="14" fillId="0" borderId="0" xfId="5" applyFont="1" applyAlignment="1">
      <alignment vertical="top" wrapText="1"/>
    </xf>
    <xf numFmtId="0" fontId="5" fillId="6" borderId="33" xfId="1" applyBorder="1" applyAlignment="1">
      <alignment horizontal="left" vertical="top" wrapText="1"/>
    </xf>
    <xf numFmtId="0" fontId="26" fillId="0" borderId="33" xfId="5" applyFont="1" applyBorder="1" applyAlignment="1">
      <alignment horizontal="left" vertical="top" wrapText="1"/>
    </xf>
    <xf numFmtId="0" fontId="6" fillId="7" borderId="35" xfId="2" applyBorder="1" applyAlignment="1">
      <alignment horizontal="left" vertical="top" wrapText="1"/>
    </xf>
    <xf numFmtId="0" fontId="6" fillId="7" borderId="37" xfId="2" applyBorder="1" applyAlignment="1">
      <alignment horizontal="left" vertical="top" wrapText="1"/>
    </xf>
    <xf numFmtId="0" fontId="24" fillId="0" borderId="35" xfId="5" applyFont="1" applyBorder="1" applyAlignment="1">
      <alignment vertical="top" wrapText="1"/>
    </xf>
    <xf numFmtId="0" fontId="25" fillId="0" borderId="37" xfId="5" applyFont="1" applyBorder="1" applyAlignment="1">
      <alignment vertical="top" wrapText="1"/>
    </xf>
    <xf numFmtId="0" fontId="23" fillId="0" borderId="35" xfId="5" applyFont="1" applyBorder="1" applyAlignment="1">
      <alignment horizontal="center" vertical="top" wrapText="1"/>
    </xf>
    <xf numFmtId="0" fontId="23" fillId="0" borderId="38" xfId="5" applyFont="1" applyBorder="1" applyAlignment="1">
      <alignment horizontal="center" vertical="top" wrapText="1"/>
    </xf>
    <xf numFmtId="0" fontId="23" fillId="0" borderId="37" xfId="5" applyFont="1" applyBorder="1" applyAlignment="1">
      <alignment horizontal="center" vertical="top" wrapText="1"/>
    </xf>
    <xf numFmtId="0" fontId="5" fillId="6" borderId="0" xfId="1" applyAlignment="1">
      <alignment vertical="top" wrapText="1"/>
    </xf>
    <xf numFmtId="0" fontId="0" fillId="0" borderId="8" xfId="0" applyBorder="1" applyAlignment="1">
      <alignment horizontal="center" wrapText="1"/>
    </xf>
    <xf numFmtId="0" fontId="0" fillId="0" borderId="10" xfId="0" applyBorder="1" applyAlignment="1">
      <alignment wrapText="1"/>
    </xf>
    <xf numFmtId="0" fontId="23" fillId="0" borderId="38" xfId="5" applyFont="1" applyBorder="1" applyAlignment="1">
      <alignment horizontal="left" vertical="top" wrapText="1"/>
    </xf>
    <xf numFmtId="0" fontId="25" fillId="0" borderId="38" xfId="5" applyFont="1" applyBorder="1" applyAlignment="1">
      <alignment vertical="top" wrapText="1"/>
    </xf>
    <xf numFmtId="0" fontId="0" fillId="0" borderId="17" xfId="0" applyBorder="1" applyAlignment="1">
      <alignment horizontal="center" wrapText="1"/>
    </xf>
    <xf numFmtId="0" fontId="0" fillId="0" borderId="18" xfId="0" applyBorder="1" applyAlignment="1">
      <alignment wrapText="1"/>
    </xf>
    <xf numFmtId="0" fontId="0" fillId="0" borderId="39" xfId="0" applyBorder="1" applyAlignment="1">
      <alignment horizontal="center" wrapText="1"/>
    </xf>
    <xf numFmtId="0" fontId="0" fillId="0" borderId="41" xfId="0" applyBorder="1" applyAlignment="1">
      <alignment wrapText="1"/>
    </xf>
    <xf numFmtId="0" fontId="14" fillId="0" borderId="0" xfId="0" applyFont="1" applyAlignment="1">
      <alignment horizontal="center" wrapText="1"/>
    </xf>
    <xf numFmtId="0" fontId="14" fillId="0" borderId="34" xfId="0" applyFont="1" applyBorder="1" applyAlignment="1">
      <alignment horizontal="center" wrapText="1"/>
    </xf>
    <xf numFmtId="0" fontId="14" fillId="12" borderId="0" xfId="0" applyFont="1" applyFill="1" applyAlignment="1">
      <alignment wrapText="1"/>
    </xf>
    <xf numFmtId="0" fontId="0" fillId="0" borderId="0" xfId="0" applyAlignment="1">
      <alignment wrapText="1"/>
    </xf>
    <xf numFmtId="0" fontId="25" fillId="0" borderId="38" xfId="0" applyFont="1" applyBorder="1" applyAlignment="1">
      <alignment horizontal="center" vertical="top" wrapText="1"/>
    </xf>
    <xf numFmtId="0" fontId="25" fillId="0" borderId="37" xfId="0" applyFont="1" applyBorder="1" applyAlignment="1">
      <alignment horizontal="center" vertical="top" wrapText="1"/>
    </xf>
    <xf numFmtId="0" fontId="17" fillId="11" borderId="0" xfId="0" applyFont="1" applyFill="1" applyAlignment="1">
      <alignment wrapText="1"/>
    </xf>
    <xf numFmtId="0" fontId="0" fillId="0" borderId="0" xfId="0" applyFont="1" applyAlignment="1">
      <alignment wrapText="1"/>
    </xf>
    <xf numFmtId="0" fontId="0" fillId="11" borderId="0" xfId="0" applyFill="1" applyAlignment="1">
      <alignment wrapText="1"/>
    </xf>
    <xf numFmtId="0" fontId="16" fillId="11" borderId="17" xfId="0" applyFont="1" applyFill="1" applyBorder="1" applyAlignment="1">
      <alignment horizontal="left" vertical="top" wrapText="1"/>
    </xf>
    <xf numFmtId="0" fontId="0" fillId="0" borderId="0" xfId="0" applyFill="1"/>
    <xf numFmtId="0" fontId="0" fillId="11" borderId="0" xfId="0" applyFill="1"/>
    <xf numFmtId="0" fontId="1" fillId="13" borderId="1" xfId="0" applyFont="1" applyFill="1" applyBorder="1" applyAlignment="1">
      <alignment horizontal="center" vertical="top"/>
    </xf>
    <xf numFmtId="0" fontId="0" fillId="13" borderId="0" xfId="0" applyFill="1"/>
  </cellXfs>
  <cellStyles count="6">
    <cellStyle name="Bad" xfId="2" builtinId="27"/>
    <cellStyle name="Check Cell" xfId="3" builtinId="23"/>
    <cellStyle name="Good" xfId="1" builtinId="26"/>
    <cellStyle name="Normal" xfId="0" builtinId="0"/>
    <cellStyle name="Normal 2" xfId="5" xr:uid="{199AA5B0-464E-9341-8278-4D151856E3C3}"/>
    <cellStyle name="Note" xfId="4" builtinId="10"/>
  </cellStyles>
  <dxfs count="21">
    <dxf>
      <fill>
        <patternFill patternType="solid">
          <bgColor theme="5" tint="0.39997558519241921"/>
        </patternFill>
      </fill>
    </dxf>
    <dxf>
      <fill>
        <patternFill patternType="solid">
          <bgColor theme="5"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[Updated_Target_Info_with_Details.xlsx]Sheet2!PivotTable5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Sheet2!$A$4:$A$7</c:f>
              <c:strCache>
                <c:ptCount val="4"/>
                <c:pt idx="0">
                  <c:v>Length Mismatch</c:v>
                </c:pt>
                <c:pt idx="1">
                  <c:v>Similarity Score Issue</c:v>
                </c:pt>
                <c:pt idx="2">
                  <c:v>Success</c:v>
                </c:pt>
                <c:pt idx="3">
                  <c:v>Syntax Error</c:v>
                </c:pt>
              </c:strCache>
            </c:strRef>
          </c:cat>
          <c:val>
            <c:numRef>
              <c:f>Sheet2!$B$4:$B$7</c:f>
              <c:numCache>
                <c:formatCode>General</c:formatCode>
                <c:ptCount val="4"/>
                <c:pt idx="0">
                  <c:v>21</c:v>
                </c:pt>
                <c:pt idx="1">
                  <c:v>6</c:v>
                </c:pt>
                <c:pt idx="2">
                  <c:v>20</c:v>
                </c:pt>
                <c:pt idx="3">
                  <c:v>10</c:v>
                </c:pt>
              </c:numCache>
            </c:numRef>
          </c:val>
          <c:extLst>
            <c:ext xmlns:c16="http://schemas.microsoft.com/office/drawing/2014/chart" uri="{C3380CC4-5D6E-409C-BE32-E72D297353CC}">
              <c16:uniqueId val="{00000000-E178-46E7-BA6B-72B940D264DC}"/>
            </c:ext>
          </c:extLst>
        </c:ser>
        <c:dLbls>
          <c:dLblPos val="inEnd"/>
          <c:showLegendKey val="0"/>
          <c:showVal val="1"/>
          <c:showCatName val="0"/>
          <c:showSerName val="0"/>
          <c:showPercent val="0"/>
          <c:showBubbleSize val="0"/>
        </c:dLbls>
        <c:gapWidth val="65"/>
        <c:axId val="1002783375"/>
        <c:axId val="916188048"/>
      </c:barChart>
      <c:catAx>
        <c:axId val="10027833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6188048"/>
        <c:crosses val="autoZero"/>
        <c:auto val="1"/>
        <c:lblAlgn val="ctr"/>
        <c:lblOffset val="100"/>
        <c:noMultiLvlLbl val="0"/>
      </c:catAx>
      <c:valAx>
        <c:axId val="916188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278337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ocumenttasks/documenttask1.xml><?xml version="1.0" encoding="utf-8"?>
<Tasks xmlns="http://schemas.microsoft.com/office/tasks/2019/documenttasks">
  <Task id="{A9BDCD91-4844-8245-ADBB-ACB61FEEE3EA}">
    <Anchor>
      <Comment id="{6E2854E5-8859-B146-B9EA-4B512AAE9A4B}"/>
    </Anchor>
    <History>
      <Event time="2024-01-12T21:39:49.29" id="{A40116BF-F6FD-4192-AF72-3571DE644EEE}">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9;HGPGothicE਀HGPGothicE਀.ttfЀఀ怀஠怀඀怀ഠ怀ԀƐ滐w怀࠼˿⫇湐ȴ怀耀㌳ଂ&#9;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3;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3;耀ⷰȷ怀&#13;耀.ttfЀ怀怀怀怀Ԁʼ듰u怀࠼ ⽰ȷ怀耀Ԟ큨ଂԈԃȄЈ⼐ȷ怀&#13;耀⻠ȷ怀&#13;耀.ttfЀ怀怀怀怀Ԁɘ듰u怀࠼ だȷ怀耀ԞଂȄԃȄЈ　ȷ怀耀⿐ȷ怀耀.ttfЀ怀怀怀怀ԀĬ듰u怀࠼ ㅐȷ怀耀Ԟ퍤ଂȆԃȄЈヰȷ怀耀ダȷ怀耀.ttfЀ怀怀怀怀ԀƐ듰u怀࠼o耀J ㆰȷ怀耀ᜊ專ଂ̅ĄȂЁEuphemiaࠀEuphemiaࠀ.ttfЀ怀怀怀怀ԀƐ땠u怀࠼/ꀀKက㌰ȷ怀耀宀&#13;܈Ȁ̀㋐ȷ怀耀㉰ȷ怀耀.ttfЀ怀怀怀怀Ԁʼ뗐u怀࠼/ꀀKက㐠ȷ怀耀ᗸ܅Ȁ̀㏀ȷ怀耀㎐ȷ怀耀.ttfЀ怀怀怀怀ԀĬ뗐u怀࠼/ꀀKက㒰ȷ怀耀攨&#13;܅Ȁ̀㒀ȷ怀耀멀ͧ怀 耀.ttfЀ怀怀怀怀ԀƐ뗐u怀࠼/耀J倀Ɠ 㘀ȷ怀耀A喘㕰ȷ怀耀㖠ȷ怀耀.ttfЀ怀怀怀怀Ԁʼ뙀u怀࠼ 㜠ȷ怀耀蔞齘؄ԅȆȂЊ㚐ȷ怀&#13;耀㛀ȷ怀&#13;耀.ttfЀ怀怀怒怀怒怀ԀƐ뚰u怀࠼ 㞀ȷ怀耀鰩؃ȉԄ܂̂ForteԀForteԀ.ttfЀ燎怀燎怀婢怀婢怀ԀƐ뜠u怀࠼ÿꀀ恋倀 㢠ȷ怀耀B㞴㠐ȷ怀&#13;耀㡀ȷ怀&#13;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3;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3;耀두ȷ怀&#13;耀.ttfЀ⺀怀⺀怀⽀怀⽀怀ԀƐ갰u怀࠼ڇ 떠ȷ怀耀♦시༃ȉ̃ȂЂ땀ȷ怀&#13;耀딐ȷ怀耀.ttfЀ⾠怀⾠怀　怀　怀Ԁʼ갰u怀࠼ڇ 뚐ȷ怀耀♦숀༃ȇ̃؂Ђ똰ȷ怀&#13;耀똀ȷ怀耀.ttfЀだ怀だ怀ダ怀ダ怀ԂƐ갰u怀࠼ڇ 뜠ȷ怀耀♦럼༃ȉ̃؂Ђ뛰ȷ怀&#13;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3;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3;耀쯐Ȳ怀耀.ttfЀ怀怀怀怀Ԁʼu怀࠼⛿ꄕ퀀Ɵ 쭰Ȳ怀耀ཛྷ쭀Ȳ怀&#13;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3;耀춰Ȳ怀&#13;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3;耀.ttfЀ怀怀怀怀ԂƐu怀࠼/耀&#10;할Ȳ怀耀B鲼ĂЀĄā́Sagona؀픰Ȳ怀耀.ttfЀ怀怀怀怀ԀƐu怀࠼聇ꀀ횰Ȳ怀耀ޮ獨Ȃ̅ЅȅЃ혠Ȳ怀&#13;耀홐Ȳ怀&#13;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9;ǿ Ȳ怀耀ꮅ튐ଂȅȄȄ̂Segoe UIࠀSegoe UIࠀ.ttfЀﮠ怀ﮠ怀ﱠ怀ﱠ怀ԀƐu怀࠼⻿쀀&#9;ǿ Ȳ怀耀ꮅꈐଂȈȄȄ̂Segoe UIࠀȲ怀&#13;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9;&#10;&#13;#$%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9;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3;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3;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9;㍸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Create/>
      </Event>
      <Event time="2024-01-12T21:39:49.29" id="{49D6B302-54C3-430F-BECD-5487B143C23C}">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9;HGPGothicE਀HGPGothicE਀.ttfЀఀ怀஠怀඀怀ഠ怀ԀƐ滐w怀࠼˿⫇湐ȴ怀耀㌳ଂ&#9;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3;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3;耀ⷰȷ怀&#13;耀.ttfЀ怀怀怀怀Ԁʼ듰u怀࠼ ⽰ȷ怀耀Ԟ큨ଂԈԃȄЈ⼐ȷ怀&#13;耀⻠ȷ怀&#13;耀.ttfЀ怀怀怀怀Ԁɘ듰u怀࠼ だȷ怀耀ԞଂȄԃȄЈ　ȷ怀耀⿐ȷ怀耀.ttfЀ怀怀怀怀ԀĬ듰u怀࠼ ㅐȷ怀耀Ԟ퍤ଂȆԃȄЈヰȷ怀耀ダȷ怀耀.ttfЀ怀怀怀怀ԀƐ듰u怀࠼o耀J ㆰȷ怀耀ᜊ專ଂ̅ĄȂЁEuphemiaࠀEuphemiaࠀ.ttfЀ怀怀怀怀ԀƐ땠u怀࠼/ꀀKက㌰ȷ怀耀宀&#13;܈Ȁ̀㋐ȷ怀耀㉰ȷ怀耀.ttfЀ怀怀怀怀Ԁʼ뗐u怀࠼/ꀀKက㐠ȷ怀耀ᗸ܅Ȁ̀㏀ȷ怀耀㎐ȷ怀耀.ttfЀ怀怀怀怀ԀĬ뗐u怀࠼/ꀀKက㒰ȷ怀耀攨&#13;܅Ȁ̀㒀ȷ怀耀멀ͧ怀 耀.ttfЀ怀怀怀怀ԀƐ뗐u怀࠼/耀J倀Ɠ 㘀ȷ怀耀A喘㕰ȷ怀耀㖠ȷ怀耀.ttfЀ怀怀怀怀Ԁʼ뙀u怀࠼ 㜠ȷ怀耀蔞齘؄ԅȆȂЊ㚐ȷ怀&#13;耀㛀ȷ怀&#13;耀.ttfЀ怀怀怒怀怒怀ԀƐ뚰u怀࠼ 㞀ȷ怀耀鰩؃ȉԄ܂̂ForteԀForteԀ.ttfЀ燎怀燎怀婢怀婢怀ԀƐ뜠u怀࠼ÿꀀ恋倀 㢠ȷ怀耀B㞴㠐ȷ怀&#13;耀㡀ȷ怀&#13;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3;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3;耀두ȷ怀&#13;耀.ttfЀ⺀怀⺀怀⽀怀⽀怀ԀƐ갰u怀࠼ڇ 떠ȷ怀耀♦시༃ȉ̃ȂЂ땀ȷ怀&#13;耀딐ȷ怀耀.ttfЀ⾠怀⾠怀　怀　怀Ԁʼ갰u怀࠼ڇ 뚐ȷ怀耀♦숀༃ȇ̃؂Ђ똰ȷ怀&#13;耀똀ȷ怀耀.ttfЀだ怀だ怀ダ怀ダ怀ԂƐ갰u怀࠼ڇ 뜠ȷ怀耀♦럼༃ȉ̃؂Ђ뛰ȷ怀&#13;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3;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3;耀쯐Ȳ怀耀.ttfЀ怀怀怀怀Ԁʼu怀࠼⛿ꄕ퀀Ɵ 쭰Ȳ怀耀ཛྷ쭀Ȳ怀&#13;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3;耀춰Ȳ怀&#13;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3;耀.ttfЀ怀怀怀怀ԂƐu怀࠼/耀&#10;할Ȳ怀耀B鲼ĂЀĄā́Sagona؀픰Ȳ怀耀.ttfЀ怀怀怀怀ԀƐu怀࠼聇ꀀ횰Ȳ怀耀ޮ獨Ȃ̅ЅȅЃ혠Ȳ怀&#13;耀홐Ȳ怀&#13;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9;ǿ Ȳ怀耀ꮅ튐ଂȅȄȄ̂Segoe UIࠀSegoe UIࠀ.ttfЀﮠ怀ﮠ怀ﱠ怀ﱠ怀ԀƐu怀࠼⻿쀀&#9;ǿ Ȳ怀耀ꮅꈐଂȈȄȄ̂Segoe UIࠀȲ怀&#13;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9;&#10;&#13;#$%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9;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3;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3;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9;㍸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Assign userId="筤⯯&amp;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3;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9;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9;Geography&#10;UniqueNameNameTBDImageNameWP(Admin Division 2 (County/district/other)), P(Admin Division 1 (State/province/other))=P(Admin Division 1 (State/province/other)), P(Country/region)Country/regionDescription115942XLO_Datatypes_Disambig120734182916XLO_Datatypes_Noresults&#13;PowerBIRibbonWorkDataConvert to Organization datamyour organization's data.&#10;&#10;You can expand the data types dropdown to see what data types are available to youPower BIOrganization&#10;UniqueNameNameTBDImageName&#13;P(WikiPageID)kSelect a matching result. To view more results, select Change to specify a data type or modify your search.Powered by Power BI&#13;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3;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ﭺ鿿˰ﰃ鿿镀￵鿿ⷰ൐ｚ鿿䬠串￼⻰䩸串￼䪰串￼賰ﵱ鿿ʐﰃ鿿䫨串￼擸ﰀ鿿⺀䵨裂曷䨠ǵ怀妐曷   䈠則媠怀ﶰ˭怀地曱䜠偎呚䵕₠呚䵕佯ﻨ鿿呚䵕呚䵕Ը赹ꤜ赹䵨蟰씐ǡ怀扰   䈠則媠怀⟠˪怀撐䜠偎呚䵕₠呚䵕乯ﻨ鿿呚䵕呚䵕Ը赹ꤜ赹눀筦⯯9䵨繠烰Ǯ怀痰ǌ( ܰ䈠則媠怀頰˯怀笀䜠偎呚䵕₠呚䵕䱯ﻨ鿿呚䵕呚䵕Ը赹ꤜ赹᱀ҿ瑣牯耐㠔蜸ǠĲ怀耀㠔背㠔à譌㠔ɀ롌㠔ɉ⼠㠕*ば㠕よ㠕Ր嬈㠕㿌高㠖髸㠖汐᳀ʍ怀᳘ʍ怀᳘ʍ怀䵨菰Ǯ怀   䈠則媠怀˫怀䜠偎呚䵕₠呚䵕䩯ﻨ鿿呚䵕呚䵕Ը赹ꤜ赹똀筦⯯&lt;쫄荵老縳痁퍃蒯塿ꎲ퍇规荵蕚硳퍃竼荵老锉碇퍃蒯老쀋ꐩ퍇췄蒯ꜚ퍇잤蒯老蠲ꍺ퍇ᴀ荵⬩隌퍇렀" userName="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3;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9;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9;Geography&#10;UniqueNameNameTBDImageNameWP(Admin Division 2 (County/district/other)), P(Admin Division 1 (State/province/other))=P(Admin Division 1 (State/province/other)), P(Country/region)Country/regionDescription115942XLO_Datatypes_Disambig120734182916XLO_Datatypes_Noresults&#13;PowerBIRibbonWorkDataConvert to Organization datamyour organization's data.&#10;&#10;You can expand the data types dropdown to see what data types are available to youPower BIOrganization&#10;UniqueNameNameTBDImageName&#13;P(WikiPageID)kSelect a matching result. To view more results, select Change to specify a data type or modify your search.Powered by Power BI&#13;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3;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ﭺ鿿˰ﰃ鿿镀￵鿿ⷰ൐ｚ鿿䬠串￼⻰䩸串￼䪰串￼賰ﵱ鿿ʐﰃ鿿䫨串￼擸ﰀ鿿⺀䵨裂曷䨠ǵ怀妐曷   䈠則媠怀ﶰ˭怀地曱䜠偎呚䵕₠呚䵕佯ﻨ鿿呚䵕呚䵕Ը赹ꤜ赹䵨蟰씐ǡ怀扰   䈠則媠怀⟠˪怀撐䜠偎呚䵕₠呚䵕乯ﻨ鿿呚䵕呚䵕Ը赹ꤜ赹눀筦⯯9䵨繠烰Ǯ怀痰ǌ( ܰ䈠則媠怀頰˯怀笀䜠偎呚䵕₠呚䵕䱯ﻨ鿿呚䵕呚䵕Ը赹ꤜ赹᱀ҿ瑣牯耐㠔蜸ǠĲ怀耀㠔背㠔à譌㠔ɀ롌㠔ɉ⼠㠕*ば㠕よ㠕Ր嬈㠕㿌高㠖髸㠖汐᳀ʍ怀᳘ʍ怀᳘ʍ怀䵨菰Ǯ怀   䈠則媠怀˫怀䜠偎呚䵕₠呚䵕䩯ﻨ鿿呚䵕呚䵕Ը赹ꤜ赹똀筦⯯&lt;쫄荵老縳痁퍃蒯塿ꎲ퍇规荵蕚硳퍃竼荵老锉碇퍃蒯老쀋ꐩ퍇췄蒯ꜚ퍇잤蒯老蠲ꍺ퍇ᴀ荵⬩隌퍇렀筦⯯7ꙀÈ怀䍀串￼䊘串￼䌈串￼㞐㠠℘ﭽ鿿ᤐﰃ鿿㢐䋐串￼楸ﰀ鿿ᣠﰃ鿿镸￵鿿༰ｚ鿿묀" userProvider="筤⯯1᱀ҿ瑣牯耐㠔蜸ǠĲ怀耀㠔背㠔à譌㠔ɀ롌㠔ɉ⼠㠕*ば㠕よ㠕Ր嬈㠕㿌高㠖髸㠖汐˪怀˪怀˪怀᱀ҿ瑣牯耐㠔蜸ǠĲ怀耀㠔背㠔à譌㠔ɀ롌㠔ɉ⼠㠕*ば㠕よ㠕Ր嬈㠕㿌高㠖髸㠖汐˪怀˪怀˪怀筤⯯&amp;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3;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9;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9;Geography&#10;UniqueNameNameTBDImageNameWP(Admin Division 2 (County/district/other)), P(Admin Division 1 (State/province/other))=P(Admin Division 1 (State/province/other)), P(Country/region)Country/regionDescription115942XLO_Datatypes_Disambig120734182916XLO_Datatypes_Noresults&#13;PowerBIRibbonWorkDataConvert to Organization datamyour organization's data.&#10;&#10;You can expand the data types dropdown to see what data types are available to youPower BIOrganization&#10;UniqueNameNameTBDImageName&#13;P(WikiPageID)kSelect a matching result. To view more results, select Change to specify a data type or modify your search.Powered by Power BI&#13;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3;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
      </Event>
      <Event time="2024-01-12T21:39:49.29" id="{BF738B53-363A-4490-BED1-157F30676715}">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9;HGPGothicE਀HGPGothicE਀.ttfЀఀ怀஠怀඀怀ഠ怀ԀƐ滐w怀࠼˿⫇湐ȴ怀耀㌳ଂ&#9;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3;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3;耀ⷰȷ怀&#13;耀.ttfЀ怀怀怀怀Ԁʼ듰u怀࠼ ⽰ȷ怀耀Ԟ큨ଂԈԃȄЈ⼐ȷ怀&#13;耀⻠ȷ怀&#13;耀.ttfЀ怀怀怀怀Ԁɘ듰u怀࠼ だȷ怀耀ԞଂȄԃȄЈ　ȷ怀耀⿐ȷ怀耀.ttfЀ怀怀怀怀ԀĬ듰u怀࠼ ㅐȷ怀耀Ԟ퍤ଂȆԃȄЈヰȷ怀耀ダȷ怀耀.ttfЀ怀怀怀怀ԀƐ듰u怀࠼o耀J ㆰȷ怀耀ᜊ專ଂ̅ĄȂЁEuphemiaࠀEuphemiaࠀ.ttfЀ怀怀怀怀ԀƐ땠u怀࠼/ꀀKက㌰ȷ怀耀宀&#13;܈Ȁ̀㋐ȷ怀耀㉰ȷ怀耀.ttfЀ怀怀怀怀Ԁʼ뗐u怀࠼/ꀀKက㐠ȷ怀耀ᗸ܅Ȁ̀㏀ȷ怀耀㎐ȷ怀耀.ttfЀ怀怀怀怀ԀĬ뗐u怀࠼/ꀀKက㒰ȷ怀耀攨&#13;܅Ȁ̀㒀ȷ怀耀멀ͧ怀 耀.ttfЀ怀怀怀怀ԀƐ뗐u怀࠼/耀J倀Ɠ 㘀ȷ怀耀A喘㕰ȷ怀耀㖠ȷ怀耀.ttfЀ怀怀怀怀Ԁʼ뙀u怀࠼ 㜠ȷ怀耀蔞齘؄ԅȆȂЊ㚐ȷ怀&#13;耀㛀ȷ怀&#13;耀.ttfЀ怀怀怒怀怒怀ԀƐ뚰u怀࠼ 㞀ȷ怀耀鰩؃ȉԄ܂̂ForteԀForteԀ.ttfЀ燎怀燎怀婢怀婢怀ԀƐ뜠u怀࠼ÿꀀ恋倀 㢠ȷ怀耀B㞴㠐ȷ怀&#13;耀㡀ȷ怀&#13;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3;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3;耀두ȷ怀&#13;耀.ttfЀ⺀怀⺀怀⽀怀⽀怀ԀƐ갰u怀࠼ڇ 떠ȷ怀耀♦시༃ȉ̃ȂЂ땀ȷ怀&#13;耀딐ȷ怀耀.ttfЀ⾠怀⾠怀　怀　怀Ԁʼ갰u怀࠼ڇ 뚐ȷ怀耀♦숀༃ȇ̃؂Ђ똰ȷ怀&#13;耀똀ȷ怀耀.ttfЀだ怀だ怀ダ怀ダ怀ԂƐ갰u怀࠼ڇ 뜠ȷ怀耀♦럼༃ȉ̃؂Ђ뛰ȷ怀&#13;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3;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3;耀쯐Ȳ怀耀.ttfЀ怀怀怀怀Ԁʼu怀࠼⛿ꄕ퀀Ɵ 쭰Ȳ怀耀ཛྷ쭀Ȳ怀&#13;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3;耀춰Ȳ怀&#13;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3;耀.ttfЀ怀怀怀怀ԂƐu怀࠼/耀&#10;할Ȳ怀耀B鲼ĂЀĄā́Sagona؀픰Ȳ怀耀.ttfЀ怀怀怀怀ԀƐu怀࠼聇ꀀ횰Ȳ怀耀ޮ獨Ȃ̅ЅȅЃ혠Ȳ怀&#13;耀홐Ȳ怀&#13;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9;ǿ Ȳ怀耀ꮅ튐ଂȅȄȄ̂Segoe UIࠀSegoe UIࠀ.ttfЀﮠ怀ﮠ怀ﱠ怀ﱠ怀ԀƐu怀࠼⻿쀀&#9;ǿ Ȳ怀耀ꮅꈐଂȈȄȄ̂Segoe UIࠀȲ怀&#13;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9;&#10;&#13;#$%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9;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3;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3;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9;㍸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SetTitle title="@Guoxin Sun (Student)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138112</xdr:colOff>
      <xdr:row>1</xdr:row>
      <xdr:rowOff>71437</xdr:rowOff>
    </xdr:from>
    <xdr:to>
      <xdr:col>10</xdr:col>
      <xdr:colOff>442912</xdr:colOff>
      <xdr:row>15</xdr:row>
      <xdr:rowOff>147637</xdr:rowOff>
    </xdr:to>
    <xdr:graphicFrame macro="">
      <xdr:nvGraphicFramePr>
        <xdr:cNvPr id="2" name="Chart 1">
          <a:extLst>
            <a:ext uri="{FF2B5EF4-FFF2-40B4-BE49-F238E27FC236}">
              <a16:creationId xmlns:a16="http://schemas.microsoft.com/office/drawing/2014/main" id="{05237DED-7BB7-229A-2163-9A28BF4E0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50</xdr:row>
      <xdr:rowOff>0</xdr:rowOff>
    </xdr:from>
    <xdr:to>
      <xdr:col>10</xdr:col>
      <xdr:colOff>177800</xdr:colOff>
      <xdr:row>55</xdr:row>
      <xdr:rowOff>12700</xdr:rowOff>
    </xdr:to>
    <xdr:pic>
      <xdr:nvPicPr>
        <xdr:cNvPr id="2" name="Picture 1">
          <a:extLst>
            <a:ext uri="{FF2B5EF4-FFF2-40B4-BE49-F238E27FC236}">
              <a16:creationId xmlns:a16="http://schemas.microsoft.com/office/drawing/2014/main" id="{BA54CDA2-7435-8B88-B52E-5AD5A86291E7}"/>
            </a:ext>
          </a:extLst>
        </xdr:cNvPr>
        <xdr:cNvPicPr>
          <a:picLocks noChangeAspect="1"/>
        </xdr:cNvPicPr>
      </xdr:nvPicPr>
      <xdr:blipFill>
        <a:blip xmlns:r="http://schemas.openxmlformats.org/officeDocument/2006/relationships" r:embed="rId1"/>
        <a:stretch>
          <a:fillRect/>
        </a:stretch>
      </xdr:blipFill>
      <xdr:spPr>
        <a:xfrm>
          <a:off x="14833600" y="9525000"/>
          <a:ext cx="3594100" cy="965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oxin Sun (Student)" id="{548949A6-5103-A34C-A07A-141873E28DD5}" userId="gsun20@sundevils.asu.edu" providerId="PeoplePicker"/>
  <person displayName="ankita sharma (Student)" id="{B4BE5890-FF70-1B45-A747-DDE27A991EA3}" userId="S::ashar236@sundevils.asu.edu::b455b38d-9bbc-4afe-9b2d-22e62aa05ef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78.532463310185" createdVersion="8" refreshedVersion="8" minRefreshableVersion="3" recordCount="57" xr:uid="{5AA5C9D1-1D6F-430D-ADD2-43575C0815F4}">
  <cacheSource type="worksheet">
    <worksheetSource ref="A1:K58" sheet="Sheet1"/>
  </cacheSource>
  <cacheFields count="4">
    <cacheField name="Target" numFmtId="0">
      <sharedItems/>
    </cacheField>
    <cacheField name="Success Once" numFmtId="0">
      <sharedItems/>
    </cacheField>
    <cacheField name="Type" numFmtId="0">
      <sharedItems count="4">
        <s v="Success"/>
        <s v="Length Mismatch"/>
        <s v="Similarity Score Issue"/>
        <s v="Syntax Error"/>
      </sharedItems>
    </cacheField>
    <cacheField name="Detail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78.536884490743" createdVersion="8" refreshedVersion="8" minRefreshableVersion="3" recordCount="58" xr:uid="{ED66BDA1-EC3C-419D-9A3F-31B0817380AB}">
  <cacheSource type="worksheet">
    <worksheetSource ref="A1:K1048576" sheet="Sheet1"/>
  </cacheSource>
  <cacheFields count="4">
    <cacheField name="Target" numFmtId="0">
      <sharedItems containsBlank="1" count="58">
        <s v="Target1_3"/>
        <s v="Target1_4"/>
        <s v="Target1_6"/>
        <s v="Target1_9"/>
        <s v="Target1_10"/>
        <s v="Target1_11"/>
        <s v="Target1_13"/>
        <s v="Target1_16"/>
        <s v="Target1_18"/>
        <s v="Target1_20"/>
        <s v="Target1_21"/>
        <s v="Target1_22"/>
        <s v="Target1_23"/>
        <s v="Target1_24"/>
        <s v="Target1_27"/>
        <s v="Target1_29"/>
        <s v="Target1_34"/>
        <s v="Target1_35"/>
        <s v="Target1_38"/>
        <s v="Target1_40"/>
        <s v="Target1_41"/>
        <s v="Target1_43"/>
        <s v="Target1_44"/>
        <s v="Target1_46"/>
        <s v="Target1_48"/>
        <s v="Target1_52"/>
        <s v="Target1_53"/>
        <s v="Target1_54"/>
        <s v="Target1_55"/>
        <s v="Target1_57"/>
        <s v="Target1_59"/>
        <s v="Target1_60"/>
        <s v="Target1_61"/>
        <s v="Target1_62"/>
        <s v="Target1_65"/>
        <s v="Target1_67"/>
        <s v="Target1_68"/>
        <s v="Target1_71"/>
        <s v="Target1_72"/>
        <s v="Target1_75"/>
        <s v="Target1_77"/>
        <s v="Target1_78"/>
        <s v="Target1_80"/>
        <s v="Target1_81"/>
        <s v="Target1_82"/>
        <s v="Target1_84"/>
        <s v="Target1_86"/>
        <s v="Target1_87"/>
        <s v="Target1_88"/>
        <s v="Target1_89"/>
        <s v="Target1_90"/>
        <s v="Target1_91"/>
        <s v="Target1_92"/>
        <s v="Target1_93"/>
        <s v="Target1_95"/>
        <s v="Target1_97"/>
        <s v="Target1_99"/>
        <m/>
      </sharedItems>
    </cacheField>
    <cacheField name="Success Once" numFmtId="0">
      <sharedItems containsBlank="1"/>
    </cacheField>
    <cacheField name="Type" numFmtId="0">
      <sharedItems containsBlank="1" count="5">
        <s v="Success"/>
        <s v="Length Mismatch"/>
        <s v="Similarity Score Issue"/>
        <s v="Syntax Error"/>
        <m/>
      </sharedItems>
    </cacheField>
    <cacheField name="Details" numFmtId="0">
      <sharedItems containsBlank="1" count="21">
        <s v="Execution successful without errors."/>
        <s v="Mismatch - Lists lengths differ'"/>
        <s v="Scores: 1.0, 0.9982; Case accuracy: 1.00"/>
        <m/>
        <s v="Scores: 1.0, 0.5758; Case accuracy: 0.79"/>
        <s v="Malformed array literal 'IGHJ5*02'; Execution successful without errors."/>
        <s v="Mismatch - Lists lengths differ'; Execution successful without errors."/>
        <s v=" Error in the previous response: Error: ERROR:  invalid input syntax for type integer: &quot;30.0&quot;_x000a_CONTEXT:  COPY source1_40_0, line 2, column quantityordered: &quot;30.0&quot;"/>
        <s v=" Error in the previous response: Error: ERROR:  invalid input syntax for type numeric: &quot;*&quot;_x000a_CONTEXT:  COPY source1_44_0, line 26, column Value: &quot;*&quot;"/>
        <s v="Syntax error at or near &quot;Finish&quot;; Execution successful without errors."/>
        <s v=" Error in the previous response: Error: ERROR:  invalid input syntax for type integer: &quot;2.0&quot;_x000a_CONTEXT:  COPY source1_59_0, line 2, column orderlinenumber: &quot;2.0&quot;"/>
        <s v="Scores: 0.9895, 1.0, 1.0; Case accuracy: 1.00"/>
        <s v=" Error in the previous response: Error: ERROR:  syntax error at or near &quot;User&quot;_x000a_LINE 23:     User TEXT,"/>
        <s v="Scores: 1.0, 0.0285; Case accuracy: 0.51"/>
        <s v=" Error in the previous response: Error: ERROR:  date/time field value out of range: &quot;24/03/2019&quot;_x000a_HINT:  Perhaps you need a different &quot;datestyle&quot; setting._x000a_CONTEXT:  COPY source1_88_0, line 2, column date_of_journey: &quot;24/03/2019&quot;"/>
        <s v="_x0009_Error in the previous response: Error: ERROR:  invalid input syntax for type date: &quot;date&quot;_x000a_CONTEXT:  COPY source1_89_0, line 2, column date: &quot;date&quot;"/>
        <s v="Error in the previous response: Error: ERROR:  invalid input syntax for type bigint: &quot;8.874739571039519e+17&quot;_x000a_CONTEXT:  COPY source1_90_0, line 21, column retweeted_status_id: &quot;8.874739571039519e+17&quot;"/>
        <s v="_x0009_Error in the previous response: Error: ERROR:  invalid input syntax for type numeric: &quot;&quot;_x000a_CONTEXT:  COPY source1_91_0, line 2, column market_value: &quot;&quot;"/>
        <s v="Scores: 1.0, 0.98, 0.96; Case accuracy: 0.98"/>
        <s v="_x0009_Error in the previous response: Error: ERROR:  invalid input syntax for type numeric: &quot;&quot;_x000a_CONTEXT:  COPY source1_93_0, line 2, column bet: &quot;&quot;"/>
        <s v="Syntax Error: Finish; Scores: 1.0, 0.0; Case accuracy: 0.5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94.891180787039" createdVersion="8" refreshedVersion="8" minRefreshableVersion="3" recordCount="58" xr:uid="{B8A66D8C-4E69-4C7A-9FBA-8FD457B28029}">
  <cacheSource type="worksheet">
    <worksheetSource ref="C1:C1048576" sheet="Sheet1"/>
  </cacheSource>
  <cacheFields count="1">
    <cacheField name="After Fix" numFmtId="0">
      <sharedItems containsBlank="1" count="18">
        <s v="Success"/>
        <s v="Need Domain Knowledge - Aggregation target"/>
        <s v="Failed - failed to aggregate - low entropy - domain knowledge"/>
        <s v="Need Domain Knowledge - Aggregation function"/>
        <s v="Failed - failed to aggregate - low entropy - data type change"/>
        <s v="Bad Case - task makes no sense"/>
        <s v="Success* bad test case : Dec_2012 vs Dec_2013"/>
        <s v="Success*  grouped by continent - did not remove the empty continent - I would not call this failed.."/>
        <s v="Failed - failed to aggregate - low entropy - domain knowledge/ did not do count"/>
        <s v="Success*  grouped by continent - did not remove the empty fac_type - I would not call this failed.."/>
        <s v="Need Domain Knowledge - Use Aggregation or not"/>
        <s v="Success*  grouped by continent - did not remove the empty conservation_status - I would not call this failed.."/>
        <s v="Need Domain Knowledge - Rare case/ expectation"/>
        <s v="Success - next iteration"/>
        <s v="Failed - failed to aggregate - low entropy - domain knowledge - hard (newest date)"/>
        <s v="Need Domain Knowledge - expectation/ count on which"/>
        <s v="Failed - did not figured ou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303.578419328704" createdVersion="8" refreshedVersion="8" minRefreshableVersion="3" recordCount="58" xr:uid="{A7311121-5FAE-D14B-BD6D-989EE05ED2F4}">
  <cacheSource type="worksheet">
    <worksheetSource ref="A1:H1048576" sheet="Sheet1"/>
  </cacheSource>
  <cacheFields count="7">
    <cacheField name="Target" numFmtId="0">
      <sharedItems containsBlank="1" count="58">
        <s v="Target1_3"/>
        <s v="Target1_4"/>
        <s v="Target1_6"/>
        <s v="Target1_9"/>
        <s v="Target1_10"/>
        <s v="Target1_11"/>
        <s v="Target1_13"/>
        <s v="Target1_16"/>
        <s v="Target1_18"/>
        <s v="Target1_20"/>
        <s v="Target1_21"/>
        <s v="Target1_22"/>
        <s v="Target1_23"/>
        <s v="Target1_24"/>
        <s v="Target1_27"/>
        <s v="Target1_29"/>
        <s v="Target1_34"/>
        <s v="Target1_35"/>
        <s v="Target1_38"/>
        <s v="Target1_40"/>
        <s v="Target1_41"/>
        <s v="Target1_43"/>
        <s v="Target1_44"/>
        <s v="Target1_46"/>
        <s v="Target1_48"/>
        <s v="Target1_52"/>
        <s v="Target1_53"/>
        <s v="Target1_54"/>
        <s v="Target1_55"/>
        <s v="Target1_57"/>
        <s v="Target1_59"/>
        <s v="Target1_60"/>
        <s v="Target1_61"/>
        <s v="Target1_62"/>
        <s v="Target1_65"/>
        <s v="Target1_67"/>
        <s v="Target1_68"/>
        <s v="Target1_71"/>
        <s v="Target1_72"/>
        <s v="Target1_75"/>
        <s v="Target1_77"/>
        <s v="Target1_78"/>
        <s v="Target1_80"/>
        <s v="Target1_81"/>
        <s v="Target1_82"/>
        <s v="Target1_84"/>
        <s v="Target1_86"/>
        <s v="Target1_87"/>
        <s v="Target1_88"/>
        <s v="Target1_89"/>
        <s v="Target1_90"/>
        <s v="Target1_91"/>
        <s v="Target1_92"/>
        <s v="Target1_93"/>
        <s v="Target1_95"/>
        <s v="Target1_97"/>
        <s v="Target1_99"/>
        <m/>
      </sharedItems>
    </cacheField>
    <cacheField name="Success Once" numFmtId="0">
      <sharedItems containsBlank="1"/>
    </cacheField>
    <cacheField name="After Fix" numFmtId="0">
      <sharedItems containsBlank="1"/>
    </cacheField>
    <cacheField name="Ankita's baseline without target samples" numFmtId="0">
      <sharedItems containsBlank="1" containsMixedTypes="1" containsNumber="1" containsInteger="1" minValue="0" maxValue="1"/>
    </cacheField>
    <cacheField name="one_big_prompt" numFmtId="0">
      <sharedItems containsBlank="1"/>
    </cacheField>
    <cacheField name="one_big_prompt_5itrs" numFmtId="0">
      <sharedItems containsBlank="1"/>
    </cacheField>
    <cacheField name="overall_big_prompt_no_fewshot_no_detailed intruction" numFmtId="0">
      <sharedItems containsBlank="1" count="35">
        <s v="Success v.s. Success"/>
        <s v="Success v.s. Failed --&gt; Success"/>
        <s v="Need Domain Knowledge - Aggregation target v.s. Failed  --&gt; Failed"/>
        <s v="Success - next iteration v.s. Success"/>
        <s v="Failed - failed to aggregate - low entropy - domain knowledge v.s. Failed --&gt; Failed"/>
        <s v="Success - preprocessing v.s. Failed - syntax --&gt; Success"/>
        <s v="Failed - failed to aggregate - low entropy - domain knowledge v.s. Failed"/>
        <s v="Need Domain Knowledge - Aggregation function v.s. Failed"/>
        <s v="Success - preprocessing v.s. Failed --&gt; Success - takes more itr?"/>
        <s v="Failed - failed to aggregate - low entropy - data type change v.s. Failed"/>
        <s v="Bad Case - task makes no sense v.s. Failed"/>
        <s v="Success* bad test case : Dec_2012 vs Dec_2013 v.s. Failed --&gt; Success* bad test case : Dec_2012 vs Dec_2013"/>
        <s v="Success* bad test case : Dec_2012 vs Dec_2013 v.s. Success*"/>
        <s v="Success*  grouped by continent - did not remove the empty continent - I would not call this failed.. v.s. Success*"/>
        <s v="Success v.s. Failed* VERY CLOSE.. CHECK"/>
        <s v="Success v.s. Failed --&gt; Success-itr2"/>
        <s v="Success - preprocessing v.s. Success"/>
        <s v="Failed - failed to aggregate - low entropy - domain knowledge v.s. Success** DID BETTER!!! BY CHANCE I GUESS.. "/>
        <s v="Success v.s. Failed - DID NOT DO SUBSTRING --&gt; Success"/>
        <s v="Success v.s. Failed"/>
        <s v="Failed - failed to aggregate - low entropy - domain knowledge/ did not do count v.s. Failed"/>
        <s v="Success*  grouped by continent - did not remove the empty fac_type - I would not call this failed.. v.s. Success*"/>
        <s v="Need Domain Knowledge - Use Aggregation or not v.s. Failed"/>
        <s v="Success*  grouped by continent - did not remove the empty conservation_status - I would not call this failed.. v.s. Success*"/>
        <s v="Need Domain Knowledge - Rare case/ expectation v.s. Failed"/>
        <s v="Success - next iteration v.s. GUESS IT CAN SUCCESS --&gt; Success"/>
        <s v="Success - next iteration v.s. Failed"/>
        <s v="Failed - failed to aggregate - low entropy - domain knowledge - hard (newest date) v.s. Failed"/>
        <s v="Need Domain Knowledge - expectation/ count on which v.s. Failed --&gt; Success - by luck"/>
        <s v="Failed - did not figured out v.s. Failed"/>
        <m/>
        <s v="Success* bad test case : Dec_2012 vs Dec_2013 v.s. Failed" u="1"/>
        <s v="Success - next iteration v.s. GUESS IT CAN SUCCESS" u="1"/>
        <s v="Success v.s. Failed --&gt; Failed" u="1"/>
        <s v="Success v.s. Failed - syntax --&gt; Succ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s v="Target1_3"/>
    <s v="Success"/>
    <x v="0"/>
    <s v="Execution successful without errors."/>
  </r>
  <r>
    <s v="Target1_4"/>
    <s v="Success"/>
    <x v="0"/>
    <s v="Execution successful without errors."/>
  </r>
  <r>
    <s v="Target1_6"/>
    <s v="Success"/>
    <x v="0"/>
    <s v="Execution successful without errors."/>
  </r>
  <r>
    <s v="Target1_9"/>
    <s v="Failed"/>
    <x v="1"/>
    <s v="Mismatch - Lists lengths differ'"/>
  </r>
  <r>
    <s v="Target1_10"/>
    <s v="Failed"/>
    <x v="2"/>
    <s v="Scores: 1.0, 0.9982; Case accuracy: 1.00"/>
  </r>
  <r>
    <s v="Target1_11"/>
    <s v="Success"/>
    <x v="0"/>
    <s v="Execution successful without errors."/>
  </r>
  <r>
    <s v="Target1_13"/>
    <s v="Failed"/>
    <x v="1"/>
    <s v="Mismatch - Lists lengths differ'"/>
  </r>
  <r>
    <s v="Target1_16"/>
    <s v="Failed"/>
    <x v="2"/>
    <m/>
  </r>
  <r>
    <s v="Target1_18"/>
    <s v="Failed"/>
    <x v="1"/>
    <s v="Mismatch - Lists lengths differ'"/>
  </r>
  <r>
    <s v="Target1_20"/>
    <s v="Success"/>
    <x v="0"/>
    <s v="Execution successful without errors."/>
  </r>
  <r>
    <s v="Target1_21"/>
    <s v="Success"/>
    <x v="0"/>
    <s v="Execution successful without errors."/>
  </r>
  <r>
    <s v="Target1_22"/>
    <s v="Failed"/>
    <x v="1"/>
    <s v="Mismatch - Lists lengths differ'"/>
  </r>
  <r>
    <s v="Target1_23"/>
    <s v="Failed"/>
    <x v="2"/>
    <s v="Scores: 1.0, 0.5758; Case accuracy: 0.79"/>
  </r>
  <r>
    <s v="Target1_24"/>
    <s v="Failed"/>
    <x v="1"/>
    <s v="Mismatch - Lists lengths differ'"/>
  </r>
  <r>
    <s v="Target1_27"/>
    <s v="Failed"/>
    <x v="1"/>
    <s v="Mismatch - Lists lengths differ'"/>
  </r>
  <r>
    <s v="Target1_29"/>
    <s v="Success"/>
    <x v="0"/>
    <s v="Execution successful without errors."/>
  </r>
  <r>
    <s v="Target1_34"/>
    <s v="Success"/>
    <x v="0"/>
    <s v="Malformed array literal 'IGHJ5*02'; Execution successful without errors."/>
  </r>
  <r>
    <s v="Target1_35"/>
    <s v="Success"/>
    <x v="0"/>
    <s v="Mismatch - Lists lengths differ'; Execution successful without errors."/>
  </r>
  <r>
    <s v="Target1_38"/>
    <s v="Success"/>
    <x v="0"/>
    <s v="Execution successful without errors."/>
  </r>
  <r>
    <s v="Target1_40"/>
    <s v="Failed"/>
    <x v="3"/>
    <s v=" Error in the previous response: Error: ERROR:  invalid input syntax for type integer: &quot;30.0&quot;_x000a_CONTEXT:  COPY source1_40_0, line 2, column quantityordered: &quot;30.0&quot;"/>
  </r>
  <r>
    <s v="Target1_41"/>
    <s v="Failed"/>
    <x v="1"/>
    <s v="Mismatch - Lists lengths differ'"/>
  </r>
  <r>
    <s v="Target1_43"/>
    <s v="Failed"/>
    <x v="1"/>
    <s v="Mismatch - Lists lengths differ'"/>
  </r>
  <r>
    <s v="Target1_44"/>
    <s v="Failed"/>
    <x v="3"/>
    <s v=" Error in the previous response: Error: ERROR:  invalid input syntax for type numeric: &quot;*&quot;_x000a_CONTEXT:  COPY source1_44_0, line 26, column Value: &quot;*&quot;"/>
  </r>
  <r>
    <s v="Target1_46"/>
    <s v="Failed"/>
    <x v="1"/>
    <s v="Mismatch - Lists lengths differ'"/>
  </r>
  <r>
    <s v="Target1_48"/>
    <s v="Failed"/>
    <x v="1"/>
    <s v="Mismatch - Lists lengths differ'"/>
  </r>
  <r>
    <s v="Target1_52"/>
    <s v="Failed"/>
    <x v="1"/>
    <s v="Mismatch - Lists lengths differ'"/>
  </r>
  <r>
    <s v="Target1_53"/>
    <s v="Failed"/>
    <x v="1"/>
    <s v="Mismatch - Lists lengths differ'"/>
  </r>
  <r>
    <s v="Target1_54"/>
    <s v="Failed"/>
    <x v="1"/>
    <s v="Mismatch - Lists lengths differ'"/>
  </r>
  <r>
    <s v="Target1_55"/>
    <s v="Success"/>
    <x v="0"/>
    <s v="Execution successful without errors."/>
  </r>
  <r>
    <s v="Target1_57"/>
    <s v="Success"/>
    <x v="0"/>
    <s v="Syntax error at or near &quot;Finish&quot;; Execution successful without errors."/>
  </r>
  <r>
    <s v="Target1_59"/>
    <s v="Failed"/>
    <x v="3"/>
    <s v=" Error in the previous response: Error: ERROR:  invalid input syntax for type integer: &quot;2.0&quot;_x000a_CONTEXT:  COPY source1_59_0, line 2, column orderlinenumber: &quot;2.0&quot;"/>
  </r>
  <r>
    <s v="Target1_60"/>
    <s v="Success"/>
    <x v="0"/>
    <s v="Execution successful without errors."/>
  </r>
  <r>
    <s v="Target1_61"/>
    <s v="Failed"/>
    <x v="1"/>
    <s v="Mismatch - Lists lengths differ'"/>
  </r>
  <r>
    <s v="Target1_62"/>
    <s v="Failed"/>
    <x v="2"/>
    <s v="Scores: 0.9895, 1.0, 1.0; Case accuracy: 1.00"/>
  </r>
  <r>
    <s v="Target1_65"/>
    <s v="Success"/>
    <x v="0"/>
    <s v="Execution successful without errors."/>
  </r>
  <r>
    <s v="Target1_67"/>
    <s v="Success"/>
    <x v="0"/>
    <s v="Execution successful without errors."/>
  </r>
  <r>
    <s v="Target1_68"/>
    <s v="Success"/>
    <x v="0"/>
    <s v="Execution successful without errors."/>
  </r>
  <r>
    <s v="Target1_71"/>
    <s v="Success"/>
    <x v="0"/>
    <s v="Execution successful without errors."/>
  </r>
  <r>
    <s v="Target1_72"/>
    <s v="Success"/>
    <x v="0"/>
    <s v="Execution successful without errors."/>
  </r>
  <r>
    <s v="Target1_75"/>
    <s v="Failed"/>
    <x v="1"/>
    <s v="Mismatch - Lists lengths differ'"/>
  </r>
  <r>
    <s v="Target1_77"/>
    <s v="Failed"/>
    <x v="1"/>
    <s v="Mismatch - Lists lengths differ'"/>
  </r>
  <r>
    <s v="Target1_78"/>
    <s v="Failed"/>
    <x v="3"/>
    <s v=" Error in the previous response: Error: ERROR:  syntax error at or near &quot;User&quot;_x000a_LINE 23:     User TEXT,"/>
  </r>
  <r>
    <s v="Target1_80"/>
    <s v="Success"/>
    <x v="0"/>
    <s v="Execution successful without errors."/>
  </r>
  <r>
    <s v="Target1_81"/>
    <s v="Failed"/>
    <x v="1"/>
    <s v="Mismatch - Lists lengths differ'"/>
  </r>
  <r>
    <s v="Target1_82"/>
    <s v="Failed"/>
    <x v="1"/>
    <s v="Mismatch - Lists lengths differ'"/>
  </r>
  <r>
    <s v="Target1_84"/>
    <s v="Success"/>
    <x v="0"/>
    <s v="Execution successful without errors."/>
  </r>
  <r>
    <s v="Target1_86"/>
    <s v="Failed"/>
    <x v="2"/>
    <s v="Scores: 1.0, 0.0285; Case accuracy: 0.51"/>
  </r>
  <r>
    <s v="Target1_87"/>
    <s v="Failed"/>
    <x v="1"/>
    <s v="Mismatch - Lists lengths differ'"/>
  </r>
  <r>
    <s v="Target1_88"/>
    <s v="Failed"/>
    <x v="3"/>
    <s v=" Error in the previous response: Error: ERROR:  date/time field value out of range: &quot;24/03/2019&quot;_x000a_HINT:  Perhaps you need a different &quot;datestyle&quot; setting._x000a_CONTEXT:  COPY source1_88_0, line 2, column date_of_journey: &quot;24/03/2019&quot;"/>
  </r>
  <r>
    <s v="Target1_89"/>
    <s v="Failed"/>
    <x v="3"/>
    <s v="_x0009_Error in the previous response: Error: ERROR:  invalid input syntax for type date: &quot;date&quot;_x000a_CONTEXT:  COPY source1_89_0, line 2, column date: &quot;date&quot;"/>
  </r>
  <r>
    <s v="Target1_90"/>
    <s v="Failed"/>
    <x v="3"/>
    <s v="Error in the previous response: Error: ERROR:  invalid input syntax for type bigint: &quot;8.874739571039519e+17&quot;_x000a_CONTEXT:  COPY source1_90_0, line 21, column retweeted_status_id: &quot;8.874739571039519e+17&quot;"/>
  </r>
  <r>
    <s v="Target1_91"/>
    <s v="Failed"/>
    <x v="3"/>
    <s v="_x0009_Error in the previous response: Error: ERROR:  invalid input syntax for type numeric: &quot;&quot;_x000a_CONTEXT:  COPY source1_91_0, line 2, column market_value: &quot;&quot;"/>
  </r>
  <r>
    <s v="Target1_92"/>
    <s v="Failed"/>
    <x v="3"/>
    <s v="Scores: 1.0, 0.98, 0.96; Case accuracy: 0.98"/>
  </r>
  <r>
    <s v="Target1_93"/>
    <s v="Failed"/>
    <x v="3"/>
    <s v="_x0009_Error in the previous response: Error: ERROR:  invalid input syntax for type numeric: &quot;&quot;_x000a_CONTEXT:  COPY source1_93_0, line 2, column bet: &quot;&quot;"/>
  </r>
  <r>
    <s v="Target1_95"/>
    <s v="Failed"/>
    <x v="1"/>
    <s v="Mismatch - Lists lengths differ'"/>
  </r>
  <r>
    <s v="Target1_97"/>
    <s v="Failed"/>
    <x v="2"/>
    <s v="Syntax Error: Finish; Scores: 1.0, 0.0; Case accuracy: 0.50"/>
  </r>
  <r>
    <s v="Target1_99"/>
    <s v="Failed"/>
    <x v="1"/>
    <s v="Mismatch - Lists lengths diff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s v="Success"/>
    <x v="0"/>
    <x v="0"/>
  </r>
  <r>
    <x v="1"/>
    <s v="Success"/>
    <x v="0"/>
    <x v="0"/>
  </r>
  <r>
    <x v="2"/>
    <s v="Success"/>
    <x v="0"/>
    <x v="0"/>
  </r>
  <r>
    <x v="3"/>
    <s v="Failed"/>
    <x v="1"/>
    <x v="1"/>
  </r>
  <r>
    <x v="4"/>
    <s v="Failed"/>
    <x v="2"/>
    <x v="2"/>
  </r>
  <r>
    <x v="5"/>
    <s v="Success"/>
    <x v="0"/>
    <x v="0"/>
  </r>
  <r>
    <x v="6"/>
    <s v="Failed"/>
    <x v="1"/>
    <x v="1"/>
  </r>
  <r>
    <x v="7"/>
    <s v="Failed"/>
    <x v="2"/>
    <x v="3"/>
  </r>
  <r>
    <x v="8"/>
    <s v="Failed"/>
    <x v="1"/>
    <x v="1"/>
  </r>
  <r>
    <x v="9"/>
    <s v="Success"/>
    <x v="0"/>
    <x v="0"/>
  </r>
  <r>
    <x v="10"/>
    <s v="Success"/>
    <x v="0"/>
    <x v="0"/>
  </r>
  <r>
    <x v="11"/>
    <s v="Failed"/>
    <x v="1"/>
    <x v="1"/>
  </r>
  <r>
    <x v="12"/>
    <s v="Failed"/>
    <x v="2"/>
    <x v="4"/>
  </r>
  <r>
    <x v="13"/>
    <s v="Failed"/>
    <x v="1"/>
    <x v="1"/>
  </r>
  <r>
    <x v="14"/>
    <s v="Failed"/>
    <x v="1"/>
    <x v="1"/>
  </r>
  <r>
    <x v="15"/>
    <s v="Success"/>
    <x v="0"/>
    <x v="0"/>
  </r>
  <r>
    <x v="16"/>
    <s v="Success"/>
    <x v="0"/>
    <x v="5"/>
  </r>
  <r>
    <x v="17"/>
    <s v="Success"/>
    <x v="0"/>
    <x v="6"/>
  </r>
  <r>
    <x v="18"/>
    <s v="Success"/>
    <x v="0"/>
    <x v="0"/>
  </r>
  <r>
    <x v="19"/>
    <s v="Failed"/>
    <x v="3"/>
    <x v="7"/>
  </r>
  <r>
    <x v="20"/>
    <s v="Failed"/>
    <x v="1"/>
    <x v="1"/>
  </r>
  <r>
    <x v="21"/>
    <s v="Failed"/>
    <x v="1"/>
    <x v="1"/>
  </r>
  <r>
    <x v="22"/>
    <s v="Failed"/>
    <x v="3"/>
    <x v="8"/>
  </r>
  <r>
    <x v="23"/>
    <s v="Failed"/>
    <x v="1"/>
    <x v="1"/>
  </r>
  <r>
    <x v="24"/>
    <s v="Failed"/>
    <x v="1"/>
    <x v="1"/>
  </r>
  <r>
    <x v="25"/>
    <s v="Failed"/>
    <x v="1"/>
    <x v="1"/>
  </r>
  <r>
    <x v="26"/>
    <s v="Failed"/>
    <x v="1"/>
    <x v="1"/>
  </r>
  <r>
    <x v="27"/>
    <s v="Failed"/>
    <x v="1"/>
    <x v="1"/>
  </r>
  <r>
    <x v="28"/>
    <s v="Success"/>
    <x v="0"/>
    <x v="0"/>
  </r>
  <r>
    <x v="29"/>
    <s v="Success"/>
    <x v="0"/>
    <x v="9"/>
  </r>
  <r>
    <x v="30"/>
    <s v="Failed"/>
    <x v="3"/>
    <x v="10"/>
  </r>
  <r>
    <x v="31"/>
    <s v="Success"/>
    <x v="0"/>
    <x v="0"/>
  </r>
  <r>
    <x v="32"/>
    <s v="Failed"/>
    <x v="1"/>
    <x v="1"/>
  </r>
  <r>
    <x v="33"/>
    <s v="Failed"/>
    <x v="2"/>
    <x v="11"/>
  </r>
  <r>
    <x v="34"/>
    <s v="Success"/>
    <x v="0"/>
    <x v="0"/>
  </r>
  <r>
    <x v="35"/>
    <s v="Success"/>
    <x v="0"/>
    <x v="0"/>
  </r>
  <r>
    <x v="36"/>
    <s v="Success"/>
    <x v="0"/>
    <x v="0"/>
  </r>
  <r>
    <x v="37"/>
    <s v="Success"/>
    <x v="0"/>
    <x v="0"/>
  </r>
  <r>
    <x v="38"/>
    <s v="Success"/>
    <x v="0"/>
    <x v="0"/>
  </r>
  <r>
    <x v="39"/>
    <s v="Failed"/>
    <x v="1"/>
    <x v="1"/>
  </r>
  <r>
    <x v="40"/>
    <s v="Failed"/>
    <x v="1"/>
    <x v="1"/>
  </r>
  <r>
    <x v="41"/>
    <s v="Failed"/>
    <x v="3"/>
    <x v="12"/>
  </r>
  <r>
    <x v="42"/>
    <s v="Success"/>
    <x v="0"/>
    <x v="0"/>
  </r>
  <r>
    <x v="43"/>
    <s v="Failed"/>
    <x v="1"/>
    <x v="1"/>
  </r>
  <r>
    <x v="44"/>
    <s v="Failed"/>
    <x v="1"/>
    <x v="1"/>
  </r>
  <r>
    <x v="45"/>
    <s v="Success"/>
    <x v="0"/>
    <x v="0"/>
  </r>
  <r>
    <x v="46"/>
    <s v="Failed"/>
    <x v="2"/>
    <x v="13"/>
  </r>
  <r>
    <x v="47"/>
    <s v="Failed"/>
    <x v="1"/>
    <x v="1"/>
  </r>
  <r>
    <x v="48"/>
    <s v="Failed"/>
    <x v="3"/>
    <x v="14"/>
  </r>
  <r>
    <x v="49"/>
    <s v="Failed"/>
    <x v="3"/>
    <x v="15"/>
  </r>
  <r>
    <x v="50"/>
    <s v="Failed"/>
    <x v="3"/>
    <x v="16"/>
  </r>
  <r>
    <x v="51"/>
    <s v="Failed"/>
    <x v="3"/>
    <x v="17"/>
  </r>
  <r>
    <x v="52"/>
    <s v="Failed"/>
    <x v="3"/>
    <x v="18"/>
  </r>
  <r>
    <x v="53"/>
    <s v="Failed"/>
    <x v="3"/>
    <x v="19"/>
  </r>
  <r>
    <x v="54"/>
    <s v="Failed"/>
    <x v="1"/>
    <x v="1"/>
  </r>
  <r>
    <x v="55"/>
    <s v="Failed"/>
    <x v="2"/>
    <x v="20"/>
  </r>
  <r>
    <x v="56"/>
    <s v="Failed"/>
    <x v="1"/>
    <x v="1"/>
  </r>
  <r>
    <x v="57"/>
    <m/>
    <x v="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r>
  <r>
    <x v="0"/>
  </r>
  <r>
    <x v="0"/>
  </r>
  <r>
    <x v="1"/>
  </r>
  <r>
    <x v="0"/>
  </r>
  <r>
    <x v="0"/>
  </r>
  <r>
    <x v="2"/>
  </r>
  <r>
    <x v="0"/>
  </r>
  <r>
    <x v="2"/>
  </r>
  <r>
    <x v="0"/>
  </r>
  <r>
    <x v="0"/>
  </r>
  <r>
    <x v="2"/>
  </r>
  <r>
    <x v="3"/>
  </r>
  <r>
    <x v="2"/>
  </r>
  <r>
    <x v="2"/>
  </r>
  <r>
    <x v="0"/>
  </r>
  <r>
    <x v="0"/>
  </r>
  <r>
    <x v="0"/>
  </r>
  <r>
    <x v="0"/>
  </r>
  <r>
    <x v="0"/>
  </r>
  <r>
    <x v="2"/>
  </r>
  <r>
    <x v="4"/>
  </r>
  <r>
    <x v="5"/>
  </r>
  <r>
    <x v="6"/>
  </r>
  <r>
    <x v="6"/>
  </r>
  <r>
    <x v="4"/>
  </r>
  <r>
    <x v="7"/>
  </r>
  <r>
    <x v="2"/>
  </r>
  <r>
    <x v="0"/>
  </r>
  <r>
    <x v="0"/>
  </r>
  <r>
    <x v="0"/>
  </r>
  <r>
    <x v="0"/>
  </r>
  <r>
    <x v="2"/>
  </r>
  <r>
    <x v="0"/>
  </r>
  <r>
    <x v="0"/>
  </r>
  <r>
    <x v="0"/>
  </r>
  <r>
    <x v="0"/>
  </r>
  <r>
    <x v="0"/>
  </r>
  <r>
    <x v="0"/>
  </r>
  <r>
    <x v="8"/>
  </r>
  <r>
    <x v="9"/>
  </r>
  <r>
    <x v="10"/>
  </r>
  <r>
    <x v="0"/>
  </r>
  <r>
    <x v="2"/>
  </r>
  <r>
    <x v="11"/>
  </r>
  <r>
    <x v="0"/>
  </r>
  <r>
    <x v="3"/>
  </r>
  <r>
    <x v="2"/>
  </r>
  <r>
    <x v="0"/>
  </r>
  <r>
    <x v="5"/>
  </r>
  <r>
    <x v="12"/>
  </r>
  <r>
    <x v="13"/>
  </r>
  <r>
    <x v="13"/>
  </r>
  <r>
    <x v="13"/>
  </r>
  <r>
    <x v="14"/>
  </r>
  <r>
    <x v="15"/>
  </r>
  <r>
    <x v="16"/>
  </r>
  <r>
    <x v="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s v="Success"/>
    <s v="Success"/>
    <n v="0"/>
    <s v="Success"/>
    <m/>
    <x v="0"/>
  </r>
  <r>
    <x v="1"/>
    <s v="Success"/>
    <s v="Success"/>
    <n v="1"/>
    <s v="Success"/>
    <m/>
    <x v="0"/>
  </r>
  <r>
    <x v="2"/>
    <s v="Success"/>
    <s v="Success"/>
    <n v="0"/>
    <s v="Failed"/>
    <s v="Success"/>
    <x v="1"/>
  </r>
  <r>
    <x v="3"/>
    <s v="Failed"/>
    <s v="Need Domain Knowledge - Aggregation target"/>
    <e v="#N/A"/>
    <s v="Failed "/>
    <s v="Failed"/>
    <x v="2"/>
  </r>
  <r>
    <x v="4"/>
    <s v="Failed"/>
    <s v="Success - next iteration"/>
    <n v="0"/>
    <s v="Success"/>
    <m/>
    <x v="3"/>
  </r>
  <r>
    <x v="5"/>
    <s v="Success"/>
    <s v="Success"/>
    <n v="0"/>
    <s v="Success"/>
    <m/>
    <x v="0"/>
  </r>
  <r>
    <x v="6"/>
    <s v="Failed"/>
    <s v="Failed - failed to aggregate - low entropy - domain knowledge"/>
    <n v="0"/>
    <s v="Failed"/>
    <s v="Failed"/>
    <x v="4"/>
  </r>
  <r>
    <x v="7"/>
    <s v="Failed"/>
    <s v="Success - preprocessing"/>
    <s v="Fail"/>
    <s v="Failed - syntax"/>
    <s v="Success"/>
    <x v="5"/>
  </r>
  <r>
    <x v="8"/>
    <s v="Failed"/>
    <s v="Failed - failed to aggregate - low entropy - domain knowledge"/>
    <n v="0"/>
    <s v="Failed"/>
    <m/>
    <x v="6"/>
  </r>
  <r>
    <x v="9"/>
    <s v="Success"/>
    <s v="Success"/>
    <n v="0"/>
    <s v="Success"/>
    <m/>
    <x v="0"/>
  </r>
  <r>
    <x v="10"/>
    <s v="Success"/>
    <s v="Success"/>
    <n v="0"/>
    <s v="Success"/>
    <m/>
    <x v="0"/>
  </r>
  <r>
    <x v="11"/>
    <s v="Failed"/>
    <s v="Failed - failed to aggregate - low entropy - domain knowledge"/>
    <n v="0"/>
    <s v="Failed"/>
    <m/>
    <x v="6"/>
  </r>
  <r>
    <x v="12"/>
    <s v="Failed"/>
    <s v="Need Domain Knowledge - Aggregation function"/>
    <n v="0"/>
    <s v="Failed"/>
    <m/>
    <x v="7"/>
  </r>
  <r>
    <x v="13"/>
    <s v="Failed"/>
    <s v="Failed - failed to aggregate - low entropy - domain knowledge"/>
    <e v="#N/A"/>
    <s v="Failed"/>
    <m/>
    <x v="6"/>
  </r>
  <r>
    <x v="14"/>
    <s v="Failed"/>
    <s v="Failed - failed to aggregate - low entropy - domain knowledge"/>
    <n v="0"/>
    <s v="Failed"/>
    <m/>
    <x v="6"/>
  </r>
  <r>
    <x v="15"/>
    <s v="Success"/>
    <s v="Success"/>
    <n v="1"/>
    <s v="Success"/>
    <m/>
    <x v="0"/>
  </r>
  <r>
    <x v="16"/>
    <s v="Success"/>
    <s v="Success"/>
    <n v="1"/>
    <s v="Failed"/>
    <s v="Success"/>
    <x v="1"/>
  </r>
  <r>
    <x v="17"/>
    <s v="Success"/>
    <s v="Success"/>
    <n v="0"/>
    <s v="Failed"/>
    <s v="Success"/>
    <x v="1"/>
  </r>
  <r>
    <x v="18"/>
    <s v="Success"/>
    <s v="Success"/>
    <n v="0"/>
    <s v="Failed"/>
    <s v="Success"/>
    <x v="1"/>
  </r>
  <r>
    <x v="19"/>
    <s v="Failed"/>
    <s v="Success - preprocessing"/>
    <s v="Fail"/>
    <s v="Failed"/>
    <s v="Success - takes more itr?"/>
    <x v="8"/>
  </r>
  <r>
    <x v="20"/>
    <s v="Failed"/>
    <s v="Failed - failed to aggregate - low entropy - domain knowledge"/>
    <n v="0"/>
    <s v="Failed"/>
    <m/>
    <x v="6"/>
  </r>
  <r>
    <x v="21"/>
    <s v="Failed"/>
    <s v="Failed - failed to aggregate - low entropy - data type change"/>
    <s v="Fail"/>
    <s v="Failed"/>
    <m/>
    <x v="9"/>
  </r>
  <r>
    <x v="22"/>
    <s v="Failed"/>
    <s v="Bad Case - task makes no sense"/>
    <s v="Fail"/>
    <s v="Failed"/>
    <m/>
    <x v="10"/>
  </r>
  <r>
    <x v="23"/>
    <s v="Failed"/>
    <s v="Success* bad test case : Dec_2012 vs Dec_2013"/>
    <n v="0"/>
    <s v="Failed"/>
    <s v="Success* bad test case : Dec_2012 vs Dec_2013"/>
    <x v="11"/>
  </r>
  <r>
    <x v="24"/>
    <s v="Failed"/>
    <s v="Success* bad test case : Dec_2012 vs Dec_2013"/>
    <e v="#N/A"/>
    <s v="Success*"/>
    <m/>
    <x v="12"/>
  </r>
  <r>
    <x v="25"/>
    <s v="Failed"/>
    <s v="Failed - failed to aggregate - low entropy - data type change"/>
    <n v="0"/>
    <s v="Failed"/>
    <m/>
    <x v="9"/>
  </r>
  <r>
    <x v="26"/>
    <s v="Failed"/>
    <s v="Success*  grouped by continent - did not remove the empty continent - I would not call this failed.."/>
    <n v="0"/>
    <s v="Success*"/>
    <m/>
    <x v="13"/>
  </r>
  <r>
    <x v="27"/>
    <s v="Failed"/>
    <s v="Failed - failed to aggregate - low entropy - domain knowledge"/>
    <e v="#N/A"/>
    <s v="Failed"/>
    <m/>
    <x v="6"/>
  </r>
  <r>
    <x v="28"/>
    <s v="Success"/>
    <s v="Success"/>
    <e v="#N/A"/>
    <s v="Failed* VERY CLOSE.. CHECK"/>
    <m/>
    <x v="14"/>
  </r>
  <r>
    <x v="29"/>
    <s v="Success"/>
    <s v="Success"/>
    <n v="0"/>
    <s v="Failed"/>
    <s v="Success-itr2"/>
    <x v="15"/>
  </r>
  <r>
    <x v="30"/>
    <s v="Failed"/>
    <s v="Success - preprocessing"/>
    <s v="Fail"/>
    <s v="Success"/>
    <m/>
    <x v="16"/>
  </r>
  <r>
    <x v="31"/>
    <s v="Success"/>
    <s v="Success"/>
    <n v="0"/>
    <s v="Success"/>
    <m/>
    <x v="0"/>
  </r>
  <r>
    <x v="32"/>
    <s v="Failed"/>
    <s v="Failed - failed to aggregate - low entropy - domain knowledge"/>
    <e v="#N/A"/>
    <s v="Success** DID BETTER!!! BY CHANCE I GUESS.. "/>
    <m/>
    <x v="17"/>
  </r>
  <r>
    <x v="33"/>
    <s v="Failed"/>
    <s v="Success"/>
    <n v="0"/>
    <s v="Success"/>
    <m/>
    <x v="0"/>
  </r>
  <r>
    <x v="34"/>
    <s v="Success"/>
    <s v="Success"/>
    <n v="0"/>
    <s v="Success"/>
    <m/>
    <x v="0"/>
  </r>
  <r>
    <x v="35"/>
    <s v="Success"/>
    <s v="Success"/>
    <e v="#N/A"/>
    <s v="Success"/>
    <m/>
    <x v="0"/>
  </r>
  <r>
    <x v="36"/>
    <s v="Success"/>
    <s v="Success"/>
    <e v="#N/A"/>
    <s v="Failed - DID NOT DO SUBSTRING"/>
    <s v="Success"/>
    <x v="18"/>
  </r>
  <r>
    <x v="37"/>
    <s v="Success"/>
    <s v="Success"/>
    <n v="1"/>
    <s v="Success"/>
    <m/>
    <x v="0"/>
  </r>
  <r>
    <x v="38"/>
    <s v="Success"/>
    <s v="Success"/>
    <n v="0"/>
    <s v="Failed"/>
    <m/>
    <x v="19"/>
  </r>
  <r>
    <x v="39"/>
    <s v="Failed"/>
    <s v="Failed - failed to aggregate - low entropy - domain knowledge/ did not do count"/>
    <n v="0"/>
    <s v="Failed"/>
    <m/>
    <x v="20"/>
  </r>
  <r>
    <x v="40"/>
    <s v="Failed"/>
    <s v="Success*  grouped by continent - did not remove the empty fac_type - I would not call this failed.."/>
    <s v="Fail"/>
    <s v="Success*"/>
    <m/>
    <x v="21"/>
  </r>
  <r>
    <x v="41"/>
    <s v="Failed"/>
    <s v="Need Domain Knowledge - Use Aggregation or not"/>
    <s v="Fail"/>
    <s v="Failed"/>
    <m/>
    <x v="22"/>
  </r>
  <r>
    <x v="42"/>
    <s v="Success"/>
    <s v="Success"/>
    <n v="0"/>
    <s v="Failed"/>
    <s v="Success"/>
    <x v="1"/>
  </r>
  <r>
    <x v="43"/>
    <s v="Failed"/>
    <s v="Failed - failed to aggregate - low entropy - domain knowledge"/>
    <n v="0"/>
    <s v="Failed"/>
    <m/>
    <x v="6"/>
  </r>
  <r>
    <x v="44"/>
    <s v="Failed"/>
    <s v="Success*  grouped by continent - did not remove the empty conservation_status - I would not call this failed.."/>
    <n v="0"/>
    <s v="Success*"/>
    <m/>
    <x v="23"/>
  </r>
  <r>
    <x v="45"/>
    <s v="Success"/>
    <s v="Success"/>
    <e v="#N/A"/>
    <s v="Failed"/>
    <m/>
    <x v="19"/>
  </r>
  <r>
    <x v="46"/>
    <s v="Failed"/>
    <s v="Need Domain Knowledge - Aggregation function"/>
    <n v="0"/>
    <s v="Failed"/>
    <m/>
    <x v="7"/>
  </r>
  <r>
    <x v="47"/>
    <s v="Failed"/>
    <s v="Failed - failed to aggregate - low entropy - domain knowledge"/>
    <e v="#N/A"/>
    <s v="Failed"/>
    <m/>
    <x v="6"/>
  </r>
  <r>
    <x v="48"/>
    <s v="Failed"/>
    <s v="Success"/>
    <n v="1"/>
    <s v="Failed"/>
    <m/>
    <x v="19"/>
  </r>
  <r>
    <x v="49"/>
    <s v="Failed"/>
    <s v="Bad Case - task makes no sense"/>
    <n v="0"/>
    <s v="Failed"/>
    <m/>
    <x v="10"/>
  </r>
  <r>
    <x v="50"/>
    <s v="Failed"/>
    <s v="Need Domain Knowledge - Rare case/ expectation"/>
    <n v="0"/>
    <s v="Failed"/>
    <m/>
    <x v="24"/>
  </r>
  <r>
    <x v="51"/>
    <s v="Failed"/>
    <s v="Success - next iteration"/>
    <n v="0"/>
    <s v="GUESS IT CAN SUCCESS"/>
    <s v="Success"/>
    <x v="25"/>
  </r>
  <r>
    <x v="52"/>
    <s v="Failed"/>
    <s v="Success - next iteration"/>
    <n v="0"/>
    <s v="Success"/>
    <m/>
    <x v="3"/>
  </r>
  <r>
    <x v="53"/>
    <s v="Failed"/>
    <s v="Success - next iteration"/>
    <n v="0"/>
    <s v="Failed"/>
    <m/>
    <x v="26"/>
  </r>
  <r>
    <x v="54"/>
    <s v="Failed"/>
    <s v="Failed - failed to aggregate - low entropy - domain knowledge - hard (newest date)"/>
    <n v="0"/>
    <s v="Failed"/>
    <m/>
    <x v="27"/>
  </r>
  <r>
    <x v="55"/>
    <s v="Failed"/>
    <s v="Need Domain Knowledge - expectation/ count on which"/>
    <n v="0"/>
    <s v="Failed"/>
    <s v="Success - by luck"/>
    <x v="28"/>
  </r>
  <r>
    <x v="56"/>
    <s v="Failed"/>
    <s v="Failed - did not figured out"/>
    <n v="0"/>
    <s v="Failed"/>
    <m/>
    <x v="29"/>
  </r>
  <r>
    <x v="57"/>
    <m/>
    <m/>
    <m/>
    <m/>
    <m/>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AAC30-25A9-4FB2-94DA-9C98E3AE11C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B7" firstHeaderRow="1" firstDataRow="1" firstDataCol="1"/>
  <pivotFields count="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Typ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4C5FE-F488-4A16-BAD6-94AC287763C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7" firstHeaderRow="1" firstDataRow="1" firstDataCol="1"/>
  <pivotFields count="4">
    <pivotField axis="axisRow" showAll="0" sortType="ascending">
      <items count="59">
        <item x="4"/>
        <item x="5"/>
        <item x="6"/>
        <item x="7"/>
        <item x="8"/>
        <item x="9"/>
        <item x="10"/>
        <item x="11"/>
        <item x="12"/>
        <item x="13"/>
        <item x="14"/>
        <item x="15"/>
        <item x="0"/>
        <item x="16"/>
        <item x="17"/>
        <item x="18"/>
        <item x="1"/>
        <item x="19"/>
        <item x="20"/>
        <item x="21"/>
        <item x="22"/>
        <item x="23"/>
        <item x="24"/>
        <item x="25"/>
        <item x="26"/>
        <item x="27"/>
        <item x="28"/>
        <item x="29"/>
        <item x="30"/>
        <item x="2"/>
        <item x="31"/>
        <item x="32"/>
        <item x="33"/>
        <item x="34"/>
        <item x="35"/>
        <item x="36"/>
        <item x="37"/>
        <item x="38"/>
        <item x="39"/>
        <item x="40"/>
        <item x="41"/>
        <item x="42"/>
        <item x="43"/>
        <item x="44"/>
        <item x="45"/>
        <item x="46"/>
        <item x="47"/>
        <item x="48"/>
        <item x="49"/>
        <item x="3"/>
        <item x="50"/>
        <item x="51"/>
        <item x="52"/>
        <item x="53"/>
        <item x="54"/>
        <item x="55"/>
        <item x="56"/>
        <item x="57"/>
        <item t="default"/>
      </items>
    </pivotField>
    <pivotField showAll="0"/>
    <pivotField axis="axisRow" showAll="0">
      <items count="6">
        <item x="1"/>
        <item x="2"/>
        <item sd="0" x="0"/>
        <item x="3"/>
        <item x="4"/>
        <item t="default"/>
      </items>
    </pivotField>
    <pivotField dataField="1" showAll="0">
      <items count="22">
        <item x="14"/>
        <item x="10"/>
        <item x="7"/>
        <item x="8"/>
        <item x="12"/>
        <item x="15"/>
        <item x="17"/>
        <item x="19"/>
        <item x="16"/>
        <item x="0"/>
        <item x="5"/>
        <item x="1"/>
        <item x="6"/>
        <item x="11"/>
        <item x="13"/>
        <item x="4"/>
        <item x="18"/>
        <item x="2"/>
        <item x="9"/>
        <item x="20"/>
        <item x="3"/>
        <item t="default"/>
      </items>
    </pivotField>
  </pivotFields>
  <rowFields count="2">
    <field x="2"/>
    <field x="0"/>
  </rowFields>
  <rowItems count="44">
    <i>
      <x/>
    </i>
    <i r="1">
      <x v="2"/>
    </i>
    <i r="1">
      <x v="4"/>
    </i>
    <i r="1">
      <x v="7"/>
    </i>
    <i r="1">
      <x v="9"/>
    </i>
    <i r="1">
      <x v="10"/>
    </i>
    <i r="1">
      <x v="18"/>
    </i>
    <i r="1">
      <x v="19"/>
    </i>
    <i r="1">
      <x v="21"/>
    </i>
    <i r="1">
      <x v="22"/>
    </i>
    <i r="1">
      <x v="23"/>
    </i>
    <i r="1">
      <x v="24"/>
    </i>
    <i r="1">
      <x v="25"/>
    </i>
    <i r="1">
      <x v="31"/>
    </i>
    <i r="1">
      <x v="38"/>
    </i>
    <i r="1">
      <x v="39"/>
    </i>
    <i r="1">
      <x v="42"/>
    </i>
    <i r="1">
      <x v="43"/>
    </i>
    <i r="1">
      <x v="46"/>
    </i>
    <i r="1">
      <x v="49"/>
    </i>
    <i r="1">
      <x v="54"/>
    </i>
    <i r="1">
      <x v="56"/>
    </i>
    <i>
      <x v="1"/>
    </i>
    <i r="1">
      <x/>
    </i>
    <i r="1">
      <x v="3"/>
    </i>
    <i r="1">
      <x v="8"/>
    </i>
    <i r="1">
      <x v="32"/>
    </i>
    <i r="1">
      <x v="45"/>
    </i>
    <i r="1">
      <x v="55"/>
    </i>
    <i>
      <x v="2"/>
    </i>
    <i>
      <x v="3"/>
    </i>
    <i r="1">
      <x v="17"/>
    </i>
    <i r="1">
      <x v="20"/>
    </i>
    <i r="1">
      <x v="28"/>
    </i>
    <i r="1">
      <x v="40"/>
    </i>
    <i r="1">
      <x v="47"/>
    </i>
    <i r="1">
      <x v="48"/>
    </i>
    <i r="1">
      <x v="50"/>
    </i>
    <i r="1">
      <x v="51"/>
    </i>
    <i r="1">
      <x v="52"/>
    </i>
    <i r="1">
      <x v="53"/>
    </i>
    <i>
      <x v="4"/>
    </i>
    <i r="1">
      <x v="57"/>
    </i>
    <i t="grand">
      <x/>
    </i>
  </rowItems>
  <colItems count="1">
    <i/>
  </colItems>
  <dataFields count="1">
    <dataField name="Count of Detail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1601A-8940-4371-9FD2-026A909D6BF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
    <pivotField axis="axisRow" dataField="1" showAll="0">
      <items count="19">
        <item x="5"/>
        <item x="16"/>
        <item x="4"/>
        <item x="2"/>
        <item x="14"/>
        <item x="8"/>
        <item x="3"/>
        <item x="1"/>
        <item x="15"/>
        <item x="12"/>
        <item x="10"/>
        <item x="0"/>
        <item x="13"/>
        <item x="11"/>
        <item x="7"/>
        <item x="9"/>
        <item x="6"/>
        <item x="17"/>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fter Fi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724F9-9EFD-A04E-8C7C-A5DD05D4C2D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3" firstHeaderRow="1" firstDataRow="1" firstDataCol="1"/>
  <pivotFields count="7">
    <pivotField axis="axisRow" showAll="0">
      <items count="59">
        <item x="4"/>
        <item x="5"/>
        <item x="6"/>
        <item x="7"/>
        <item x="8"/>
        <item x="9"/>
        <item x="10"/>
        <item x="11"/>
        <item x="12"/>
        <item x="13"/>
        <item x="14"/>
        <item x="15"/>
        <item x="0"/>
        <item x="16"/>
        <item x="17"/>
        <item x="18"/>
        <item x="1"/>
        <item x="19"/>
        <item x="20"/>
        <item x="21"/>
        <item x="22"/>
        <item x="23"/>
        <item x="24"/>
        <item x="25"/>
        <item x="26"/>
        <item x="27"/>
        <item x="28"/>
        <item x="29"/>
        <item x="30"/>
        <item x="2"/>
        <item x="31"/>
        <item x="32"/>
        <item x="33"/>
        <item x="34"/>
        <item x="35"/>
        <item x="36"/>
        <item x="37"/>
        <item x="38"/>
        <item x="39"/>
        <item x="40"/>
        <item x="41"/>
        <item x="42"/>
        <item x="43"/>
        <item x="44"/>
        <item x="45"/>
        <item x="46"/>
        <item x="47"/>
        <item x="48"/>
        <item x="49"/>
        <item x="3"/>
        <item x="50"/>
        <item x="51"/>
        <item x="52"/>
        <item x="53"/>
        <item x="54"/>
        <item x="55"/>
        <item x="56"/>
        <item x="57"/>
        <item t="default"/>
      </items>
    </pivotField>
    <pivotField showAll="0"/>
    <pivotField showAll="0"/>
    <pivotField showAll="0"/>
    <pivotField showAll="0"/>
    <pivotField showAll="0"/>
    <pivotField axis="axisRow" dataField="1" showAll="0">
      <items count="36">
        <item x="10"/>
        <item x="29"/>
        <item x="9"/>
        <item x="27"/>
        <item x="6"/>
        <item x="4"/>
        <item x="17"/>
        <item x="20"/>
        <item x="7"/>
        <item x="2"/>
        <item x="28"/>
        <item x="24"/>
        <item x="22"/>
        <item x="26"/>
        <item m="1" x="32"/>
        <item x="3"/>
        <item x="19"/>
        <item x="18"/>
        <item m="1" x="34"/>
        <item m="1" x="33"/>
        <item x="1"/>
        <item x="14"/>
        <item x="0"/>
        <item x="23"/>
        <item x="13"/>
        <item x="21"/>
        <item m="1" x="31"/>
        <item x="12"/>
        <item x="30"/>
        <item x="5"/>
        <item x="8"/>
        <item x="15"/>
        <item x="16"/>
        <item x="11"/>
        <item x="25"/>
        <item t="default"/>
      </items>
    </pivotField>
  </pivotFields>
  <rowFields count="2">
    <field x="6"/>
    <field x="0"/>
  </rowFields>
  <rowItems count="90">
    <i>
      <x/>
    </i>
    <i r="1">
      <x v="20"/>
    </i>
    <i r="1">
      <x v="48"/>
    </i>
    <i>
      <x v="1"/>
    </i>
    <i r="1">
      <x v="56"/>
    </i>
    <i>
      <x v="2"/>
    </i>
    <i r="1">
      <x v="19"/>
    </i>
    <i r="1">
      <x v="23"/>
    </i>
    <i>
      <x v="3"/>
    </i>
    <i r="1">
      <x v="54"/>
    </i>
    <i>
      <x v="4"/>
    </i>
    <i r="1">
      <x v="4"/>
    </i>
    <i r="1">
      <x v="7"/>
    </i>
    <i r="1">
      <x v="9"/>
    </i>
    <i r="1">
      <x v="10"/>
    </i>
    <i r="1">
      <x v="18"/>
    </i>
    <i r="1">
      <x v="25"/>
    </i>
    <i r="1">
      <x v="42"/>
    </i>
    <i r="1">
      <x v="46"/>
    </i>
    <i>
      <x v="5"/>
    </i>
    <i r="1">
      <x v="2"/>
    </i>
    <i>
      <x v="6"/>
    </i>
    <i r="1">
      <x v="31"/>
    </i>
    <i>
      <x v="7"/>
    </i>
    <i r="1">
      <x v="38"/>
    </i>
    <i>
      <x v="8"/>
    </i>
    <i r="1">
      <x v="8"/>
    </i>
    <i r="1">
      <x v="45"/>
    </i>
    <i>
      <x v="9"/>
    </i>
    <i r="1">
      <x v="49"/>
    </i>
    <i>
      <x v="10"/>
    </i>
    <i r="1">
      <x v="55"/>
    </i>
    <i>
      <x v="11"/>
    </i>
    <i r="1">
      <x v="50"/>
    </i>
    <i>
      <x v="12"/>
    </i>
    <i r="1">
      <x v="40"/>
    </i>
    <i>
      <x v="13"/>
    </i>
    <i r="1">
      <x v="53"/>
    </i>
    <i>
      <x v="15"/>
    </i>
    <i r="1">
      <x/>
    </i>
    <i r="1">
      <x v="52"/>
    </i>
    <i>
      <x v="16"/>
    </i>
    <i r="1">
      <x v="37"/>
    </i>
    <i r="1">
      <x v="44"/>
    </i>
    <i r="1">
      <x v="47"/>
    </i>
    <i>
      <x v="17"/>
    </i>
    <i r="1">
      <x v="35"/>
    </i>
    <i>
      <x v="20"/>
    </i>
    <i r="1">
      <x v="13"/>
    </i>
    <i r="1">
      <x v="14"/>
    </i>
    <i r="1">
      <x v="15"/>
    </i>
    <i r="1">
      <x v="29"/>
    </i>
    <i r="1">
      <x v="41"/>
    </i>
    <i>
      <x v="21"/>
    </i>
    <i r="1">
      <x v="26"/>
    </i>
    <i>
      <x v="22"/>
    </i>
    <i r="1">
      <x v="1"/>
    </i>
    <i r="1">
      <x v="5"/>
    </i>
    <i r="1">
      <x v="6"/>
    </i>
    <i r="1">
      <x v="11"/>
    </i>
    <i r="1">
      <x v="12"/>
    </i>
    <i r="1">
      <x v="16"/>
    </i>
    <i r="1">
      <x v="30"/>
    </i>
    <i r="1">
      <x v="32"/>
    </i>
    <i r="1">
      <x v="33"/>
    </i>
    <i r="1">
      <x v="34"/>
    </i>
    <i r="1">
      <x v="36"/>
    </i>
    <i>
      <x v="23"/>
    </i>
    <i r="1">
      <x v="43"/>
    </i>
    <i>
      <x v="24"/>
    </i>
    <i r="1">
      <x v="24"/>
    </i>
    <i>
      <x v="25"/>
    </i>
    <i r="1">
      <x v="39"/>
    </i>
    <i>
      <x v="27"/>
    </i>
    <i r="1">
      <x v="22"/>
    </i>
    <i>
      <x v="28"/>
    </i>
    <i r="1">
      <x v="57"/>
    </i>
    <i>
      <x v="29"/>
    </i>
    <i r="1">
      <x v="3"/>
    </i>
    <i>
      <x v="30"/>
    </i>
    <i r="1">
      <x v="17"/>
    </i>
    <i>
      <x v="31"/>
    </i>
    <i r="1">
      <x v="27"/>
    </i>
    <i>
      <x v="32"/>
    </i>
    <i r="1">
      <x v="28"/>
    </i>
    <i>
      <x v="33"/>
    </i>
    <i r="1">
      <x v="21"/>
    </i>
    <i>
      <x v="34"/>
    </i>
    <i r="1">
      <x v="51"/>
    </i>
    <i t="grand">
      <x/>
    </i>
  </rowItems>
  <colItems count="1">
    <i/>
  </colItems>
  <dataFields count="1">
    <dataField name="Count of overall_big_prompt_no_fewshot_no_detailed intruction" fld="6" subtotal="count" baseField="0" baseItem="0"/>
  </dataFields>
  <formats count="21">
    <format dxfId="20">
      <pivotArea dataOnly="0" labelOnly="1" fieldPosition="0">
        <references count="1">
          <reference field="6" count="1">
            <x v="6"/>
          </reference>
        </references>
      </pivotArea>
    </format>
    <format dxfId="19">
      <pivotArea dataOnly="0" labelOnly="1" fieldPosition="0">
        <references count="2">
          <reference field="0" count="1">
            <x v="31"/>
          </reference>
          <reference field="6" count="1" selected="0">
            <x v="6"/>
          </reference>
        </references>
      </pivotArea>
    </format>
    <format dxfId="18">
      <pivotArea dataOnly="0" labelOnly="1" fieldPosition="0">
        <references count="1">
          <reference field="6" count="1">
            <x v="10"/>
          </reference>
        </references>
      </pivotArea>
    </format>
    <format dxfId="17">
      <pivotArea dataOnly="0" labelOnly="1" fieldPosition="0">
        <references count="2">
          <reference field="0" count="1">
            <x v="55"/>
          </reference>
          <reference field="6" count="1" selected="0">
            <x v="10"/>
          </reference>
        </references>
      </pivotArea>
    </format>
    <format dxfId="16">
      <pivotArea dataOnly="0" labelOnly="1" fieldPosition="0">
        <references count="1">
          <reference field="6" count="1">
            <x v="13"/>
          </reference>
        </references>
      </pivotArea>
    </format>
    <format dxfId="15">
      <pivotArea dataOnly="0" labelOnly="1" fieldPosition="0">
        <references count="2">
          <reference field="0" count="1">
            <x v="53"/>
          </reference>
          <reference field="6" count="1" selected="0">
            <x v="13"/>
          </reference>
        </references>
      </pivotArea>
    </format>
    <format dxfId="14">
      <pivotArea dataOnly="0" labelOnly="1" fieldPosition="0">
        <references count="1">
          <reference field="6" count="1">
            <x v="14"/>
          </reference>
        </references>
      </pivotArea>
    </format>
    <format dxfId="13">
      <pivotArea dataOnly="0" labelOnly="1" fieldPosition="0">
        <references count="2">
          <reference field="0" count="1">
            <x v="51"/>
          </reference>
          <reference field="6" count="1" selected="0">
            <x v="14"/>
          </reference>
        </references>
      </pivotArea>
    </format>
    <format dxfId="12">
      <pivotArea dataOnly="0" labelOnly="1" fieldPosition="0">
        <references count="1">
          <reference field="6" count="1">
            <x v="16"/>
          </reference>
        </references>
      </pivotArea>
    </format>
    <format dxfId="11">
      <pivotArea dataOnly="0" labelOnly="1" fieldPosition="0">
        <references count="2">
          <reference field="0" count="6">
            <x v="14"/>
            <x v="17"/>
            <x v="27"/>
            <x v="37"/>
            <x v="44"/>
            <x v="47"/>
          </reference>
          <reference field="6" count="1" selected="0">
            <x v="16"/>
          </reference>
        </references>
      </pivotArea>
    </format>
    <format dxfId="10">
      <pivotArea dataOnly="0" labelOnly="1" fieldPosition="0">
        <references count="1">
          <reference field="6" count="1">
            <x v="19"/>
          </reference>
        </references>
      </pivotArea>
    </format>
    <format dxfId="9">
      <pivotArea dataOnly="0" labelOnly="1" fieldPosition="0">
        <references count="2">
          <reference field="0" count="1">
            <x v="29"/>
          </reference>
          <reference field="6" count="1" selected="0">
            <x v="19"/>
          </reference>
        </references>
      </pivotArea>
    </format>
    <format dxfId="8">
      <pivotArea dataOnly="0" labelOnly="1" fieldPosition="0">
        <references count="1">
          <reference field="6" count="1">
            <x v="26"/>
          </reference>
        </references>
      </pivotArea>
    </format>
    <format dxfId="7">
      <pivotArea dataOnly="0" labelOnly="1" fieldPosition="0">
        <references count="2">
          <reference field="0" count="1">
            <x v="21"/>
          </reference>
          <reference field="6" count="1" selected="0">
            <x v="26"/>
          </reference>
        </references>
      </pivotArea>
    </format>
    <format dxfId="6">
      <pivotArea collapsedLevelsAreSubtotals="1" fieldPosition="0">
        <references count="1">
          <reference field="6" count="1">
            <x v="13"/>
          </reference>
        </references>
      </pivotArea>
    </format>
    <format dxfId="5">
      <pivotArea collapsedLevelsAreSubtotals="1" fieldPosition="0">
        <references count="1">
          <reference field="6" count="1">
            <x v="14"/>
          </reference>
        </references>
      </pivotArea>
    </format>
    <format dxfId="4">
      <pivotArea collapsedLevelsAreSubtotals="1" fieldPosition="0">
        <references count="1">
          <reference field="6" count="1">
            <x v="16"/>
          </reference>
        </references>
      </pivotArea>
    </format>
    <format dxfId="3">
      <pivotArea collapsedLevelsAreSubtotals="1" fieldPosition="0">
        <references count="1">
          <reference field="6" count="1">
            <x v="19"/>
          </reference>
        </references>
      </pivotArea>
    </format>
    <format dxfId="2">
      <pivotArea collapsedLevelsAreSubtotals="1" fieldPosition="0">
        <references count="1">
          <reference field="6" count="1">
            <x v="26"/>
          </reference>
        </references>
      </pivotArea>
    </format>
    <format dxfId="1">
      <pivotArea collapsedLevelsAreSubtotals="1" fieldPosition="0">
        <references count="1">
          <reference field="6" count="1">
            <x v="6"/>
          </reference>
        </references>
      </pivotArea>
    </format>
    <format dxfId="0">
      <pivotArea collapsedLevelsAreSubtotals="1" fieldPosition="0">
        <references count="1">
          <reference field="6"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5" dT="2024-01-12T21:39:32.38" personId="{B4BE5890-FF70-1B45-A747-DDE27A991EA3}" id="{6E2854E5-8859-B146-B9EA-4B512AAE9A4B}">
    <text>You should be able to see highlights now</text>
  </threadedComment>
  <threadedComment ref="Z5" dT="2024-01-12T21:39:49.29" personId="{B4BE5890-FF70-1B45-A747-DDE27A991EA3}" id="{AE306B4E-E2E8-F944-8BC3-90BBD950787A}" parentId="{6E2854E5-8859-B146-B9EA-4B512AAE9A4B}">
    <text xml:space="preserve">@Guoxin Sun (Student) </text>
    <mentions>
      <mention mentionpersonId="{548949A6-5103-A34C-A07A-141873E28DD5}" mentionId="{E421D918-E258-BA43-978E-43F83DC672C4}" startIndex="0" length="21"/>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0CC5-4396-4E1B-BCC2-942256AC1715}">
  <dimension ref="A3:B7"/>
  <sheetViews>
    <sheetView workbookViewId="0">
      <selection activeCell="H29" sqref="H29"/>
    </sheetView>
  </sheetViews>
  <sheetFormatPr baseColWidth="10" defaultColWidth="8.83203125" defaultRowHeight="15"/>
  <cols>
    <col min="1" max="1" width="20" bestFit="1" customWidth="1"/>
    <col min="2" max="2" width="13.5" bestFit="1" customWidth="1"/>
  </cols>
  <sheetData>
    <row r="3" spans="1:2">
      <c r="A3" s="6" t="s">
        <v>1</v>
      </c>
      <c r="B3" t="s">
        <v>92</v>
      </c>
    </row>
    <row r="4" spans="1:2">
      <c r="A4" t="s">
        <v>71</v>
      </c>
      <c r="B4">
        <v>21</v>
      </c>
    </row>
    <row r="5" spans="1:2">
      <c r="A5" t="s">
        <v>62</v>
      </c>
      <c r="B5">
        <v>6</v>
      </c>
    </row>
    <row r="6" spans="1:2">
      <c r="A6" t="s">
        <v>60</v>
      </c>
      <c r="B6">
        <v>20</v>
      </c>
    </row>
    <row r="7" spans="1:2">
      <c r="A7" t="s">
        <v>63</v>
      </c>
      <c r="B7">
        <v>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E047-ADCA-44E0-B9B1-337699A7DC5C}">
  <dimension ref="A3:B47"/>
  <sheetViews>
    <sheetView workbookViewId="0">
      <selection activeCell="A23" sqref="A23"/>
    </sheetView>
  </sheetViews>
  <sheetFormatPr baseColWidth="10" defaultColWidth="8.83203125" defaultRowHeight="15"/>
  <cols>
    <col min="1" max="1" width="21.83203125" bestFit="1" customWidth="1"/>
    <col min="2" max="2" width="15.33203125" bestFit="1" customWidth="1"/>
    <col min="3" max="13" width="10.5" bestFit="1" customWidth="1"/>
    <col min="14" max="14" width="9.5" bestFit="1" customWidth="1"/>
    <col min="15" max="17" width="10.5" bestFit="1" customWidth="1"/>
    <col min="18" max="18" width="9.5" bestFit="1" customWidth="1"/>
    <col min="19" max="30" width="10.5" bestFit="1" customWidth="1"/>
    <col min="31" max="31" width="9.5" bestFit="1" customWidth="1"/>
    <col min="32" max="50" width="10.5" bestFit="1" customWidth="1"/>
    <col min="51" max="51" width="9.5" bestFit="1" customWidth="1"/>
    <col min="52" max="58" width="10.5" bestFit="1" customWidth="1"/>
    <col min="59" max="59" width="7.33203125" bestFit="1" customWidth="1"/>
    <col min="60" max="60" width="11.33203125" bestFit="1" customWidth="1"/>
    <col min="61" max="61" width="16.5" bestFit="1" customWidth="1"/>
    <col min="63" max="63" width="12.1640625" bestFit="1" customWidth="1"/>
    <col min="64" max="64" width="11.33203125" bestFit="1" customWidth="1"/>
  </cols>
  <sheetData>
    <row r="3" spans="1:2">
      <c r="A3" s="6" t="s">
        <v>93</v>
      </c>
      <c r="B3" t="s">
        <v>96</v>
      </c>
    </row>
    <row r="4" spans="1:2">
      <c r="A4" s="7" t="s">
        <v>71</v>
      </c>
      <c r="B4">
        <v>21</v>
      </c>
    </row>
    <row r="5" spans="1:2">
      <c r="A5" s="8" t="s">
        <v>9</v>
      </c>
      <c r="B5">
        <v>1</v>
      </c>
    </row>
    <row r="6" spans="1:2">
      <c r="A6" s="8" t="s">
        <v>11</v>
      </c>
      <c r="B6">
        <v>1</v>
      </c>
    </row>
    <row r="7" spans="1:2">
      <c r="A7" s="8" t="s">
        <v>14</v>
      </c>
      <c r="B7">
        <v>1</v>
      </c>
    </row>
    <row r="8" spans="1:2">
      <c r="A8" s="8" t="s">
        <v>16</v>
      </c>
      <c r="B8">
        <v>1</v>
      </c>
    </row>
    <row r="9" spans="1:2">
      <c r="A9" s="8" t="s">
        <v>17</v>
      </c>
      <c r="B9">
        <v>1</v>
      </c>
    </row>
    <row r="10" spans="1:2">
      <c r="A10" s="8" t="s">
        <v>23</v>
      </c>
      <c r="B10">
        <v>1</v>
      </c>
    </row>
    <row r="11" spans="1:2">
      <c r="A11" s="8" t="s">
        <v>24</v>
      </c>
      <c r="B11">
        <v>1</v>
      </c>
    </row>
    <row r="12" spans="1:2">
      <c r="A12" s="8" t="s">
        <v>26</v>
      </c>
      <c r="B12">
        <v>1</v>
      </c>
    </row>
    <row r="13" spans="1:2">
      <c r="A13" s="8" t="s">
        <v>27</v>
      </c>
      <c r="B13">
        <v>1</v>
      </c>
    </row>
    <row r="14" spans="1:2">
      <c r="A14" s="8" t="s">
        <v>28</v>
      </c>
      <c r="B14">
        <v>1</v>
      </c>
    </row>
    <row r="15" spans="1:2">
      <c r="A15" s="8" t="s">
        <v>29</v>
      </c>
      <c r="B15">
        <v>1</v>
      </c>
    </row>
    <row r="16" spans="1:2">
      <c r="A16" s="8" t="s">
        <v>30</v>
      </c>
      <c r="B16">
        <v>1</v>
      </c>
    </row>
    <row r="17" spans="1:2">
      <c r="A17" s="8" t="s">
        <v>35</v>
      </c>
      <c r="B17">
        <v>1</v>
      </c>
    </row>
    <row r="18" spans="1:2">
      <c r="A18" s="8" t="s">
        <v>42</v>
      </c>
      <c r="B18">
        <v>1</v>
      </c>
    </row>
    <row r="19" spans="1:2">
      <c r="A19" s="8" t="s">
        <v>43</v>
      </c>
      <c r="B19">
        <v>1</v>
      </c>
    </row>
    <row r="20" spans="1:2">
      <c r="A20" s="8" t="s">
        <v>46</v>
      </c>
      <c r="B20">
        <v>1</v>
      </c>
    </row>
    <row r="21" spans="1:2">
      <c r="A21" s="8" t="s">
        <v>47</v>
      </c>
      <c r="B21">
        <v>1</v>
      </c>
    </row>
    <row r="22" spans="1:2">
      <c r="A22" s="8" t="s">
        <v>50</v>
      </c>
      <c r="B22">
        <v>1</v>
      </c>
    </row>
    <row r="23" spans="1:2">
      <c r="A23" s="8" t="s">
        <v>6</v>
      </c>
      <c r="B23">
        <v>1</v>
      </c>
    </row>
    <row r="24" spans="1:2">
      <c r="A24" s="8" t="s">
        <v>57</v>
      </c>
      <c r="B24">
        <v>1</v>
      </c>
    </row>
    <row r="25" spans="1:2">
      <c r="A25" s="8" t="s">
        <v>59</v>
      </c>
      <c r="B25">
        <v>1</v>
      </c>
    </row>
    <row r="26" spans="1:2">
      <c r="A26" s="7" t="s">
        <v>62</v>
      </c>
      <c r="B26">
        <v>5</v>
      </c>
    </row>
    <row r="27" spans="1:2">
      <c r="A27" s="8" t="s">
        <v>7</v>
      </c>
      <c r="B27">
        <v>1</v>
      </c>
    </row>
    <row r="28" spans="1:2">
      <c r="A28" s="8" t="s">
        <v>10</v>
      </c>
    </row>
    <row r="29" spans="1:2">
      <c r="A29" s="8" t="s">
        <v>15</v>
      </c>
      <c r="B29">
        <v>1</v>
      </c>
    </row>
    <row r="30" spans="1:2">
      <c r="A30" s="8" t="s">
        <v>36</v>
      </c>
      <c r="B30">
        <v>1</v>
      </c>
    </row>
    <row r="31" spans="1:2">
      <c r="A31" s="8" t="s">
        <v>49</v>
      </c>
      <c r="B31">
        <v>1</v>
      </c>
    </row>
    <row r="32" spans="1:2">
      <c r="A32" s="8" t="s">
        <v>58</v>
      </c>
      <c r="B32">
        <v>1</v>
      </c>
    </row>
    <row r="33" spans="1:2">
      <c r="A33" s="7" t="s">
        <v>60</v>
      </c>
      <c r="B33">
        <v>20</v>
      </c>
    </row>
    <row r="34" spans="1:2">
      <c r="A34" s="7" t="s">
        <v>63</v>
      </c>
      <c r="B34">
        <v>10</v>
      </c>
    </row>
    <row r="35" spans="1:2">
      <c r="A35" s="8" t="s">
        <v>22</v>
      </c>
      <c r="B35">
        <v>1</v>
      </c>
    </row>
    <row r="36" spans="1:2">
      <c r="A36" s="8" t="s">
        <v>25</v>
      </c>
      <c r="B36">
        <v>1</v>
      </c>
    </row>
    <row r="37" spans="1:2">
      <c r="A37" s="8" t="s">
        <v>33</v>
      </c>
      <c r="B37">
        <v>1</v>
      </c>
    </row>
    <row r="38" spans="1:2">
      <c r="A38" s="8" t="s">
        <v>44</v>
      </c>
      <c r="B38">
        <v>1</v>
      </c>
    </row>
    <row r="39" spans="1:2">
      <c r="A39" s="8" t="s">
        <v>51</v>
      </c>
      <c r="B39">
        <v>1</v>
      </c>
    </row>
    <row r="40" spans="1:2">
      <c r="A40" s="8" t="s">
        <v>52</v>
      </c>
      <c r="B40">
        <v>1</v>
      </c>
    </row>
    <row r="41" spans="1:2">
      <c r="A41" s="8" t="s">
        <v>53</v>
      </c>
      <c r="B41">
        <v>1</v>
      </c>
    </row>
    <row r="42" spans="1:2">
      <c r="A42" s="8" t="s">
        <v>54</v>
      </c>
      <c r="B42">
        <v>1</v>
      </c>
    </row>
    <row r="43" spans="1:2">
      <c r="A43" s="8" t="s">
        <v>55</v>
      </c>
      <c r="B43">
        <v>1</v>
      </c>
    </row>
    <row r="44" spans="1:2">
      <c r="A44" s="8" t="s">
        <v>56</v>
      </c>
      <c r="B44">
        <v>1</v>
      </c>
    </row>
    <row r="45" spans="1:2">
      <c r="A45" s="7" t="s">
        <v>94</v>
      </c>
    </row>
    <row r="46" spans="1:2">
      <c r="A46" s="8" t="s">
        <v>94</v>
      </c>
    </row>
    <row r="47" spans="1:2">
      <c r="A47" s="7" t="s">
        <v>95</v>
      </c>
      <c r="B47">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0935-ADFD-4DEE-9683-2CDC26815659}">
  <dimension ref="A3:I45"/>
  <sheetViews>
    <sheetView topLeftCell="A9" workbookViewId="0">
      <selection activeCell="G35" sqref="G35"/>
    </sheetView>
  </sheetViews>
  <sheetFormatPr baseColWidth="10" defaultColWidth="8.83203125" defaultRowHeight="15"/>
  <cols>
    <col min="1" max="1" width="99.83203125" bestFit="1" customWidth="1"/>
    <col min="2" max="2" width="16.6640625" bestFit="1" customWidth="1"/>
    <col min="8" max="8" width="34.6640625" customWidth="1"/>
  </cols>
  <sheetData>
    <row r="3" spans="1:2">
      <c r="A3" s="6" t="s">
        <v>93</v>
      </c>
      <c r="B3" t="s">
        <v>113</v>
      </c>
    </row>
    <row r="4" spans="1:2">
      <c r="A4" s="7" t="s">
        <v>99</v>
      </c>
      <c r="B4">
        <v>2</v>
      </c>
    </row>
    <row r="5" spans="1:2">
      <c r="A5" s="7" t="s">
        <v>112</v>
      </c>
      <c r="B5">
        <v>1</v>
      </c>
    </row>
    <row r="6" spans="1:2">
      <c r="A6" s="7" t="s">
        <v>104</v>
      </c>
      <c r="B6">
        <v>2</v>
      </c>
    </row>
    <row r="7" spans="1:2">
      <c r="A7" s="7" t="s">
        <v>105</v>
      </c>
      <c r="B7">
        <v>10</v>
      </c>
    </row>
    <row r="8" spans="1:2">
      <c r="A8" s="7" t="s">
        <v>111</v>
      </c>
      <c r="B8">
        <v>1</v>
      </c>
    </row>
    <row r="9" spans="1:2">
      <c r="A9" s="7" t="s">
        <v>108</v>
      </c>
      <c r="B9">
        <v>1</v>
      </c>
    </row>
    <row r="10" spans="1:2">
      <c r="A10" s="7" t="s">
        <v>97</v>
      </c>
      <c r="B10">
        <v>2</v>
      </c>
    </row>
    <row r="11" spans="1:2">
      <c r="A11" s="7" t="s">
        <v>98</v>
      </c>
      <c r="B11">
        <v>1</v>
      </c>
    </row>
    <row r="12" spans="1:2">
      <c r="A12" s="7" t="s">
        <v>103</v>
      </c>
      <c r="B12">
        <v>1</v>
      </c>
    </row>
    <row r="13" spans="1:2">
      <c r="A13" s="7" t="s">
        <v>101</v>
      </c>
      <c r="B13">
        <v>1</v>
      </c>
    </row>
    <row r="14" spans="1:2">
      <c r="A14" s="7" t="s">
        <v>100</v>
      </c>
      <c r="B14">
        <v>1</v>
      </c>
    </row>
    <row r="15" spans="1:2">
      <c r="A15" s="7" t="s">
        <v>60</v>
      </c>
      <c r="B15">
        <v>26</v>
      </c>
    </row>
    <row r="16" spans="1:2">
      <c r="A16" s="7" t="s">
        <v>102</v>
      </c>
      <c r="B16">
        <v>3</v>
      </c>
    </row>
    <row r="17" spans="1:5">
      <c r="A17" s="7" t="s">
        <v>110</v>
      </c>
      <c r="B17">
        <v>1</v>
      </c>
    </row>
    <row r="18" spans="1:5">
      <c r="A18" s="7" t="s">
        <v>107</v>
      </c>
      <c r="B18">
        <v>1</v>
      </c>
    </row>
    <row r="19" spans="1:5">
      <c r="A19" s="7" t="s">
        <v>109</v>
      </c>
      <c r="B19">
        <v>1</v>
      </c>
    </row>
    <row r="20" spans="1:5">
      <c r="A20" s="7" t="s">
        <v>106</v>
      </c>
      <c r="B20">
        <v>2</v>
      </c>
    </row>
    <row r="21" spans="1:5">
      <c r="A21" s="7" t="s">
        <v>94</v>
      </c>
    </row>
    <row r="22" spans="1:5">
      <c r="A22" s="7" t="s">
        <v>95</v>
      </c>
      <c r="B22">
        <v>57</v>
      </c>
    </row>
    <row r="29" spans="1:5">
      <c r="A29" s="7" t="s">
        <v>99</v>
      </c>
      <c r="B29">
        <v>2</v>
      </c>
    </row>
    <row r="30" spans="1:5">
      <c r="A30" s="7" t="s">
        <v>112</v>
      </c>
      <c r="B30">
        <v>1</v>
      </c>
      <c r="E30">
        <v>1</v>
      </c>
    </row>
    <row r="31" spans="1:5">
      <c r="A31" s="7" t="s">
        <v>104</v>
      </c>
      <c r="B31">
        <v>2</v>
      </c>
      <c r="E31">
        <v>2</v>
      </c>
    </row>
    <row r="32" spans="1:5">
      <c r="A32" s="7" t="s">
        <v>105</v>
      </c>
      <c r="B32">
        <v>10</v>
      </c>
      <c r="E32">
        <v>10</v>
      </c>
    </row>
    <row r="33" spans="1:9">
      <c r="A33" s="7" t="s">
        <v>111</v>
      </c>
      <c r="B33">
        <v>1</v>
      </c>
      <c r="E33">
        <v>1</v>
      </c>
    </row>
    <row r="34" spans="1:9">
      <c r="A34" s="7" t="s">
        <v>108</v>
      </c>
      <c r="B34">
        <v>1</v>
      </c>
      <c r="E34">
        <v>1</v>
      </c>
    </row>
    <row r="35" spans="1:9">
      <c r="A35" s="7" t="s">
        <v>97</v>
      </c>
      <c r="B35">
        <v>2</v>
      </c>
      <c r="E35">
        <v>2</v>
      </c>
      <c r="H35" t="s">
        <v>116</v>
      </c>
      <c r="I35">
        <f>20/57</f>
        <v>0.35087719298245612</v>
      </c>
    </row>
    <row r="36" spans="1:9">
      <c r="A36" s="7" t="s">
        <v>98</v>
      </c>
      <c r="B36">
        <v>1</v>
      </c>
      <c r="E36">
        <v>1</v>
      </c>
    </row>
    <row r="37" spans="1:9">
      <c r="A37" s="7" t="s">
        <v>103</v>
      </c>
      <c r="B37">
        <v>1</v>
      </c>
      <c r="E37">
        <v>1</v>
      </c>
    </row>
    <row r="38" spans="1:9">
      <c r="A38" s="7" t="s">
        <v>101</v>
      </c>
      <c r="B38">
        <v>1</v>
      </c>
      <c r="E38">
        <v>1</v>
      </c>
      <c r="H38" s="7" t="s">
        <v>99</v>
      </c>
      <c r="I38">
        <v>2</v>
      </c>
    </row>
    <row r="39" spans="1:9" ht="48">
      <c r="A39" s="7" t="s">
        <v>100</v>
      </c>
      <c r="B39">
        <v>1</v>
      </c>
      <c r="E39">
        <v>1</v>
      </c>
      <c r="H39" s="4" t="s">
        <v>114</v>
      </c>
      <c r="I39">
        <f>SUM(E30:E39)</f>
        <v>21</v>
      </c>
    </row>
    <row r="40" spans="1:9">
      <c r="A40" s="7" t="s">
        <v>60</v>
      </c>
      <c r="B40">
        <v>26</v>
      </c>
      <c r="D40">
        <v>26</v>
      </c>
      <c r="H40" t="s">
        <v>60</v>
      </c>
      <c r="I40">
        <f>SUM(D40:D45)</f>
        <v>34</v>
      </c>
    </row>
    <row r="41" spans="1:9">
      <c r="A41" s="7" t="s">
        <v>102</v>
      </c>
      <c r="B41">
        <v>3</v>
      </c>
      <c r="D41">
        <v>3</v>
      </c>
    </row>
    <row r="42" spans="1:9">
      <c r="A42" s="7" t="s">
        <v>110</v>
      </c>
      <c r="B42">
        <v>1</v>
      </c>
      <c r="D42">
        <v>1</v>
      </c>
      <c r="H42" t="s">
        <v>115</v>
      </c>
      <c r="I42">
        <f>34/ (34+21)</f>
        <v>0.61818181818181817</v>
      </c>
    </row>
    <row r="43" spans="1:9">
      <c r="A43" s="7" t="s">
        <v>107</v>
      </c>
      <c r="B43">
        <v>1</v>
      </c>
      <c r="D43">
        <v>1</v>
      </c>
    </row>
    <row r="44" spans="1:9">
      <c r="A44" s="7" t="s">
        <v>109</v>
      </c>
      <c r="B44">
        <v>1</v>
      </c>
      <c r="D44">
        <v>1</v>
      </c>
    </row>
    <row r="45" spans="1:9">
      <c r="A45" s="7" t="s">
        <v>106</v>
      </c>
      <c r="B45">
        <v>2</v>
      </c>
      <c r="D45">
        <v>2</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1936-E884-2F46-ADCE-E338D872A5DA}">
  <dimension ref="A3:N93"/>
  <sheetViews>
    <sheetView topLeftCell="A27" workbookViewId="0">
      <selection activeCell="H33" sqref="H33"/>
    </sheetView>
  </sheetViews>
  <sheetFormatPr baseColWidth="10" defaultRowHeight="15"/>
  <cols>
    <col min="1" max="1" width="98" bestFit="1" customWidth="1"/>
    <col min="2" max="2" width="52.6640625" bestFit="1" customWidth="1"/>
    <col min="3" max="3" width="9.83203125" bestFit="1" customWidth="1"/>
    <col min="4" max="4" width="12.83203125" bestFit="1" customWidth="1"/>
    <col min="5" max="6" width="10.6640625" bestFit="1" customWidth="1"/>
    <col min="7" max="7" width="12.83203125" bestFit="1" customWidth="1"/>
    <col min="8" max="13" width="10.6640625" bestFit="1" customWidth="1"/>
    <col min="14" max="14" width="9.6640625" bestFit="1" customWidth="1"/>
    <col min="15" max="17" width="9.83203125" bestFit="1" customWidth="1"/>
    <col min="18" max="18" width="8.83203125" bestFit="1" customWidth="1"/>
    <col min="19" max="30" width="9.83203125" bestFit="1" customWidth="1"/>
    <col min="31" max="31" width="8.83203125" bestFit="1" customWidth="1"/>
    <col min="32" max="50" width="9.83203125" bestFit="1" customWidth="1"/>
    <col min="51" max="51" width="8.83203125" bestFit="1" customWidth="1"/>
    <col min="52" max="58" width="9.83203125" bestFit="1" customWidth="1"/>
    <col min="59" max="59" width="6.33203125" bestFit="1" customWidth="1"/>
    <col min="60" max="60" width="10" bestFit="1" customWidth="1"/>
  </cols>
  <sheetData>
    <row r="3" spans="1:2">
      <c r="A3" s="6" t="s">
        <v>93</v>
      </c>
      <c r="B3" t="s">
        <v>171</v>
      </c>
    </row>
    <row r="4" spans="1:2">
      <c r="A4" s="7" t="s">
        <v>172</v>
      </c>
      <c r="B4">
        <v>2</v>
      </c>
    </row>
    <row r="5" spans="1:2">
      <c r="A5" s="8" t="s">
        <v>25</v>
      </c>
      <c r="B5">
        <v>1</v>
      </c>
    </row>
    <row r="6" spans="1:2">
      <c r="A6" s="8" t="s">
        <v>52</v>
      </c>
      <c r="B6">
        <v>1</v>
      </c>
    </row>
    <row r="7" spans="1:2">
      <c r="A7" s="7" t="s">
        <v>173</v>
      </c>
      <c r="B7">
        <v>1</v>
      </c>
    </row>
    <row r="8" spans="1:2">
      <c r="A8" s="8" t="s">
        <v>59</v>
      </c>
      <c r="B8">
        <v>1</v>
      </c>
    </row>
    <row r="9" spans="1:2">
      <c r="A9" s="7" t="s">
        <v>174</v>
      </c>
      <c r="B9">
        <v>2</v>
      </c>
    </row>
    <row r="10" spans="1:2">
      <c r="A10" s="8" t="s">
        <v>24</v>
      </c>
      <c r="B10">
        <v>1</v>
      </c>
    </row>
    <row r="11" spans="1:2">
      <c r="A11" s="8" t="s">
        <v>28</v>
      </c>
      <c r="B11">
        <v>1</v>
      </c>
    </row>
    <row r="12" spans="1:2">
      <c r="A12" s="7" t="s">
        <v>175</v>
      </c>
      <c r="B12">
        <v>1</v>
      </c>
    </row>
    <row r="13" spans="1:2">
      <c r="A13" s="8" t="s">
        <v>57</v>
      </c>
      <c r="B13">
        <v>1</v>
      </c>
    </row>
    <row r="14" spans="1:2">
      <c r="A14" s="7" t="s">
        <v>176</v>
      </c>
      <c r="B14">
        <v>8</v>
      </c>
    </row>
    <row r="15" spans="1:2">
      <c r="A15" s="8" t="s">
        <v>11</v>
      </c>
      <c r="B15">
        <v>1</v>
      </c>
    </row>
    <row r="16" spans="1:2">
      <c r="A16" s="8" t="s">
        <v>14</v>
      </c>
      <c r="B16">
        <v>1</v>
      </c>
    </row>
    <row r="17" spans="1:2">
      <c r="A17" s="8" t="s">
        <v>16</v>
      </c>
      <c r="B17">
        <v>1</v>
      </c>
    </row>
    <row r="18" spans="1:2">
      <c r="A18" s="8" t="s">
        <v>17</v>
      </c>
      <c r="B18">
        <v>1</v>
      </c>
    </row>
    <row r="19" spans="1:2">
      <c r="A19" s="8" t="s">
        <v>23</v>
      </c>
      <c r="B19">
        <v>1</v>
      </c>
    </row>
    <row r="20" spans="1:2">
      <c r="A20" s="8" t="s">
        <v>30</v>
      </c>
      <c r="B20">
        <v>1</v>
      </c>
    </row>
    <row r="21" spans="1:2">
      <c r="A21" s="8" t="s">
        <v>46</v>
      </c>
      <c r="B21">
        <v>1</v>
      </c>
    </row>
    <row r="22" spans="1:2">
      <c r="A22" s="8" t="s">
        <v>50</v>
      </c>
      <c r="B22">
        <v>1</v>
      </c>
    </row>
    <row r="23" spans="1:2">
      <c r="A23" s="7" t="s">
        <v>177</v>
      </c>
      <c r="B23">
        <v>1</v>
      </c>
    </row>
    <row r="24" spans="1:2">
      <c r="A24" s="8" t="s">
        <v>9</v>
      </c>
      <c r="B24">
        <v>1</v>
      </c>
    </row>
    <row r="25" spans="1:2">
      <c r="A25" s="9" t="s">
        <v>178</v>
      </c>
      <c r="B25" s="15">
        <v>1</v>
      </c>
    </row>
    <row r="26" spans="1:2">
      <c r="A26" s="10" t="s">
        <v>35</v>
      </c>
      <c r="B26">
        <v>1</v>
      </c>
    </row>
    <row r="27" spans="1:2">
      <c r="A27" s="7" t="s">
        <v>179</v>
      </c>
      <c r="B27">
        <v>1</v>
      </c>
    </row>
    <row r="28" spans="1:2">
      <c r="A28" s="8" t="s">
        <v>42</v>
      </c>
      <c r="B28">
        <v>1</v>
      </c>
    </row>
    <row r="29" spans="1:2">
      <c r="A29" s="7" t="s">
        <v>180</v>
      </c>
      <c r="B29">
        <v>2</v>
      </c>
    </row>
    <row r="30" spans="1:2">
      <c r="A30" s="8" t="s">
        <v>15</v>
      </c>
      <c r="B30">
        <v>1</v>
      </c>
    </row>
    <row r="31" spans="1:2">
      <c r="A31" s="8" t="s">
        <v>49</v>
      </c>
      <c r="B31">
        <v>1</v>
      </c>
    </row>
    <row r="32" spans="1:2">
      <c r="A32" s="7" t="s">
        <v>181</v>
      </c>
      <c r="B32">
        <v>1</v>
      </c>
    </row>
    <row r="33" spans="1:14">
      <c r="A33" s="8" t="s">
        <v>6</v>
      </c>
      <c r="B33">
        <v>1</v>
      </c>
    </row>
    <row r="34" spans="1:14">
      <c r="A34" s="9" t="s">
        <v>182</v>
      </c>
      <c r="B34" s="15">
        <v>1</v>
      </c>
    </row>
    <row r="35" spans="1:14">
      <c r="A35" s="10" t="s">
        <v>58</v>
      </c>
      <c r="B35">
        <v>1</v>
      </c>
    </row>
    <row r="36" spans="1:14">
      <c r="A36" s="7" t="s">
        <v>183</v>
      </c>
      <c r="B36">
        <v>1</v>
      </c>
      <c r="E36">
        <v>1</v>
      </c>
      <c r="H36" t="s">
        <v>208</v>
      </c>
      <c r="I36">
        <f>32/(21+34)</f>
        <v>0.58181818181818179</v>
      </c>
    </row>
    <row r="37" spans="1:14">
      <c r="A37" s="8" t="s">
        <v>53</v>
      </c>
      <c r="B37">
        <v>1</v>
      </c>
      <c r="E37">
        <v>1</v>
      </c>
      <c r="H37" t="s">
        <v>209</v>
      </c>
      <c r="I37">
        <f>34/(21+34)</f>
        <v>0.61818181818181817</v>
      </c>
    </row>
    <row r="38" spans="1:14">
      <c r="A38" s="7" t="s">
        <v>184</v>
      </c>
      <c r="B38">
        <v>1</v>
      </c>
      <c r="E38">
        <v>6</v>
      </c>
    </row>
    <row r="39" spans="1:14">
      <c r="A39" s="8" t="s">
        <v>44</v>
      </c>
      <c r="B39">
        <v>1</v>
      </c>
      <c r="E39">
        <v>1</v>
      </c>
    </row>
    <row r="40" spans="1:14">
      <c r="A40" s="11" t="s">
        <v>185</v>
      </c>
      <c r="B40" s="13">
        <v>1</v>
      </c>
    </row>
    <row r="41" spans="1:14">
      <c r="A41" s="12" t="s">
        <v>56</v>
      </c>
      <c r="B41">
        <v>1</v>
      </c>
    </row>
    <row r="42" spans="1:14">
      <c r="A42" s="7" t="s">
        <v>186</v>
      </c>
      <c r="B42">
        <v>2</v>
      </c>
    </row>
    <row r="43" spans="1:14">
      <c r="A43" s="8" t="s">
        <v>7</v>
      </c>
      <c r="B43">
        <v>1</v>
      </c>
    </row>
    <row r="44" spans="1:14">
      <c r="A44" s="8" t="s">
        <v>55</v>
      </c>
      <c r="B44">
        <v>1</v>
      </c>
      <c r="D44" s="14" t="s">
        <v>196</v>
      </c>
      <c r="E44" s="14">
        <v>4</v>
      </c>
      <c r="F44" s="15">
        <v>2</v>
      </c>
      <c r="G44" s="15" t="s">
        <v>197</v>
      </c>
      <c r="I44" s="8"/>
      <c r="J44" s="8"/>
      <c r="K44" s="8"/>
      <c r="L44" s="8"/>
      <c r="M44" s="8"/>
      <c r="N44" s="8"/>
    </row>
    <row r="45" spans="1:14">
      <c r="A45" s="11" t="s">
        <v>187</v>
      </c>
      <c r="B45" s="13">
        <v>3</v>
      </c>
      <c r="E45" s="12" t="s">
        <v>41</v>
      </c>
      <c r="F45" s="10" t="s">
        <v>35</v>
      </c>
    </row>
    <row r="46" spans="1:14">
      <c r="A46" s="12" t="s">
        <v>41</v>
      </c>
      <c r="B46">
        <v>1</v>
      </c>
      <c r="E46" s="12" t="s">
        <v>48</v>
      </c>
      <c r="F46" s="10" t="s">
        <v>58</v>
      </c>
    </row>
    <row r="47" spans="1:14">
      <c r="A47" s="12" t="s">
        <v>48</v>
      </c>
      <c r="B47">
        <v>1</v>
      </c>
      <c r="E47" s="12" t="s">
        <v>51</v>
      </c>
    </row>
    <row r="48" spans="1:14">
      <c r="A48" s="12" t="s">
        <v>51</v>
      </c>
      <c r="B48">
        <v>1</v>
      </c>
      <c r="E48" s="12" t="s">
        <v>56</v>
      </c>
    </row>
    <row r="49" spans="1:9">
      <c r="A49" s="7" t="s">
        <v>188</v>
      </c>
      <c r="B49">
        <v>1</v>
      </c>
    </row>
    <row r="50" spans="1:9">
      <c r="A50" s="8" t="s">
        <v>39</v>
      </c>
      <c r="B50">
        <v>1</v>
      </c>
    </row>
    <row r="51" spans="1:9">
      <c r="A51" s="7" t="s">
        <v>189</v>
      </c>
      <c r="B51">
        <v>5</v>
      </c>
    </row>
    <row r="52" spans="1:9">
      <c r="A52" s="8" t="s">
        <v>19</v>
      </c>
      <c r="B52">
        <v>1</v>
      </c>
    </row>
    <row r="53" spans="1:9">
      <c r="A53" s="8" t="s">
        <v>20</v>
      </c>
      <c r="B53">
        <v>1</v>
      </c>
    </row>
    <row r="54" spans="1:9">
      <c r="A54" s="8" t="s">
        <v>21</v>
      </c>
      <c r="B54">
        <v>1</v>
      </c>
    </row>
    <row r="55" spans="1:9">
      <c r="A55" s="8" t="s">
        <v>5</v>
      </c>
      <c r="B55">
        <v>1</v>
      </c>
    </row>
    <row r="56" spans="1:9">
      <c r="A56" s="8" t="s">
        <v>45</v>
      </c>
      <c r="B56">
        <v>1</v>
      </c>
    </row>
    <row r="57" spans="1:9">
      <c r="A57" s="7" t="s">
        <v>190</v>
      </c>
      <c r="B57">
        <v>1</v>
      </c>
      <c r="I57" s="16" t="s">
        <v>5</v>
      </c>
    </row>
    <row r="58" spans="1:9">
      <c r="A58" s="8" t="s">
        <v>31</v>
      </c>
      <c r="B58">
        <v>1</v>
      </c>
      <c r="I58" s="16" t="s">
        <v>20</v>
      </c>
    </row>
    <row r="59" spans="1:9">
      <c r="A59" s="7" t="s">
        <v>191</v>
      </c>
      <c r="B59">
        <v>11</v>
      </c>
      <c r="I59" s="16" t="s">
        <v>22</v>
      </c>
    </row>
    <row r="60" spans="1:9">
      <c r="A60" s="8" t="s">
        <v>8</v>
      </c>
      <c r="B60">
        <v>1</v>
      </c>
      <c r="I60" s="16" t="s">
        <v>32</v>
      </c>
    </row>
    <row r="61" spans="1:9">
      <c r="A61" s="8" t="s">
        <v>12</v>
      </c>
      <c r="B61">
        <v>1</v>
      </c>
      <c r="I61" s="12" t="s">
        <v>54</v>
      </c>
    </row>
    <row r="62" spans="1:9">
      <c r="A62" s="8" t="s">
        <v>13</v>
      </c>
      <c r="B62">
        <v>1</v>
      </c>
    </row>
    <row r="63" spans="1:9">
      <c r="A63" s="8" t="s">
        <v>18</v>
      </c>
      <c r="B63">
        <v>1</v>
      </c>
    </row>
    <row r="64" spans="1:9">
      <c r="A64" s="8" t="s">
        <v>3</v>
      </c>
      <c r="B64">
        <v>1</v>
      </c>
    </row>
    <row r="65" spans="1:2">
      <c r="A65" s="8" t="s">
        <v>4</v>
      </c>
      <c r="B65">
        <v>1</v>
      </c>
    </row>
    <row r="66" spans="1:2">
      <c r="A66" s="8" t="s">
        <v>34</v>
      </c>
      <c r="B66">
        <v>1</v>
      </c>
    </row>
    <row r="67" spans="1:2">
      <c r="A67" s="8" t="s">
        <v>36</v>
      </c>
      <c r="B67">
        <v>1</v>
      </c>
    </row>
    <row r="68" spans="1:2">
      <c r="A68" s="8" t="s">
        <v>37</v>
      </c>
      <c r="B68">
        <v>1</v>
      </c>
    </row>
    <row r="69" spans="1:2">
      <c r="A69" s="8" t="s">
        <v>38</v>
      </c>
      <c r="B69">
        <v>1</v>
      </c>
    </row>
    <row r="70" spans="1:2">
      <c r="A70" s="8" t="s">
        <v>40</v>
      </c>
      <c r="B70">
        <v>1</v>
      </c>
    </row>
    <row r="71" spans="1:2">
      <c r="A71" s="7" t="s">
        <v>192</v>
      </c>
      <c r="B71">
        <v>1</v>
      </c>
    </row>
    <row r="72" spans="1:2">
      <c r="A72" s="8" t="s">
        <v>47</v>
      </c>
      <c r="B72">
        <v>1</v>
      </c>
    </row>
    <row r="73" spans="1:2">
      <c r="A73" s="7" t="s">
        <v>193</v>
      </c>
      <c r="B73">
        <v>1</v>
      </c>
    </row>
    <row r="74" spans="1:2">
      <c r="A74" s="8" t="s">
        <v>29</v>
      </c>
      <c r="B74">
        <v>1</v>
      </c>
    </row>
    <row r="75" spans="1:2">
      <c r="A75" s="7" t="s">
        <v>194</v>
      </c>
      <c r="B75">
        <v>1</v>
      </c>
    </row>
    <row r="76" spans="1:2">
      <c r="A76" s="8" t="s">
        <v>43</v>
      </c>
      <c r="B76">
        <v>1</v>
      </c>
    </row>
    <row r="77" spans="1:2">
      <c r="A77" s="7" t="s">
        <v>195</v>
      </c>
      <c r="B77">
        <v>1</v>
      </c>
    </row>
    <row r="78" spans="1:2">
      <c r="A78" s="8" t="s">
        <v>27</v>
      </c>
      <c r="B78">
        <v>1</v>
      </c>
    </row>
    <row r="79" spans="1:2">
      <c r="A79" s="7" t="s">
        <v>94</v>
      </c>
    </row>
    <row r="80" spans="1:2">
      <c r="A80" s="8" t="s">
        <v>94</v>
      </c>
    </row>
    <row r="81" spans="1:2">
      <c r="A81" s="7" t="s">
        <v>201</v>
      </c>
      <c r="B81">
        <v>1</v>
      </c>
    </row>
    <row r="82" spans="1:2">
      <c r="A82" s="8" t="s">
        <v>10</v>
      </c>
      <c r="B82">
        <v>1</v>
      </c>
    </row>
    <row r="83" spans="1:2">
      <c r="A83" s="7" t="s">
        <v>202</v>
      </c>
      <c r="B83">
        <v>1</v>
      </c>
    </row>
    <row r="84" spans="1:2">
      <c r="A84" s="8" t="s">
        <v>22</v>
      </c>
      <c r="B84">
        <v>1</v>
      </c>
    </row>
    <row r="85" spans="1:2">
      <c r="A85" s="7" t="s">
        <v>203</v>
      </c>
      <c r="B85">
        <v>1</v>
      </c>
    </row>
    <row r="86" spans="1:2">
      <c r="A86" s="8" t="s">
        <v>32</v>
      </c>
      <c r="B86">
        <v>1</v>
      </c>
    </row>
    <row r="87" spans="1:2">
      <c r="A87" s="7" t="s">
        <v>204</v>
      </c>
      <c r="B87">
        <v>1</v>
      </c>
    </row>
    <row r="88" spans="1:2">
      <c r="A88" s="8" t="s">
        <v>33</v>
      </c>
      <c r="B88">
        <v>1</v>
      </c>
    </row>
    <row r="89" spans="1:2">
      <c r="A89" s="7" t="s">
        <v>205</v>
      </c>
      <c r="B89">
        <v>1</v>
      </c>
    </row>
    <row r="90" spans="1:2">
      <c r="A90" s="8" t="s">
        <v>26</v>
      </c>
      <c r="B90">
        <v>1</v>
      </c>
    </row>
    <row r="91" spans="1:2">
      <c r="A91" s="7" t="s">
        <v>206</v>
      </c>
      <c r="B91">
        <v>1</v>
      </c>
    </row>
    <row r="92" spans="1:2">
      <c r="A92" s="8" t="s">
        <v>54</v>
      </c>
      <c r="B92">
        <v>1</v>
      </c>
    </row>
    <row r="93" spans="1:2">
      <c r="A93" s="7" t="s">
        <v>95</v>
      </c>
      <c r="B93">
        <v>57</v>
      </c>
    </row>
  </sheetData>
  <sortState xmlns:xlrd2="http://schemas.microsoft.com/office/spreadsheetml/2017/richdata2" ref="E45:E53">
    <sortCondition ref="E45:E5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tabSelected="1" topLeftCell="A8" zoomScale="67" workbookViewId="0">
      <pane xSplit="1" topLeftCell="B1" activePane="topRight" state="frozen"/>
      <selection pane="topRight" activeCell="E15" sqref="E15"/>
    </sheetView>
  </sheetViews>
  <sheetFormatPr baseColWidth="10" defaultColWidth="8.83203125" defaultRowHeight="15"/>
  <cols>
    <col min="1" max="1" width="19.1640625" customWidth="1"/>
    <col min="2" max="2" width="21.83203125" customWidth="1"/>
    <col min="3" max="3" width="49" customWidth="1"/>
    <col min="4" max="4" width="30.5" customWidth="1"/>
    <col min="5" max="5" width="28.83203125" customWidth="1"/>
    <col min="6" max="6" width="7.83203125" style="180" customWidth="1"/>
    <col min="7" max="7" width="35.6640625" customWidth="1"/>
    <col min="8" max="8" width="48.6640625" customWidth="1"/>
    <col min="9" max="9" width="99.83203125" customWidth="1"/>
    <col min="10" max="10" width="43.6640625" customWidth="1"/>
    <col min="11" max="11" width="65.33203125" bestFit="1" customWidth="1"/>
    <col min="12" max="12" width="62.83203125" style="4" customWidth="1"/>
  </cols>
  <sheetData>
    <row r="1" spans="1:12">
      <c r="A1" s="1" t="s">
        <v>0</v>
      </c>
      <c r="B1" s="1" t="s">
        <v>91</v>
      </c>
      <c r="C1" s="1" t="s">
        <v>210</v>
      </c>
      <c r="D1" s="1" t="s">
        <v>167</v>
      </c>
      <c r="E1" s="1" t="s">
        <v>207</v>
      </c>
      <c r="F1" s="179" t="s">
        <v>117</v>
      </c>
      <c r="G1" s="1" t="s">
        <v>168</v>
      </c>
      <c r="H1" s="1" t="s">
        <v>170</v>
      </c>
      <c r="I1" s="1"/>
      <c r="J1" s="1" t="s">
        <v>1</v>
      </c>
      <c r="K1" s="1" t="s">
        <v>2</v>
      </c>
    </row>
    <row r="2" spans="1:12">
      <c r="A2" t="s">
        <v>3</v>
      </c>
      <c r="B2" t="s">
        <v>60</v>
      </c>
      <c r="C2" t="s">
        <v>60</v>
      </c>
      <c r="D2">
        <f>VLOOKUP(Sheet1!A2,Sheet5!B$1:AA$613,26,FALSE)</f>
        <v>0</v>
      </c>
      <c r="E2" t="str">
        <f>VLOOKUP(Sheet1!A2,Sheet5!B$1:AA$613,25,FALSE)</f>
        <v>success</v>
      </c>
      <c r="F2" s="180" t="s">
        <v>60</v>
      </c>
      <c r="G2" t="s">
        <v>60</v>
      </c>
      <c r="H2" t="str">
        <f xml:space="preserve"> C2 &amp; " v.s. " &amp; IF(AND(NOT(ISBLANK(F2)), NOT(ISBLANK(G2))), F2 &amp; " --&gt; " &amp; G2, F2 &amp; G2)</f>
        <v>Success v.s. Success --&gt; Success</v>
      </c>
      <c r="J2" t="s">
        <v>60</v>
      </c>
      <c r="K2" t="s">
        <v>64</v>
      </c>
      <c r="L2"/>
    </row>
    <row r="3" spans="1:12">
      <c r="A3" t="s">
        <v>4</v>
      </c>
      <c r="B3" t="s">
        <v>60</v>
      </c>
      <c r="C3" t="s">
        <v>60</v>
      </c>
      <c r="D3" t="str">
        <f>VLOOKUP(Sheet1!A3,Sheet5!B$1:AA$613,26,FALSE)</f>
        <v>success</v>
      </c>
      <c r="E3" t="str">
        <f>VLOOKUP(Sheet1!A3,Sheet5!B$1:AA$613,25,FALSE)</f>
        <v>success</v>
      </c>
      <c r="F3" s="180" t="s">
        <v>60</v>
      </c>
      <c r="G3" t="s">
        <v>60</v>
      </c>
      <c r="H3" t="str">
        <f t="shared" ref="H3:H58" si="0" xml:space="preserve"> C3 &amp; " v.s. " &amp; IF(AND(NOT(ISBLANK(F3)), NOT(ISBLANK(G3))), F3 &amp; " --&gt; " &amp; G3, F3 &amp; G3)</f>
        <v>Success v.s. Success --&gt; Success</v>
      </c>
      <c r="J3" t="s">
        <v>60</v>
      </c>
      <c r="K3" t="s">
        <v>64</v>
      </c>
      <c r="L3"/>
    </row>
    <row r="4" spans="1:12">
      <c r="A4" t="s">
        <v>5</v>
      </c>
      <c r="B4" t="s">
        <v>60</v>
      </c>
      <c r="C4" t="s">
        <v>60</v>
      </c>
      <c r="D4" t="str">
        <f>VLOOKUP(Sheet1!A4,Sheet5!B$1:AA$613,26,FALSE)</f>
        <v>failed</v>
      </c>
      <c r="E4" t="str">
        <f>VLOOKUP(Sheet1!A4,Sheet5!B$1:AA$613,25,FALSE)</f>
        <v>failed</v>
      </c>
      <c r="F4" s="180" t="s">
        <v>61</v>
      </c>
      <c r="G4" t="s">
        <v>60</v>
      </c>
      <c r="H4" t="str">
        <f t="shared" si="0"/>
        <v>Success v.s. Failed --&gt; Success</v>
      </c>
      <c r="I4" t="s">
        <v>120</v>
      </c>
      <c r="J4" t="s">
        <v>60</v>
      </c>
      <c r="K4" t="s">
        <v>64</v>
      </c>
      <c r="L4"/>
    </row>
    <row r="5" spans="1:12" ht="48">
      <c r="A5" t="s">
        <v>6</v>
      </c>
      <c r="B5" t="s">
        <v>61</v>
      </c>
      <c r="C5" t="s">
        <v>98</v>
      </c>
      <c r="D5" t="e">
        <f>VLOOKUP(Sheet1!A5,Sheet5!B$1:AA$613,26,FALSE)</f>
        <v>#N/A</v>
      </c>
      <c r="E5" t="e">
        <f>VLOOKUP(Sheet1!A5,Sheet5!B$1:AA$613,25,FALSE)</f>
        <v>#N/A</v>
      </c>
      <c r="F5" s="180" t="s">
        <v>119</v>
      </c>
      <c r="G5" s="177" t="s">
        <v>1787</v>
      </c>
      <c r="H5" t="str">
        <f t="shared" si="0"/>
        <v>Need Domain Knowledge - Aggregation target v.s. Failed  --&gt; Need Domain Knowledge</v>
      </c>
      <c r="I5" s="4" t="s">
        <v>118</v>
      </c>
      <c r="J5" t="s">
        <v>71</v>
      </c>
      <c r="K5" s="2" t="s">
        <v>70</v>
      </c>
      <c r="L5"/>
    </row>
    <row r="6" spans="1:12">
      <c r="A6" t="s">
        <v>7</v>
      </c>
      <c r="B6" t="s">
        <v>61</v>
      </c>
      <c r="C6" t="s">
        <v>102</v>
      </c>
      <c r="D6" t="str">
        <f>VLOOKUP(Sheet1!A6,Sheet5!B$1:AA$613,26,FALSE)</f>
        <v>failed</v>
      </c>
      <c r="E6" t="str">
        <f>VLOOKUP(Sheet1!A6,Sheet5!B$1:AA$613,25,FALSE)</f>
        <v>succes</v>
      </c>
      <c r="F6" s="180" t="s">
        <v>60</v>
      </c>
      <c r="G6" t="s">
        <v>60</v>
      </c>
      <c r="H6" t="str">
        <f t="shared" si="0"/>
        <v>Success - next iteration v.s. Success --&gt; Success</v>
      </c>
      <c r="J6" t="s">
        <v>62</v>
      </c>
      <c r="K6" t="s">
        <v>65</v>
      </c>
      <c r="L6" s="3" t="s">
        <v>80</v>
      </c>
    </row>
    <row r="7" spans="1:12">
      <c r="A7" t="s">
        <v>8</v>
      </c>
      <c r="B7" t="s">
        <v>60</v>
      </c>
      <c r="C7" t="s">
        <v>60</v>
      </c>
      <c r="D7" t="str">
        <f>VLOOKUP(Sheet1!A7,Sheet5!B$1:AA$613,26,FALSE)</f>
        <v>failed</v>
      </c>
      <c r="E7" t="str">
        <f>VLOOKUP(Sheet1!A7,Sheet5!B$1:AA$613,25,FALSE)</f>
        <v>failed</v>
      </c>
      <c r="F7" s="180" t="s">
        <v>60</v>
      </c>
      <c r="G7" t="s">
        <v>60</v>
      </c>
      <c r="H7" t="str">
        <f t="shared" si="0"/>
        <v>Success v.s. Success --&gt; Success</v>
      </c>
      <c r="J7" t="s">
        <v>60</v>
      </c>
      <c r="K7" t="s">
        <v>64</v>
      </c>
      <c r="L7"/>
    </row>
    <row r="8" spans="1:12">
      <c r="A8" t="s">
        <v>9</v>
      </c>
      <c r="B8" t="s">
        <v>61</v>
      </c>
      <c r="C8" t="s">
        <v>105</v>
      </c>
      <c r="D8" t="str">
        <f>VLOOKUP(Sheet1!A8,Sheet5!B$1:AA$613,26,FALSE)</f>
        <v>failed</v>
      </c>
      <c r="E8" t="str">
        <f>VLOOKUP(Sheet1!A8,Sheet5!B$1:AA$613,25,FALSE)</f>
        <v>failed</v>
      </c>
      <c r="F8" s="180" t="s">
        <v>61</v>
      </c>
      <c r="G8" s="177" t="s">
        <v>1787</v>
      </c>
      <c r="H8" t="str">
        <f t="shared" si="0"/>
        <v>Failed - failed to aggregate - low entropy - domain knowledge v.s. Failed --&gt; Need Domain Knowledge</v>
      </c>
      <c r="I8" t="s">
        <v>121</v>
      </c>
      <c r="J8" t="s">
        <v>71</v>
      </c>
      <c r="K8" s="2" t="s">
        <v>70</v>
      </c>
      <c r="L8"/>
    </row>
    <row r="9" spans="1:12" ht="32">
      <c r="A9" t="s">
        <v>10</v>
      </c>
      <c r="B9" t="s">
        <v>61</v>
      </c>
      <c r="C9" t="s">
        <v>198</v>
      </c>
      <c r="D9" t="str">
        <f>VLOOKUP(Sheet1!A9,Sheet5!B$1:AA$613,26,FALSE)</f>
        <v>failed</v>
      </c>
      <c r="E9" t="str">
        <f>VLOOKUP(Sheet1!A9,Sheet5!B$1:AA$613,25,FALSE)</f>
        <v>Still failed even after clean.py pre processing</v>
      </c>
      <c r="F9" s="180" t="s">
        <v>123</v>
      </c>
      <c r="G9" t="s">
        <v>60</v>
      </c>
      <c r="H9" t="str">
        <f t="shared" si="0"/>
        <v>Success - preprocessing v.s. Failed - syntax --&gt; Success</v>
      </c>
      <c r="I9" s="4" t="s">
        <v>122</v>
      </c>
      <c r="J9" t="s">
        <v>62</v>
      </c>
      <c r="L9"/>
    </row>
    <row r="10" spans="1:12">
      <c r="A10" t="s">
        <v>11</v>
      </c>
      <c r="B10" t="s">
        <v>61</v>
      </c>
      <c r="C10" t="s">
        <v>105</v>
      </c>
      <c r="D10" t="str">
        <f>VLOOKUP(Sheet1!A10,Sheet5!B$1:AA$613,26,FALSE)</f>
        <v>failed</v>
      </c>
      <c r="E10" t="str">
        <f>VLOOKUP(Sheet1!A10,Sheet5!B$1:AA$613,25,FALSE)</f>
        <v>failed</v>
      </c>
      <c r="F10" s="180" t="s">
        <v>61</v>
      </c>
      <c r="G10" s="177" t="s">
        <v>1787</v>
      </c>
      <c r="H10" t="str">
        <f t="shared" si="0"/>
        <v>Failed - failed to aggregate - low entropy - domain knowledge v.s. Failed --&gt; Need Domain Knowledge</v>
      </c>
      <c r="I10" t="s">
        <v>124</v>
      </c>
      <c r="J10" t="s">
        <v>71</v>
      </c>
      <c r="K10" s="2" t="s">
        <v>70</v>
      </c>
      <c r="L10"/>
    </row>
    <row r="11" spans="1:12">
      <c r="A11" t="s">
        <v>12</v>
      </c>
      <c r="B11" t="s">
        <v>60</v>
      </c>
      <c r="C11" t="s">
        <v>60</v>
      </c>
      <c r="D11" t="str">
        <f>VLOOKUP(Sheet1!A11,Sheet5!B$1:AA$613,26,FALSE)</f>
        <v>failed</v>
      </c>
      <c r="E11" t="str">
        <f>VLOOKUP(Sheet1!A11,Sheet5!B$1:AA$613,25,FALSE)</f>
        <v>failed</v>
      </c>
      <c r="F11" s="180" t="s">
        <v>60</v>
      </c>
      <c r="G11" t="s">
        <v>60</v>
      </c>
      <c r="H11" t="str">
        <f t="shared" si="0"/>
        <v>Success v.s. Success --&gt; Success</v>
      </c>
      <c r="J11" t="s">
        <v>60</v>
      </c>
      <c r="K11" t="s">
        <v>64</v>
      </c>
      <c r="L11"/>
    </row>
    <row r="12" spans="1:12">
      <c r="A12" t="s">
        <v>13</v>
      </c>
      <c r="B12" t="s">
        <v>60</v>
      </c>
      <c r="C12" t="s">
        <v>60</v>
      </c>
      <c r="D12" t="str">
        <f>VLOOKUP(Sheet1!A12,Sheet5!B$1:AA$613,26,FALSE)</f>
        <v>failed</v>
      </c>
      <c r="E12" t="str">
        <f>VLOOKUP(Sheet1!A12,Sheet5!B$1:AA$613,25,FALSE)</f>
        <v>success</v>
      </c>
      <c r="F12" s="180" t="s">
        <v>60</v>
      </c>
      <c r="G12" t="s">
        <v>60</v>
      </c>
      <c r="H12" t="str">
        <f t="shared" si="0"/>
        <v>Success v.s. Success --&gt; Success</v>
      </c>
      <c r="J12" t="s">
        <v>60</v>
      </c>
      <c r="K12" t="s">
        <v>64</v>
      </c>
      <c r="L12"/>
    </row>
    <row r="13" spans="1:12">
      <c r="A13" t="s">
        <v>14</v>
      </c>
      <c r="B13" t="s">
        <v>61</v>
      </c>
      <c r="C13" t="s">
        <v>105</v>
      </c>
      <c r="D13" t="str">
        <f>VLOOKUP(Sheet1!A13,Sheet5!B$1:AA$613,26,FALSE)</f>
        <v>failed</v>
      </c>
      <c r="E13" t="str">
        <f>VLOOKUP(Sheet1!A13,Sheet5!B$1:AA$613,25,FALSE)</f>
        <v>failed</v>
      </c>
      <c r="F13" s="180" t="s">
        <v>61</v>
      </c>
      <c r="G13" s="177" t="s">
        <v>1787</v>
      </c>
      <c r="H13" t="str">
        <f t="shared" si="0"/>
        <v>Failed - failed to aggregate - low entropy - domain knowledge v.s. Failed --&gt; Need Domain Knowledge</v>
      </c>
      <c r="I13" t="s">
        <v>125</v>
      </c>
      <c r="J13" t="s">
        <v>71</v>
      </c>
      <c r="K13" s="2" t="s">
        <v>70</v>
      </c>
      <c r="L13"/>
    </row>
    <row r="14" spans="1:12" ht="32">
      <c r="A14" t="s">
        <v>15</v>
      </c>
      <c r="B14" t="s">
        <v>61</v>
      </c>
      <c r="C14" t="s">
        <v>97</v>
      </c>
      <c r="D14" t="str">
        <f>VLOOKUP(Sheet1!A14,Sheet5!B$1:AA$613,26,FALSE)</f>
        <v>failed</v>
      </c>
      <c r="E14" t="str">
        <f>VLOOKUP(Sheet1!A14,Sheet5!B$1:AA$613,25,FALSE)</f>
        <v>failed</v>
      </c>
      <c r="F14" s="180" t="s">
        <v>61</v>
      </c>
      <c r="G14" s="177" t="s">
        <v>1787</v>
      </c>
      <c r="H14" t="str">
        <f t="shared" si="0"/>
        <v>Need Domain Knowledge - Aggregation function v.s. Failed --&gt; Need Domain Knowledge</v>
      </c>
      <c r="I14" s="4" t="s">
        <v>126</v>
      </c>
      <c r="J14" t="s">
        <v>62</v>
      </c>
      <c r="K14" t="s">
        <v>66</v>
      </c>
      <c r="L14" s="4" t="s">
        <v>79</v>
      </c>
    </row>
    <row r="15" spans="1:12" ht="32">
      <c r="A15" t="s">
        <v>16</v>
      </c>
      <c r="B15" t="s">
        <v>61</v>
      </c>
      <c r="C15" t="s">
        <v>105</v>
      </c>
      <c r="D15" t="e">
        <f>VLOOKUP(Sheet1!A15,Sheet5!B$1:AA$613,26,FALSE)</f>
        <v>#N/A</v>
      </c>
      <c r="E15" t="e">
        <f>VLOOKUP(Sheet1!A15,Sheet5!B$1:AA$613,25,FALSE)</f>
        <v>#N/A</v>
      </c>
      <c r="F15" s="180" t="s">
        <v>61</v>
      </c>
      <c r="G15" s="177" t="s">
        <v>1787</v>
      </c>
      <c r="H15" t="str">
        <f t="shared" si="0"/>
        <v>Failed - failed to aggregate - low entropy - domain knowledge v.s. Failed --&gt; Need Domain Knowledge</v>
      </c>
      <c r="I15" s="4" t="s">
        <v>127</v>
      </c>
      <c r="J15" t="s">
        <v>71</v>
      </c>
      <c r="K15" s="2" t="s">
        <v>70</v>
      </c>
      <c r="L15"/>
    </row>
    <row r="16" spans="1:12">
      <c r="A16" t="s">
        <v>17</v>
      </c>
      <c r="B16" t="s">
        <v>61</v>
      </c>
      <c r="C16" t="s">
        <v>105</v>
      </c>
      <c r="D16" t="str">
        <f>VLOOKUP(Sheet1!A16,Sheet5!B$1:AA$613,26,FALSE)</f>
        <v>failed</v>
      </c>
      <c r="E16" t="str">
        <f>VLOOKUP(Sheet1!A16,Sheet5!B$1:AA$613,25,FALSE)</f>
        <v>failed</v>
      </c>
      <c r="F16" s="180" t="s">
        <v>61</v>
      </c>
      <c r="G16" s="177" t="s">
        <v>1787</v>
      </c>
      <c r="H16" t="str">
        <f t="shared" si="0"/>
        <v>Failed - failed to aggregate - low entropy - domain knowledge v.s. Failed --&gt; Need Domain Knowledge</v>
      </c>
      <c r="I16" t="s">
        <v>128</v>
      </c>
      <c r="J16" t="s">
        <v>71</v>
      </c>
      <c r="K16" s="2" t="s">
        <v>70</v>
      </c>
      <c r="L16"/>
    </row>
    <row r="17" spans="1:12">
      <c r="A17" t="s">
        <v>18</v>
      </c>
      <c r="B17" t="s">
        <v>60</v>
      </c>
      <c r="C17" t="s">
        <v>60</v>
      </c>
      <c r="D17" t="str">
        <f>VLOOKUP(Sheet1!A17,Sheet5!B$1:AA$613,26,FALSE)</f>
        <v>failed</v>
      </c>
      <c r="E17" t="str">
        <f>VLOOKUP(Sheet1!A17,Sheet5!B$1:AA$613,25,FALSE)</f>
        <v>success</v>
      </c>
      <c r="F17" s="180" t="s">
        <v>60</v>
      </c>
      <c r="G17" t="s">
        <v>60</v>
      </c>
      <c r="H17" t="str">
        <f t="shared" si="0"/>
        <v>Success v.s. Success --&gt; Success</v>
      </c>
      <c r="J17" t="s">
        <v>60</v>
      </c>
      <c r="K17" t="s">
        <v>64</v>
      </c>
      <c r="L17"/>
    </row>
    <row r="18" spans="1:12" ht="64">
      <c r="A18" t="s">
        <v>19</v>
      </c>
      <c r="B18" t="s">
        <v>60</v>
      </c>
      <c r="C18" t="s">
        <v>60</v>
      </c>
      <c r="D18" t="str">
        <f>VLOOKUP(Sheet1!A18,Sheet5!B$1:AA$613,26,FALSE)</f>
        <v>success</v>
      </c>
      <c r="E18" t="str">
        <f>VLOOKUP(Sheet1!A18,Sheet5!B$1:AA$613,25,FALSE)</f>
        <v>success</v>
      </c>
      <c r="F18" s="180" t="s">
        <v>61</v>
      </c>
      <c r="G18" t="s">
        <v>60</v>
      </c>
      <c r="H18" t="str">
        <f t="shared" si="0"/>
        <v>Success v.s. Failed --&gt; Success</v>
      </c>
      <c r="I18" s="4" t="s">
        <v>129</v>
      </c>
      <c r="J18" t="s">
        <v>60</v>
      </c>
      <c r="K18" t="s">
        <v>72</v>
      </c>
      <c r="L18" s="4" t="s">
        <v>90</v>
      </c>
    </row>
    <row r="19" spans="1:12" ht="16">
      <c r="A19" t="s">
        <v>20</v>
      </c>
      <c r="B19" t="s">
        <v>60</v>
      </c>
      <c r="C19" t="s">
        <v>60</v>
      </c>
      <c r="D19">
        <f>VLOOKUP(Sheet1!A19,Sheet5!B$1:AA$613,26,FALSE)</f>
        <v>0</v>
      </c>
      <c r="E19" t="str">
        <f>VLOOKUP(Sheet1!A19,Sheet5!B$1:AA$613,25,FALSE)</f>
        <v>failed</v>
      </c>
      <c r="F19" s="180" t="s">
        <v>61</v>
      </c>
      <c r="G19" t="s">
        <v>60</v>
      </c>
      <c r="H19" t="str">
        <f t="shared" si="0"/>
        <v>Success v.s. Failed --&gt; Success</v>
      </c>
      <c r="I19" s="4" t="s">
        <v>130</v>
      </c>
      <c r="J19" t="s">
        <v>60</v>
      </c>
      <c r="K19" t="s">
        <v>74</v>
      </c>
      <c r="L19"/>
    </row>
    <row r="20" spans="1:12" ht="32">
      <c r="A20" t="s">
        <v>21</v>
      </c>
      <c r="B20" t="s">
        <v>60</v>
      </c>
      <c r="C20" t="s">
        <v>60</v>
      </c>
      <c r="D20">
        <f>VLOOKUP(Sheet1!A20,Sheet5!B$1:AA$613,26,FALSE)</f>
        <v>0</v>
      </c>
      <c r="E20" t="str">
        <f>VLOOKUP(Sheet1!A20,Sheet5!B$1:AA$613,25,FALSE)</f>
        <v>failed</v>
      </c>
      <c r="F20" s="180" t="s">
        <v>61</v>
      </c>
      <c r="G20" t="s">
        <v>60</v>
      </c>
      <c r="H20" t="str">
        <f t="shared" si="0"/>
        <v>Success v.s. Failed --&gt; Success</v>
      </c>
      <c r="I20" s="4" t="s">
        <v>131</v>
      </c>
      <c r="J20" t="s">
        <v>60</v>
      </c>
      <c r="K20" t="s">
        <v>64</v>
      </c>
      <c r="L20"/>
    </row>
    <row r="21" spans="1:12" ht="48">
      <c r="A21" t="s">
        <v>22</v>
      </c>
      <c r="B21" t="s">
        <v>61</v>
      </c>
      <c r="C21" t="s">
        <v>198</v>
      </c>
      <c r="D21" t="str">
        <f>VLOOKUP(Sheet1!A21,Sheet5!B$1:AA$613,26,FALSE)</f>
        <v>data pre processing error</v>
      </c>
      <c r="E21">
        <f>VLOOKUP(Sheet1!A21,Sheet5!B$1:AA$613,25,FALSE)</f>
        <v>0</v>
      </c>
      <c r="F21" s="180" t="s">
        <v>61</v>
      </c>
      <c r="G21" t="s">
        <v>199</v>
      </c>
      <c r="H21" t="str">
        <f t="shared" si="0"/>
        <v>Success - preprocessing v.s. Failed --&gt; Success - takes more itr?</v>
      </c>
      <c r="I21" s="4" t="s">
        <v>132</v>
      </c>
      <c r="J21" t="s">
        <v>63</v>
      </c>
      <c r="K21" s="4" t="s">
        <v>81</v>
      </c>
      <c r="L21"/>
    </row>
    <row r="22" spans="1:12" ht="16">
      <c r="A22" t="s">
        <v>23</v>
      </c>
      <c r="B22" t="s">
        <v>61</v>
      </c>
      <c r="C22" t="s">
        <v>105</v>
      </c>
      <c r="D22" t="str">
        <f>VLOOKUP(Sheet1!A22,Sheet5!B$1:AA$613,26,FALSE)</f>
        <v>failed</v>
      </c>
      <c r="E22" t="str">
        <f>VLOOKUP(Sheet1!A22,Sheet5!B$1:AA$613,25,FALSE)</f>
        <v>failed</v>
      </c>
      <c r="F22" s="180" t="s">
        <v>61</v>
      </c>
      <c r="G22" s="177" t="s">
        <v>1787</v>
      </c>
      <c r="H22" t="str">
        <f t="shared" si="0"/>
        <v>Failed - failed to aggregate - low entropy - domain knowledge v.s. Failed --&gt; Need Domain Knowledge</v>
      </c>
      <c r="I22" s="4" t="s">
        <v>133</v>
      </c>
      <c r="J22" t="s">
        <v>71</v>
      </c>
      <c r="K22" s="2" t="s">
        <v>70</v>
      </c>
      <c r="L22"/>
    </row>
    <row r="23" spans="1:12" ht="16">
      <c r="A23" t="s">
        <v>24</v>
      </c>
      <c r="B23" t="s">
        <v>61</v>
      </c>
      <c r="C23" t="s">
        <v>104</v>
      </c>
      <c r="D23" t="str">
        <f>VLOOKUP(Sheet1!A23,Sheet5!B$1:AA$613,26,FALSE)</f>
        <v>data pre processing error</v>
      </c>
      <c r="E23">
        <f>VLOOKUP(Sheet1!A23,Sheet5!B$1:AA$613,25,FALSE)</f>
        <v>0</v>
      </c>
      <c r="F23" s="180" t="s">
        <v>61</v>
      </c>
      <c r="G23" s="177" t="s">
        <v>1787</v>
      </c>
      <c r="H23" t="str">
        <f t="shared" si="0"/>
        <v>Failed - failed to aggregate - low entropy - data type change v.s. Failed --&gt; Need Domain Knowledge</v>
      </c>
      <c r="I23" s="4" t="s">
        <v>134</v>
      </c>
      <c r="J23" t="s">
        <v>71</v>
      </c>
      <c r="K23" s="2" t="s">
        <v>70</v>
      </c>
      <c r="L23"/>
    </row>
    <row r="24" spans="1:12" ht="48">
      <c r="A24" t="s">
        <v>25</v>
      </c>
      <c r="B24" t="s">
        <v>61</v>
      </c>
      <c r="C24" t="s">
        <v>99</v>
      </c>
      <c r="D24" t="str">
        <f>VLOOKUP(Sheet1!A24,Sheet5!B$1:AA$613,26,FALSE)</f>
        <v>data pre processing error</v>
      </c>
      <c r="E24">
        <f>VLOOKUP(Sheet1!A24,Sheet5!B$1:AA$613,25,FALSE)</f>
        <v>0</v>
      </c>
      <c r="F24" s="180" t="s">
        <v>61</v>
      </c>
      <c r="G24" t="s">
        <v>99</v>
      </c>
      <c r="H24" t="str">
        <f t="shared" si="0"/>
        <v>Bad Case - task makes no sense v.s. Failed --&gt; Bad Case - task makes no sense</v>
      </c>
      <c r="I24" s="4" t="s">
        <v>135</v>
      </c>
      <c r="J24" t="s">
        <v>63</v>
      </c>
      <c r="K24" s="4" t="s">
        <v>82</v>
      </c>
      <c r="L24"/>
    </row>
    <row r="25" spans="1:12">
      <c r="A25" t="s">
        <v>26</v>
      </c>
      <c r="B25" t="s">
        <v>61</v>
      </c>
      <c r="C25" t="s">
        <v>106</v>
      </c>
      <c r="D25">
        <f>VLOOKUP(Sheet1!A25,Sheet5!B$1:AA$613,26,FALSE)</f>
        <v>0</v>
      </c>
      <c r="E25">
        <f>VLOOKUP(Sheet1!A25,Sheet5!B$1:AA$613,25,FALSE)</f>
        <v>0</v>
      </c>
      <c r="F25" s="180" t="s">
        <v>61</v>
      </c>
      <c r="G25" s="17" t="s">
        <v>106</v>
      </c>
      <c r="H25" t="str">
        <f t="shared" si="0"/>
        <v>Success* bad test case : Dec_2012 vs Dec_2013 v.s. Failed --&gt; Success* bad test case : Dec_2012 vs Dec_2013</v>
      </c>
      <c r="I25" t="s">
        <v>136</v>
      </c>
      <c r="J25" t="s">
        <v>71</v>
      </c>
      <c r="K25" s="2" t="s">
        <v>70</v>
      </c>
      <c r="L25"/>
    </row>
    <row r="26" spans="1:12" ht="16">
      <c r="A26" t="s">
        <v>27</v>
      </c>
      <c r="B26" t="s">
        <v>61</v>
      </c>
      <c r="C26" t="s">
        <v>106</v>
      </c>
      <c r="D26" t="e">
        <f>VLOOKUP(Sheet1!A26,Sheet5!B$1:AA$613,26,FALSE)</f>
        <v>#N/A</v>
      </c>
      <c r="E26" t="e">
        <f>VLOOKUP(Sheet1!A26,Sheet5!B$1:AA$613,25,FALSE)</f>
        <v>#N/A</v>
      </c>
      <c r="F26" s="180" t="s">
        <v>137</v>
      </c>
      <c r="G26" t="s">
        <v>60</v>
      </c>
      <c r="H26" t="str">
        <f t="shared" si="0"/>
        <v>Success* bad test case : Dec_2012 vs Dec_2013 v.s. Success* --&gt; Success</v>
      </c>
      <c r="I26" s="4" t="s">
        <v>138</v>
      </c>
      <c r="J26" t="s">
        <v>71</v>
      </c>
      <c r="K26" s="2" t="s">
        <v>70</v>
      </c>
      <c r="L26"/>
    </row>
    <row r="27" spans="1:12" ht="48">
      <c r="A27" t="s">
        <v>28</v>
      </c>
      <c r="B27" t="s">
        <v>61</v>
      </c>
      <c r="C27" t="s">
        <v>104</v>
      </c>
      <c r="D27" t="str">
        <f>VLOOKUP(Sheet1!A27,Sheet5!B$1:AA$613,26,FALSE)</f>
        <v>failed</v>
      </c>
      <c r="E27" t="str">
        <f>VLOOKUP(Sheet1!A27,Sheet5!B$1:AA$613,25,FALSE)</f>
        <v>failed</v>
      </c>
      <c r="F27" s="180" t="s">
        <v>61</v>
      </c>
      <c r="H27" t="str">
        <f t="shared" si="0"/>
        <v>Failed - failed to aggregate - low entropy - data type change v.s. Failed</v>
      </c>
      <c r="I27" s="4" t="s">
        <v>139</v>
      </c>
      <c r="J27" t="s">
        <v>71</v>
      </c>
      <c r="K27" s="2" t="s">
        <v>70</v>
      </c>
      <c r="L27"/>
    </row>
    <row r="28" spans="1:12">
      <c r="A28" t="s">
        <v>29</v>
      </c>
      <c r="B28" t="s">
        <v>61</v>
      </c>
      <c r="C28" t="s">
        <v>107</v>
      </c>
      <c r="D28" t="str">
        <f>VLOOKUP(Sheet1!A28,Sheet5!B$1:AA$613,26,FALSE)</f>
        <v>failed</v>
      </c>
      <c r="E28" t="str">
        <f>VLOOKUP(Sheet1!A28,Sheet5!B$1:AA$613,25,FALSE)</f>
        <v>failed</v>
      </c>
      <c r="F28" s="180" t="s">
        <v>137</v>
      </c>
      <c r="G28" t="s">
        <v>60</v>
      </c>
      <c r="H28" t="str">
        <f t="shared" si="0"/>
        <v>Success*  grouped by continent - did not remove the empty continent - I would not call this failed.. v.s. Success* --&gt; Success</v>
      </c>
      <c r="I28" t="s">
        <v>140</v>
      </c>
      <c r="J28" t="s">
        <v>71</v>
      </c>
      <c r="K28" s="2" t="s">
        <v>70</v>
      </c>
      <c r="L28"/>
    </row>
    <row r="29" spans="1:12" ht="48">
      <c r="A29" t="s">
        <v>30</v>
      </c>
      <c r="B29" t="s">
        <v>61</v>
      </c>
      <c r="C29" t="s">
        <v>105</v>
      </c>
      <c r="D29" t="e">
        <f>VLOOKUP(Sheet1!A29,Sheet5!B$1:AA$613,26,FALSE)</f>
        <v>#N/A</v>
      </c>
      <c r="E29" t="e">
        <f>VLOOKUP(Sheet1!A29,Sheet5!B$1:AA$613,25,FALSE)</f>
        <v>#N/A</v>
      </c>
      <c r="F29" s="180" t="s">
        <v>61</v>
      </c>
      <c r="G29" s="177" t="s">
        <v>1787</v>
      </c>
      <c r="H29" t="str">
        <f t="shared" si="0"/>
        <v>Failed - failed to aggregate - low entropy - domain knowledge v.s. Failed --&gt; Need Domain Knowledge</v>
      </c>
      <c r="I29" s="4" t="s">
        <v>141</v>
      </c>
      <c r="J29" t="s">
        <v>71</v>
      </c>
      <c r="K29" s="2" t="s">
        <v>70</v>
      </c>
      <c r="L29"/>
    </row>
    <row r="30" spans="1:12" ht="16">
      <c r="A30" t="s">
        <v>31</v>
      </c>
      <c r="B30" t="s">
        <v>60</v>
      </c>
      <c r="C30" t="s">
        <v>60</v>
      </c>
      <c r="D30" t="e">
        <f>VLOOKUP(Sheet1!A30,Sheet5!B$1:AA$613,26,FALSE)</f>
        <v>#N/A</v>
      </c>
      <c r="E30" t="e">
        <f>VLOOKUP(Sheet1!A30,Sheet5!B$1:AA$613,25,FALSE)</f>
        <v>#N/A</v>
      </c>
      <c r="F30" s="180" t="s">
        <v>143</v>
      </c>
      <c r="G30" s="177" t="s">
        <v>60</v>
      </c>
      <c r="H30" t="str">
        <f t="shared" si="0"/>
        <v>Success v.s. Failed* VERY CLOSE.. CHECK --&gt; Success</v>
      </c>
      <c r="I30" s="4" t="s">
        <v>142</v>
      </c>
      <c r="J30" t="s">
        <v>60</v>
      </c>
      <c r="K30" t="s">
        <v>64</v>
      </c>
      <c r="L30"/>
    </row>
    <row r="31" spans="1:12" ht="41" customHeight="1">
      <c r="A31" t="s">
        <v>32</v>
      </c>
      <c r="B31" t="s">
        <v>60</v>
      </c>
      <c r="C31" t="s">
        <v>60</v>
      </c>
      <c r="D31">
        <f>VLOOKUP(Sheet1!A31,Sheet5!B$1:AA$613,26,FALSE)</f>
        <v>0</v>
      </c>
      <c r="E31">
        <f>VLOOKUP(Sheet1!A31,Sheet5!B$1:AA$613,25,FALSE)</f>
        <v>0</v>
      </c>
      <c r="F31" s="180" t="s">
        <v>61</v>
      </c>
      <c r="G31" t="s">
        <v>200</v>
      </c>
      <c r="H31" t="str">
        <f t="shared" si="0"/>
        <v>Success v.s. Failed --&gt; Success-itr2</v>
      </c>
      <c r="I31" s="4" t="s">
        <v>144</v>
      </c>
      <c r="J31" t="s">
        <v>60</v>
      </c>
      <c r="K31" t="s">
        <v>73</v>
      </c>
      <c r="L31"/>
    </row>
    <row r="32" spans="1:12" ht="48">
      <c r="A32" t="s">
        <v>33</v>
      </c>
      <c r="B32" t="s">
        <v>61</v>
      </c>
      <c r="C32" t="s">
        <v>198</v>
      </c>
      <c r="D32" t="str">
        <f>VLOOKUP(Sheet1!A32,Sheet5!B$1:AA$613,26,FALSE)</f>
        <v>ERROR: Error: ERROR:  invalid input syntax for type integer: "2003.0"
CONTEXT:  COPY source59_0, line 2, column year_id: "2003.0"</v>
      </c>
      <c r="E32" t="str">
        <f>VLOOKUP(Sheet1!A32,Sheet5!B$1:AA$613,25,FALSE)</f>
        <v>0.5 success [1,0.7] score.</v>
      </c>
      <c r="F32" s="180" t="s">
        <v>60</v>
      </c>
      <c r="G32" t="s">
        <v>60</v>
      </c>
      <c r="H32" t="str">
        <f t="shared" si="0"/>
        <v>Success - preprocessing v.s. Success --&gt; Success</v>
      </c>
      <c r="J32" t="s">
        <v>63</v>
      </c>
      <c r="K32" s="4" t="s">
        <v>83</v>
      </c>
      <c r="L32"/>
    </row>
    <row r="33" spans="1:12">
      <c r="A33" t="s">
        <v>34</v>
      </c>
      <c r="B33" t="s">
        <v>60</v>
      </c>
      <c r="C33" t="s">
        <v>60</v>
      </c>
      <c r="D33" t="str">
        <f>VLOOKUP(Sheet1!A33,Sheet5!B$1:AA$613,26,FALSE)</f>
        <v>failed</v>
      </c>
      <c r="E33" t="str">
        <f>VLOOKUP(Sheet1!A33,Sheet5!B$1:AA$613,25,FALSE)</f>
        <v>success</v>
      </c>
      <c r="F33" s="180" t="s">
        <v>60</v>
      </c>
      <c r="G33" t="s">
        <v>60</v>
      </c>
      <c r="H33" t="str">
        <f t="shared" si="0"/>
        <v>Success v.s. Success --&gt; Success</v>
      </c>
      <c r="J33" t="s">
        <v>60</v>
      </c>
      <c r="K33" t="s">
        <v>64</v>
      </c>
      <c r="L33"/>
    </row>
    <row r="34" spans="1:12">
      <c r="A34" t="s">
        <v>35</v>
      </c>
      <c r="B34" t="s">
        <v>61</v>
      </c>
      <c r="C34" t="s">
        <v>105</v>
      </c>
      <c r="D34" t="e">
        <f>VLOOKUP(Sheet1!A34,Sheet5!B$1:AA$613,26,FALSE)</f>
        <v>#N/A</v>
      </c>
      <c r="E34" t="e">
        <f>VLOOKUP(Sheet1!A34,Sheet5!B$1:AA$613,25,FALSE)</f>
        <v>#N/A</v>
      </c>
      <c r="F34" s="180" t="s">
        <v>145</v>
      </c>
      <c r="H34" t="str">
        <f t="shared" si="0"/>
        <v xml:space="preserve">Failed - failed to aggregate - low entropy - domain knowledge v.s. Success** DID BETTER!!! BY CHANCE I GUESS.. </v>
      </c>
      <c r="J34" t="s">
        <v>71</v>
      </c>
      <c r="K34" s="2" t="s">
        <v>70</v>
      </c>
      <c r="L34"/>
    </row>
    <row r="35" spans="1:12">
      <c r="A35" t="s">
        <v>36</v>
      </c>
      <c r="B35" t="s">
        <v>61</v>
      </c>
      <c r="C35" t="s">
        <v>60</v>
      </c>
      <c r="D35" t="str">
        <f>VLOOKUP(Sheet1!A35,Sheet5!B$1:AA$613,26,FALSE)</f>
        <v>failed</v>
      </c>
      <c r="E35" t="str">
        <f>VLOOKUP(Sheet1!A35,Sheet5!B$1:AA$613,25,FALSE)</f>
        <v>failed</v>
      </c>
      <c r="F35" s="180" t="s">
        <v>60</v>
      </c>
      <c r="G35" t="s">
        <v>60</v>
      </c>
      <c r="H35" t="str">
        <f t="shared" si="0"/>
        <v>Success v.s. Success --&gt; Success</v>
      </c>
      <c r="J35" t="s">
        <v>62</v>
      </c>
      <c r="K35" t="s">
        <v>67</v>
      </c>
      <c r="L35" s="3" t="s">
        <v>78</v>
      </c>
    </row>
    <row r="36" spans="1:12">
      <c r="A36" t="s">
        <v>37</v>
      </c>
      <c r="B36" t="s">
        <v>60</v>
      </c>
      <c r="C36" t="s">
        <v>60</v>
      </c>
      <c r="D36">
        <f>VLOOKUP(Sheet1!A36,Sheet5!B$1:AA$613,26,FALSE)</f>
        <v>0</v>
      </c>
      <c r="E36" t="str">
        <f>VLOOKUP(Sheet1!A36,Sheet5!B$1:AA$613,25,FALSE)</f>
        <v>success</v>
      </c>
      <c r="F36" s="180" t="s">
        <v>60</v>
      </c>
      <c r="G36" t="s">
        <v>60</v>
      </c>
      <c r="H36" t="str">
        <f t="shared" si="0"/>
        <v>Success v.s. Success --&gt; Success</v>
      </c>
      <c r="J36" t="s">
        <v>60</v>
      </c>
      <c r="K36" t="s">
        <v>64</v>
      </c>
      <c r="L36"/>
    </row>
    <row r="37" spans="1:12">
      <c r="A37" t="s">
        <v>38</v>
      </c>
      <c r="B37" t="s">
        <v>60</v>
      </c>
      <c r="C37" t="s">
        <v>60</v>
      </c>
      <c r="D37" t="e">
        <f>VLOOKUP(Sheet1!A37,Sheet5!B$1:AA$613,26,FALSE)</f>
        <v>#N/A</v>
      </c>
      <c r="E37" t="e">
        <f>VLOOKUP(Sheet1!A37,Sheet5!B$1:AA$613,25,FALSE)</f>
        <v>#N/A</v>
      </c>
      <c r="F37" s="180" t="s">
        <v>60</v>
      </c>
      <c r="G37" t="s">
        <v>60</v>
      </c>
      <c r="H37" t="str">
        <f t="shared" si="0"/>
        <v>Success v.s. Success --&gt; Success</v>
      </c>
      <c r="J37" t="s">
        <v>60</v>
      </c>
      <c r="K37" t="s">
        <v>64</v>
      </c>
      <c r="L37"/>
    </row>
    <row r="38" spans="1:12">
      <c r="A38" t="s">
        <v>39</v>
      </c>
      <c r="B38" t="s">
        <v>60</v>
      </c>
      <c r="C38" t="s">
        <v>60</v>
      </c>
      <c r="D38" t="e">
        <f>VLOOKUP(Sheet1!A38,Sheet5!B$1:AA$613,26,FALSE)</f>
        <v>#N/A</v>
      </c>
      <c r="E38" t="e">
        <f>VLOOKUP(Sheet1!A38,Sheet5!B$1:AA$613,25,FALSE)</f>
        <v>#N/A</v>
      </c>
      <c r="F38" s="180" t="s">
        <v>147</v>
      </c>
      <c r="G38" t="s">
        <v>60</v>
      </c>
      <c r="H38" t="str">
        <f t="shared" si="0"/>
        <v>Success v.s. Failed - DID NOT DO SUBSTRING --&gt; Success</v>
      </c>
      <c r="I38" t="s">
        <v>146</v>
      </c>
      <c r="J38" t="s">
        <v>60</v>
      </c>
      <c r="K38" t="s">
        <v>64</v>
      </c>
      <c r="L38"/>
    </row>
    <row r="39" spans="1:12">
      <c r="A39" t="s">
        <v>40</v>
      </c>
      <c r="B39" t="s">
        <v>60</v>
      </c>
      <c r="C39" t="s">
        <v>60</v>
      </c>
      <c r="D39" t="str">
        <f>VLOOKUP(Sheet1!A39,Sheet5!B$1:AA$613,26,FALSE)</f>
        <v>success</v>
      </c>
      <c r="E39" t="str">
        <f>VLOOKUP(Sheet1!A39,Sheet5!B$1:AA$613,25,FALSE)</f>
        <v>success</v>
      </c>
      <c r="F39" s="180" t="s">
        <v>60</v>
      </c>
      <c r="G39" t="s">
        <v>60</v>
      </c>
      <c r="H39" t="str">
        <f t="shared" si="0"/>
        <v>Success v.s. Success --&gt; Success</v>
      </c>
      <c r="J39" t="s">
        <v>60</v>
      </c>
      <c r="K39" t="s">
        <v>64</v>
      </c>
      <c r="L39"/>
    </row>
    <row r="40" spans="1:12" ht="48">
      <c r="A40" t="s">
        <v>41</v>
      </c>
      <c r="B40" t="s">
        <v>60</v>
      </c>
      <c r="C40" t="s">
        <v>60</v>
      </c>
      <c r="D40" t="str">
        <f>VLOOKUP(Sheet1!A40,Sheet5!B$1:AA$613,26,FALSE)</f>
        <v>failed</v>
      </c>
      <c r="E40" t="str">
        <f>VLOOKUP(Sheet1!A40,Sheet5!B$1:AA$613,25,FALSE)</f>
        <v>failed</v>
      </c>
      <c r="F40" s="180" t="s">
        <v>61</v>
      </c>
      <c r="G40" s="178" t="s">
        <v>61</v>
      </c>
      <c r="H40" t="str">
        <f t="shared" si="0"/>
        <v>Success v.s. Failed --&gt; Failed</v>
      </c>
      <c r="I40" s="4" t="s">
        <v>148</v>
      </c>
      <c r="J40" t="s">
        <v>60</v>
      </c>
      <c r="K40" t="s">
        <v>64</v>
      </c>
      <c r="L40"/>
    </row>
    <row r="41" spans="1:12">
      <c r="A41" t="s">
        <v>42</v>
      </c>
      <c r="B41" t="s">
        <v>61</v>
      </c>
      <c r="C41" t="s">
        <v>108</v>
      </c>
      <c r="D41">
        <f>VLOOKUP(Sheet1!A41,Sheet5!B$1:AA$613,26,FALSE)</f>
        <v>0</v>
      </c>
      <c r="E41">
        <f>VLOOKUP(Sheet1!A41,Sheet5!B$1:AA$613,25,FALSE)</f>
        <v>0</v>
      </c>
      <c r="F41" s="180" t="s">
        <v>61</v>
      </c>
      <c r="G41" s="177" t="s">
        <v>1787</v>
      </c>
      <c r="H41" t="str">
        <f t="shared" si="0"/>
        <v>Failed - failed to aggregate - low entropy - domain knowledge/ did not do count v.s. Failed --&gt; Need Domain Knowledge</v>
      </c>
      <c r="I41" t="s">
        <v>149</v>
      </c>
      <c r="J41" t="s">
        <v>71</v>
      </c>
      <c r="K41" s="2" t="s">
        <v>70</v>
      </c>
      <c r="L41"/>
    </row>
    <row r="42" spans="1:12">
      <c r="A42" t="s">
        <v>43</v>
      </c>
      <c r="B42" t="s">
        <v>61</v>
      </c>
      <c r="C42" t="s">
        <v>109</v>
      </c>
      <c r="D42" t="str">
        <f>VLOOKUP(Sheet1!A42,Sheet5!B$1:AA$613,26,FALSE)</f>
        <v>data pre processing error</v>
      </c>
      <c r="E42">
        <f>VLOOKUP(Sheet1!A42,Sheet5!B$1:AA$613,25,FALSE)</f>
        <v>0</v>
      </c>
      <c r="F42" s="180" t="s">
        <v>137</v>
      </c>
      <c r="G42" t="s">
        <v>1786</v>
      </c>
      <c r="H42" t="str">
        <f t="shared" si="0"/>
        <v xml:space="preserve">Success*  grouped by continent - did not remove the empty fac_type - I would not call this failed.. v.s. Success* --&gt; Success* </v>
      </c>
      <c r="I42" t="s">
        <v>150</v>
      </c>
      <c r="J42" t="s">
        <v>71</v>
      </c>
      <c r="K42" s="2" t="s">
        <v>70</v>
      </c>
      <c r="L42"/>
    </row>
    <row r="43" spans="1:12" ht="32">
      <c r="A43" t="s">
        <v>44</v>
      </c>
      <c r="B43" t="s">
        <v>61</v>
      </c>
      <c r="C43" t="s">
        <v>100</v>
      </c>
      <c r="D43" t="str">
        <f>VLOOKUP(Sheet1!A43,Sheet5!B$1:AA$613,26,FALSE)</f>
        <v>data pre processing error</v>
      </c>
      <c r="E43">
        <f>VLOOKUP(Sheet1!A43,Sheet5!B$1:AA$613,25,FALSE)</f>
        <v>0</v>
      </c>
      <c r="F43" s="180" t="s">
        <v>61</v>
      </c>
      <c r="G43" s="177" t="s">
        <v>1787</v>
      </c>
      <c r="H43" t="str">
        <f t="shared" si="0"/>
        <v>Need Domain Knowledge - Use Aggregation or not v.s. Failed --&gt; Need Domain Knowledge</v>
      </c>
      <c r="I43" t="s">
        <v>151</v>
      </c>
      <c r="J43" t="s">
        <v>63</v>
      </c>
      <c r="K43" s="4" t="s">
        <v>84</v>
      </c>
      <c r="L43"/>
    </row>
    <row r="44" spans="1:12" ht="32">
      <c r="A44" t="s">
        <v>45</v>
      </c>
      <c r="B44" t="s">
        <v>60</v>
      </c>
      <c r="C44" t="s">
        <v>60</v>
      </c>
      <c r="D44" t="str">
        <f>VLOOKUP(Sheet1!A44,Sheet5!B$1:AA$613,26,FALSE)</f>
        <v>failed</v>
      </c>
      <c r="E44" t="str">
        <f>VLOOKUP(Sheet1!A44,Sheet5!B$1:AA$613,25,FALSE)</f>
        <v>failed</v>
      </c>
      <c r="F44" s="180" t="s">
        <v>61</v>
      </c>
      <c r="G44" t="s">
        <v>60</v>
      </c>
      <c r="H44" t="str">
        <f t="shared" si="0"/>
        <v>Success v.s. Failed --&gt; Success</v>
      </c>
      <c r="I44" s="4" t="s">
        <v>152</v>
      </c>
      <c r="J44" t="s">
        <v>60</v>
      </c>
      <c r="K44" t="s">
        <v>64</v>
      </c>
      <c r="L44"/>
    </row>
    <row r="45" spans="1:12">
      <c r="A45" t="s">
        <v>46</v>
      </c>
      <c r="B45" t="s">
        <v>61</v>
      </c>
      <c r="C45" t="s">
        <v>105</v>
      </c>
      <c r="D45">
        <f>VLOOKUP(Sheet1!A45,Sheet5!B$1:AA$613,26,FALSE)</f>
        <v>0</v>
      </c>
      <c r="E45" t="str">
        <f>VLOOKUP(Sheet1!A45,Sheet5!B$1:AA$613,25,FALSE)</f>
        <v>failed</v>
      </c>
      <c r="F45" s="180" t="s">
        <v>61</v>
      </c>
      <c r="G45" s="177" t="s">
        <v>1787</v>
      </c>
      <c r="H45" t="str">
        <f t="shared" si="0"/>
        <v>Failed - failed to aggregate - low entropy - domain knowledge v.s. Failed --&gt; Need Domain Knowledge</v>
      </c>
      <c r="I45" t="s">
        <v>153</v>
      </c>
      <c r="J45" t="s">
        <v>71</v>
      </c>
      <c r="K45" s="2" t="s">
        <v>70</v>
      </c>
      <c r="L45"/>
    </row>
    <row r="46" spans="1:12">
      <c r="A46" t="s">
        <v>47</v>
      </c>
      <c r="B46" t="s">
        <v>61</v>
      </c>
      <c r="C46" t="s">
        <v>110</v>
      </c>
      <c r="D46">
        <f>VLOOKUP(Sheet1!A46,Sheet5!B$1:AA$613,26,FALSE)</f>
        <v>0</v>
      </c>
      <c r="E46" t="str">
        <f>VLOOKUP(Sheet1!A46,Sheet5!B$1:AA$613,25,FALSE)</f>
        <v>failed</v>
      </c>
      <c r="F46" s="180" t="s">
        <v>137</v>
      </c>
      <c r="G46" t="s">
        <v>137</v>
      </c>
      <c r="H46" t="str">
        <f t="shared" si="0"/>
        <v>Success*  grouped by continent - did not remove the empty conservation_status - I would not call this failed.. v.s. Success* --&gt; Success*</v>
      </c>
      <c r="I46" t="s">
        <v>154</v>
      </c>
      <c r="J46" t="s">
        <v>71</v>
      </c>
      <c r="K46" s="2" t="s">
        <v>70</v>
      </c>
      <c r="L46"/>
    </row>
    <row r="47" spans="1:12" ht="48">
      <c r="A47" t="s">
        <v>48</v>
      </c>
      <c r="B47" t="s">
        <v>60</v>
      </c>
      <c r="C47" t="s">
        <v>60</v>
      </c>
      <c r="D47" t="e">
        <f>VLOOKUP(Sheet1!A47,Sheet5!B$1:AA$613,26,FALSE)</f>
        <v>#N/A</v>
      </c>
      <c r="E47" t="e">
        <f>VLOOKUP(Sheet1!A47,Sheet5!B$1:AA$613,25,FALSE)</f>
        <v>#N/A</v>
      </c>
      <c r="F47" s="180" t="s">
        <v>61</v>
      </c>
      <c r="G47" s="178" t="s">
        <v>61</v>
      </c>
      <c r="H47" t="str">
        <f t="shared" si="0"/>
        <v>Success v.s. Failed --&gt; Failed</v>
      </c>
      <c r="I47" s="4" t="s">
        <v>155</v>
      </c>
      <c r="J47" t="s">
        <v>60</v>
      </c>
      <c r="K47" t="s">
        <v>64</v>
      </c>
      <c r="L47"/>
    </row>
    <row r="48" spans="1:12">
      <c r="A48" t="s">
        <v>49</v>
      </c>
      <c r="B48" t="s">
        <v>61</v>
      </c>
      <c r="C48" t="s">
        <v>97</v>
      </c>
      <c r="D48">
        <f>VLOOKUP(Sheet1!A48,Sheet5!B$1:AA$613,26,FALSE)</f>
        <v>0</v>
      </c>
      <c r="E48" t="str">
        <f>VLOOKUP(Sheet1!A48,Sheet5!B$1:AA$613,25,FALSE)</f>
        <v>failed</v>
      </c>
      <c r="F48" s="180" t="s">
        <v>61</v>
      </c>
      <c r="G48" s="177" t="s">
        <v>1787</v>
      </c>
      <c r="H48" t="str">
        <f xml:space="preserve"> C48 &amp; " v.s. " &amp; IF(AND(NOT(ISBLANK(F48)), NOT(ISBLANK(G48))), F48 &amp; " --&gt; " &amp; G48, F48 &amp; G48)</f>
        <v>Need Domain Knowledge - Aggregation function v.s. Failed --&gt; Need Domain Knowledge</v>
      </c>
      <c r="I48" t="s">
        <v>156</v>
      </c>
      <c r="J48" t="s">
        <v>62</v>
      </c>
      <c r="K48" t="s">
        <v>68</v>
      </c>
      <c r="L48" t="s">
        <v>79</v>
      </c>
    </row>
    <row r="49" spans="1:12">
      <c r="A49" t="s">
        <v>50</v>
      </c>
      <c r="B49" t="s">
        <v>61</v>
      </c>
      <c r="C49" t="s">
        <v>105</v>
      </c>
      <c r="D49" t="e">
        <f>VLOOKUP(Sheet1!A49,Sheet5!B$1:AA$613,26,FALSE)</f>
        <v>#N/A</v>
      </c>
      <c r="E49" t="e">
        <f>VLOOKUP(Sheet1!A49,Sheet5!B$1:AA$613,25,FALSE)</f>
        <v>#N/A</v>
      </c>
      <c r="F49" s="180" t="s">
        <v>61</v>
      </c>
      <c r="G49" s="177" t="s">
        <v>1787</v>
      </c>
      <c r="H49" t="e">
        <f xml:space="preserve"> C49 &amp; " v.s. " &amp; IF(AND(NOT(ISBLANK(F49)), NOT(ISBLANK(#REF!))), F49 &amp; " --&gt; " &amp;#REF!, F49 &amp;#REF!)</f>
        <v>#REF!</v>
      </c>
      <c r="I49" t="s">
        <v>157</v>
      </c>
      <c r="J49" t="s">
        <v>71</v>
      </c>
      <c r="K49" s="2" t="s">
        <v>70</v>
      </c>
      <c r="L49"/>
    </row>
    <row r="50" spans="1:12" ht="64">
      <c r="A50" t="s">
        <v>51</v>
      </c>
      <c r="B50" t="s">
        <v>61</v>
      </c>
      <c r="C50" t="s">
        <v>60</v>
      </c>
      <c r="D50" t="str">
        <f>VLOOKUP(Sheet1!A50,Sheet5!B$1:AA$613,26,FALSE)</f>
        <v>success</v>
      </c>
      <c r="E50" t="str">
        <f>VLOOKUP(Sheet1!A50,Sheet5!B$1:AA$613,25,FALSE)</f>
        <v>success</v>
      </c>
      <c r="F50" s="180" t="s">
        <v>61</v>
      </c>
      <c r="G50" s="178" t="s">
        <v>61</v>
      </c>
      <c r="H50" t="str">
        <f t="shared" si="0"/>
        <v>Success v.s. Failed --&gt; Failed</v>
      </c>
      <c r="I50" t="s">
        <v>158</v>
      </c>
      <c r="J50" t="s">
        <v>63</v>
      </c>
      <c r="K50" s="4" t="s">
        <v>85</v>
      </c>
      <c r="L50"/>
    </row>
    <row r="51" spans="1:12" ht="48">
      <c r="A51" t="s">
        <v>52</v>
      </c>
      <c r="B51" t="s">
        <v>61</v>
      </c>
      <c r="C51" t="s">
        <v>99</v>
      </c>
      <c r="D51">
        <f>VLOOKUP(Sheet1!A51,Sheet5!B$1:AA$613,26,FALSE)</f>
        <v>0</v>
      </c>
      <c r="E51" t="str">
        <f>VLOOKUP(Sheet1!A51,Sheet5!B$1:AA$613,25,FALSE)</f>
        <v xml:space="preserve">error in date column; headear is for two rows, </v>
      </c>
      <c r="F51" s="180" t="s">
        <v>61</v>
      </c>
      <c r="G51" t="s">
        <v>99</v>
      </c>
      <c r="H51" t="str">
        <f t="shared" si="0"/>
        <v>Bad Case - task makes no sense v.s. Failed --&gt; Bad Case - task makes no sense</v>
      </c>
      <c r="I51" s="4" t="s">
        <v>159</v>
      </c>
      <c r="J51" t="s">
        <v>63</v>
      </c>
      <c r="K51" s="4" t="s">
        <v>86</v>
      </c>
      <c r="L51"/>
    </row>
    <row r="52" spans="1:12" ht="64">
      <c r="A52" t="s">
        <v>53</v>
      </c>
      <c r="B52" t="s">
        <v>61</v>
      </c>
      <c r="C52" t="s">
        <v>101</v>
      </c>
      <c r="D52">
        <f>VLOOKUP(Sheet1!A52,Sheet5!B$1:AA$613,26,FALSE)</f>
        <v>0</v>
      </c>
      <c r="E52" t="str">
        <f>VLOOKUP(Sheet1!A52,Sheet5!B$1:AA$613,25,FALSE)</f>
        <v>failed</v>
      </c>
      <c r="F52" s="180" t="s">
        <v>61</v>
      </c>
      <c r="G52" s="177" t="s">
        <v>1787</v>
      </c>
      <c r="H52" t="str">
        <f t="shared" si="0"/>
        <v>Need Domain Knowledge - Rare case/ expectation v.s. Failed --&gt; Need Domain Knowledge</v>
      </c>
      <c r="I52" s="4" t="s">
        <v>160</v>
      </c>
      <c r="J52" t="s">
        <v>63</v>
      </c>
      <c r="K52" s="4" t="s">
        <v>87</v>
      </c>
      <c r="L52"/>
    </row>
    <row r="53" spans="1:12" ht="48">
      <c r="A53" t="s">
        <v>54</v>
      </c>
      <c r="B53" t="s">
        <v>61</v>
      </c>
      <c r="C53" t="s">
        <v>102</v>
      </c>
      <c r="D53">
        <f>VLOOKUP(Sheet1!A53,Sheet5!B$1:AA$613,26,FALSE)</f>
        <v>0</v>
      </c>
      <c r="E53" t="str">
        <f>VLOOKUP(Sheet1!A53,Sheet5!B$1:AA$613,25,FALSE)</f>
        <v>could not treat empty value as NULL</v>
      </c>
      <c r="F53" s="180" t="s">
        <v>162</v>
      </c>
      <c r="G53" t="s">
        <v>60</v>
      </c>
      <c r="H53" t="str">
        <f t="shared" si="0"/>
        <v>Success - next iteration v.s. GUESS IT CAN SUCCESS --&gt; Success</v>
      </c>
      <c r="I53" s="4" t="s">
        <v>161</v>
      </c>
      <c r="J53" t="s">
        <v>63</v>
      </c>
      <c r="K53" s="4" t="s">
        <v>88</v>
      </c>
      <c r="L53"/>
    </row>
    <row r="54" spans="1:12">
      <c r="A54" t="s">
        <v>55</v>
      </c>
      <c r="B54" t="s">
        <v>61</v>
      </c>
      <c r="C54" t="s">
        <v>102</v>
      </c>
      <c r="D54">
        <f>VLOOKUP(Sheet1!A54,Sheet5!B$1:AA$613,26,FALSE)</f>
        <v>0</v>
      </c>
      <c r="E54" t="str">
        <f>VLOOKUP(Sheet1!A54,Sheet5!B$1:AA$613,25,FALSE)</f>
        <v>[0,1,1] sim score, and 0.6 accuracy</v>
      </c>
      <c r="F54" s="180" t="s">
        <v>60</v>
      </c>
      <c r="G54" s="17" t="s">
        <v>60</v>
      </c>
      <c r="H54" t="str">
        <f t="shared" si="0"/>
        <v>Success - next iteration v.s. Success --&gt; Success</v>
      </c>
      <c r="J54" t="s">
        <v>63</v>
      </c>
      <c r="K54" t="s">
        <v>69</v>
      </c>
      <c r="L54" s="5" t="s">
        <v>76</v>
      </c>
    </row>
    <row r="55" spans="1:12" ht="48">
      <c r="A55" t="s">
        <v>56</v>
      </c>
      <c r="B55" t="s">
        <v>61</v>
      </c>
      <c r="C55" t="s">
        <v>102</v>
      </c>
      <c r="D55">
        <f>VLOOKUP(Sheet1!A55,Sheet5!B$1:AA$613,26,FALSE)</f>
        <v>0</v>
      </c>
      <c r="E55" t="str">
        <f>VLOOKUP(Sheet1!A55,Sheet5!B$1:AA$613,25,FALSE)</f>
        <v>failed with error</v>
      </c>
      <c r="F55" s="180" t="s">
        <v>61</v>
      </c>
      <c r="G55" s="178" t="s">
        <v>1788</v>
      </c>
      <c r="H55" t="str">
        <f t="shared" si="0"/>
        <v>Success - next iteration v.s. Failed --&gt; Failed-syntax</v>
      </c>
      <c r="I55" s="4" t="s">
        <v>163</v>
      </c>
      <c r="J55" t="s">
        <v>63</v>
      </c>
      <c r="K55" s="4" t="s">
        <v>89</v>
      </c>
      <c r="L55"/>
    </row>
    <row r="56" spans="1:12" ht="32">
      <c r="A56" t="s">
        <v>57</v>
      </c>
      <c r="B56" t="s">
        <v>61</v>
      </c>
      <c r="C56" t="s">
        <v>111</v>
      </c>
      <c r="D56">
        <f>VLOOKUP(Sheet1!A56,Sheet5!B$1:AA$613,26,FALSE)</f>
        <v>0</v>
      </c>
      <c r="E56" t="str">
        <f>VLOOKUP(Sheet1!A56,Sheet5!B$1:AA$613,25,FALSE)</f>
        <v>failed</v>
      </c>
      <c r="F56" s="180" t="s">
        <v>61</v>
      </c>
      <c r="G56" s="177" t="s">
        <v>1787</v>
      </c>
      <c r="H56" t="str">
        <f t="shared" si="0"/>
        <v>Failed - failed to aggregate - low entropy - domain knowledge - hard (newest date) v.s. Failed --&gt; Need Domain Knowledge</v>
      </c>
      <c r="I56" s="4" t="s">
        <v>164</v>
      </c>
      <c r="J56" t="s">
        <v>71</v>
      </c>
      <c r="K56" s="2" t="s">
        <v>70</v>
      </c>
      <c r="L56"/>
    </row>
    <row r="57" spans="1:12" ht="16">
      <c r="A57" t="s">
        <v>58</v>
      </c>
      <c r="B57" t="s">
        <v>61</v>
      </c>
      <c r="C57" t="s">
        <v>103</v>
      </c>
      <c r="D57">
        <f>VLOOKUP(Sheet1!A57,Sheet5!B$1:AA$613,26,FALSE)</f>
        <v>0</v>
      </c>
      <c r="E57" t="str">
        <f>VLOOKUP(Sheet1!A57,Sheet5!B$1:AA$613,25,FALSE)</f>
        <v>[1,0] sim score, 0.5 accuracy</v>
      </c>
      <c r="F57" s="180" t="s">
        <v>61</v>
      </c>
      <c r="G57" t="s">
        <v>169</v>
      </c>
      <c r="H57" t="str">
        <f t="shared" si="0"/>
        <v>Need Domain Knowledge - expectation/ count on which v.s. Failed --&gt; Success - by luck</v>
      </c>
      <c r="I57" s="4" t="s">
        <v>165</v>
      </c>
      <c r="J57" t="s">
        <v>62</v>
      </c>
      <c r="K57" t="s">
        <v>75</v>
      </c>
      <c r="L57" s="4" t="s">
        <v>77</v>
      </c>
    </row>
    <row r="58" spans="1:12" ht="32">
      <c r="A58" t="s">
        <v>59</v>
      </c>
      <c r="B58" t="s">
        <v>61</v>
      </c>
      <c r="C58" t="s">
        <v>112</v>
      </c>
      <c r="D58" t="str">
        <f>VLOOKUP(Sheet1!A58,Sheet5!B$1:AA$613,26,FALSE)</f>
        <v>failed</v>
      </c>
      <c r="E58" t="str">
        <f>VLOOKUP(Sheet1!A58,Sheet5!B$1:AA$613,25,FALSE)</f>
        <v>data procesessing error</v>
      </c>
      <c r="F58" s="180" t="s">
        <v>61</v>
      </c>
      <c r="G58" t="s">
        <v>112</v>
      </c>
      <c r="H58" t="str">
        <f t="shared" si="0"/>
        <v>Failed - did not figured out v.s. Failed --&gt; Failed - did not figured out</v>
      </c>
      <c r="I58" s="4" t="s">
        <v>166</v>
      </c>
      <c r="J58" t="s">
        <v>71</v>
      </c>
      <c r="K58" s="2" t="s">
        <v>70</v>
      </c>
      <c r="L58"/>
    </row>
  </sheetData>
  <autoFilter ref="A1:K58" xr:uid="{00000000-0001-0000-00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DF98-9A08-FB44-A9BE-D84DBBFA2773}">
  <dimension ref="A1:AB613"/>
  <sheetViews>
    <sheetView topLeftCell="A165" zoomScale="50" workbookViewId="0">
      <selection activeCell="T154" sqref="T154"/>
    </sheetView>
  </sheetViews>
  <sheetFormatPr baseColWidth="10" defaultRowHeight="15"/>
  <cols>
    <col min="3" max="6" width="0" hidden="1" customWidth="1"/>
    <col min="7" max="7" width="30.33203125" hidden="1" customWidth="1"/>
    <col min="8" max="17" width="0" hidden="1" customWidth="1"/>
    <col min="18" max="18" width="8.83203125" hidden="1" customWidth="1"/>
    <col min="19" max="19" width="6.33203125" hidden="1" customWidth="1"/>
    <col min="20" max="20" width="32.5" customWidth="1"/>
    <col min="26" max="26" width="28.6640625" customWidth="1"/>
  </cols>
  <sheetData>
    <row r="1" spans="1:28" ht="49" thickBot="1">
      <c r="A1" s="18" t="s">
        <v>211</v>
      </c>
      <c r="B1" s="19" t="s">
        <v>212</v>
      </c>
      <c r="C1" s="20" t="s">
        <v>213</v>
      </c>
      <c r="D1" s="20" t="s">
        <v>214</v>
      </c>
      <c r="E1" s="20" t="s">
        <v>215</v>
      </c>
      <c r="F1" s="20" t="s">
        <v>216</v>
      </c>
      <c r="G1" s="20" t="s">
        <v>217</v>
      </c>
      <c r="H1" s="20" t="s">
        <v>218</v>
      </c>
      <c r="I1" s="21" t="s">
        <v>219</v>
      </c>
      <c r="J1" s="21" t="s">
        <v>220</v>
      </c>
      <c r="K1" s="21" t="s">
        <v>221</v>
      </c>
      <c r="L1" s="22" t="s">
        <v>222</v>
      </c>
      <c r="M1" s="22" t="s">
        <v>223</v>
      </c>
      <c r="N1" s="22" t="s">
        <v>224</v>
      </c>
      <c r="O1" s="23" t="s">
        <v>225</v>
      </c>
      <c r="P1" s="23" t="s">
        <v>226</v>
      </c>
      <c r="Q1" s="23" t="s">
        <v>227</v>
      </c>
      <c r="R1" s="24" t="s">
        <v>228</v>
      </c>
      <c r="S1" s="24" t="s">
        <v>229</v>
      </c>
      <c r="T1" s="25" t="s">
        <v>230</v>
      </c>
      <c r="U1" s="26" t="s">
        <v>231</v>
      </c>
      <c r="V1" s="26" t="s">
        <v>232</v>
      </c>
      <c r="W1" s="26" t="s">
        <v>233</v>
      </c>
      <c r="X1" s="27" t="s">
        <v>234</v>
      </c>
      <c r="Y1" s="28" t="s">
        <v>235</v>
      </c>
      <c r="Z1" s="29" t="s">
        <v>236</v>
      </c>
      <c r="AA1" s="30" t="s">
        <v>237</v>
      </c>
      <c r="AB1" s="4"/>
    </row>
    <row r="2" spans="1:28" ht="136" thickBot="1">
      <c r="A2" s="31" t="s">
        <v>238</v>
      </c>
      <c r="B2" s="32" t="s">
        <v>239</v>
      </c>
      <c r="C2" s="33" t="s">
        <v>240</v>
      </c>
      <c r="D2" s="34" t="s">
        <v>241</v>
      </c>
      <c r="E2" s="35" t="s">
        <v>242</v>
      </c>
      <c r="F2" s="33" t="s">
        <v>243</v>
      </c>
      <c r="G2" s="33" t="s">
        <v>244</v>
      </c>
      <c r="H2" s="34" t="s">
        <v>245</v>
      </c>
      <c r="I2" s="36"/>
      <c r="J2" s="36"/>
      <c r="K2" s="36"/>
      <c r="L2" s="37">
        <v>0</v>
      </c>
      <c r="M2" s="37">
        <v>0</v>
      </c>
      <c r="N2" s="37"/>
      <c r="O2" s="38"/>
      <c r="P2" s="38"/>
      <c r="Q2" s="39"/>
      <c r="R2" s="40"/>
      <c r="S2" s="40"/>
      <c r="T2" s="41">
        <v>0</v>
      </c>
      <c r="U2" s="42"/>
      <c r="V2" s="42"/>
      <c r="W2" s="43"/>
      <c r="X2" s="44"/>
      <c r="Y2" s="4">
        <v>1</v>
      </c>
      <c r="Z2" s="45" t="s">
        <v>246</v>
      </c>
      <c r="AA2" s="45" t="s">
        <v>247</v>
      </c>
      <c r="AB2" s="4"/>
    </row>
    <row r="3" spans="1:28" ht="409.6" thickBot="1">
      <c r="A3" s="46" t="s">
        <v>248</v>
      </c>
      <c r="B3" s="47" t="s">
        <v>249</v>
      </c>
      <c r="C3" s="48" t="s">
        <v>250</v>
      </c>
      <c r="D3" s="49" t="s">
        <v>251</v>
      </c>
      <c r="E3" s="50" t="s">
        <v>252</v>
      </c>
      <c r="F3" s="33" t="s">
        <v>243</v>
      </c>
      <c r="G3" s="33" t="s">
        <v>253</v>
      </c>
      <c r="H3" s="34" t="s">
        <v>254</v>
      </c>
      <c r="I3" s="51"/>
      <c r="J3" s="51"/>
      <c r="K3" s="51" t="s">
        <v>255</v>
      </c>
      <c r="L3" s="52">
        <v>0</v>
      </c>
      <c r="M3" s="53">
        <v>0.45</v>
      </c>
      <c r="N3" s="53"/>
      <c r="O3" s="54"/>
      <c r="P3" s="54"/>
      <c r="Q3" s="39"/>
      <c r="R3" s="55">
        <v>0.45</v>
      </c>
      <c r="S3" s="40"/>
      <c r="T3" s="56">
        <v>1</v>
      </c>
      <c r="U3" s="42"/>
      <c r="V3" s="42"/>
      <c r="W3" s="43"/>
      <c r="X3" s="44"/>
      <c r="Y3" s="4"/>
      <c r="Z3" s="45"/>
      <c r="AA3" s="174" t="s">
        <v>394</v>
      </c>
      <c r="AB3" s="4"/>
    </row>
    <row r="4" spans="1:28" ht="61" thickBot="1">
      <c r="A4" s="57"/>
      <c r="B4" s="58"/>
      <c r="C4" s="59"/>
      <c r="D4" s="60"/>
      <c r="E4" s="61"/>
      <c r="F4" s="33" t="s">
        <v>256</v>
      </c>
      <c r="G4" s="33" t="s">
        <v>257</v>
      </c>
      <c r="H4" s="33" t="s">
        <v>258</v>
      </c>
      <c r="I4" s="23"/>
      <c r="J4" s="23"/>
      <c r="K4" s="23"/>
      <c r="L4" s="62"/>
      <c r="M4" s="63"/>
      <c r="N4" s="63"/>
      <c r="O4" s="54"/>
      <c r="P4" s="54"/>
      <c r="Q4" s="39"/>
      <c r="R4" s="55"/>
      <c r="S4" s="40"/>
      <c r="T4" s="56"/>
      <c r="U4" s="42"/>
      <c r="V4" s="42"/>
      <c r="W4" s="43"/>
      <c r="X4" s="44"/>
      <c r="Y4" s="4"/>
      <c r="Z4" s="45"/>
      <c r="AA4" s="45"/>
      <c r="AB4" s="4"/>
    </row>
    <row r="5" spans="1:28" ht="256" thickBot="1">
      <c r="A5" s="31" t="s">
        <v>259</v>
      </c>
      <c r="B5" s="32" t="s">
        <v>7</v>
      </c>
      <c r="C5" s="33" t="s">
        <v>260</v>
      </c>
      <c r="D5" s="34" t="s">
        <v>261</v>
      </c>
      <c r="E5" s="35" t="s">
        <v>262</v>
      </c>
      <c r="F5" s="33" t="s">
        <v>263</v>
      </c>
      <c r="G5" s="33" t="s">
        <v>264</v>
      </c>
      <c r="H5" s="34" t="s">
        <v>265</v>
      </c>
      <c r="I5" s="36"/>
      <c r="J5" s="36"/>
      <c r="K5" s="36"/>
      <c r="L5" s="37">
        <v>0</v>
      </c>
      <c r="M5" s="37">
        <v>0</v>
      </c>
      <c r="N5" s="37"/>
      <c r="O5" s="38"/>
      <c r="P5" s="38"/>
      <c r="Q5" s="39"/>
      <c r="R5" s="40">
        <v>0</v>
      </c>
      <c r="S5" s="40"/>
      <c r="T5" s="41">
        <v>0</v>
      </c>
      <c r="U5" s="42"/>
      <c r="V5" s="42"/>
      <c r="W5" s="43"/>
      <c r="X5" s="44"/>
      <c r="Y5" s="4"/>
      <c r="Z5" s="64" t="s">
        <v>266</v>
      </c>
      <c r="AA5" s="64" t="s">
        <v>246</v>
      </c>
      <c r="AB5" s="4"/>
    </row>
    <row r="6" spans="1:28" ht="129" thickBot="1">
      <c r="A6" s="31" t="s">
        <v>267</v>
      </c>
      <c r="B6" s="32" t="s">
        <v>8</v>
      </c>
      <c r="C6" s="65" t="s">
        <v>268</v>
      </c>
      <c r="D6" s="33" t="s">
        <v>269</v>
      </c>
      <c r="E6" s="33" t="s">
        <v>270</v>
      </c>
      <c r="F6" s="33" t="s">
        <v>271</v>
      </c>
      <c r="G6" s="33" t="s">
        <v>272</v>
      </c>
      <c r="H6" s="33" t="s">
        <v>273</v>
      </c>
      <c r="I6" s="66"/>
      <c r="J6" s="66"/>
      <c r="K6" s="66"/>
      <c r="L6" s="37">
        <v>0</v>
      </c>
      <c r="M6" s="37">
        <v>0</v>
      </c>
      <c r="N6" s="37"/>
      <c r="O6" s="38"/>
      <c r="P6" s="38"/>
      <c r="Q6" s="39"/>
      <c r="R6" s="40">
        <v>1</v>
      </c>
      <c r="S6" s="67" t="s">
        <v>274</v>
      </c>
      <c r="T6" s="41">
        <v>0</v>
      </c>
      <c r="U6" s="42"/>
      <c r="V6" s="42"/>
      <c r="W6" s="43"/>
      <c r="X6" s="44"/>
      <c r="Y6" s="4">
        <v>1</v>
      </c>
      <c r="Z6" s="45" t="s">
        <v>246</v>
      </c>
      <c r="AA6" s="45" t="s">
        <v>246</v>
      </c>
      <c r="AB6" s="4"/>
    </row>
    <row r="7" spans="1:28" ht="166" thickBot="1">
      <c r="A7" s="46" t="s">
        <v>275</v>
      </c>
      <c r="B7" s="47" t="s">
        <v>276</v>
      </c>
      <c r="C7" s="48" t="s">
        <v>277</v>
      </c>
      <c r="D7" s="49" t="s">
        <v>278</v>
      </c>
      <c r="E7" s="50" t="s">
        <v>279</v>
      </c>
      <c r="F7" s="33" t="s">
        <v>280</v>
      </c>
      <c r="G7" s="33" t="s">
        <v>281</v>
      </c>
      <c r="H7" s="34" t="s">
        <v>282</v>
      </c>
      <c r="I7" s="36"/>
      <c r="J7" s="36"/>
      <c r="K7" s="36"/>
      <c r="L7" s="37"/>
      <c r="M7" s="37">
        <v>0</v>
      </c>
      <c r="N7" s="37"/>
      <c r="O7" s="38"/>
      <c r="P7" s="38"/>
      <c r="Q7" s="39"/>
      <c r="R7" s="40">
        <v>0</v>
      </c>
      <c r="S7" s="40"/>
      <c r="T7" s="56">
        <v>0</v>
      </c>
      <c r="U7" s="42"/>
      <c r="V7" s="42"/>
      <c r="W7" s="43"/>
      <c r="X7" s="44"/>
      <c r="Y7" s="4"/>
      <c r="Z7" s="45"/>
      <c r="AA7" s="45"/>
      <c r="AB7" s="4"/>
    </row>
    <row r="8" spans="1:28" ht="46" thickBot="1">
      <c r="A8" s="57"/>
      <c r="B8" s="58"/>
      <c r="C8" s="59"/>
      <c r="D8" s="60"/>
      <c r="E8" s="61"/>
      <c r="F8" s="33" t="s">
        <v>283</v>
      </c>
      <c r="G8" s="33" t="s">
        <v>284</v>
      </c>
      <c r="H8" s="33" t="s">
        <v>285</v>
      </c>
      <c r="I8" s="66"/>
      <c r="J8" s="66"/>
      <c r="K8" s="66"/>
      <c r="L8" s="37">
        <v>0</v>
      </c>
      <c r="M8" s="37">
        <v>0</v>
      </c>
      <c r="N8" s="37"/>
      <c r="O8" s="38"/>
      <c r="P8" s="38"/>
      <c r="Q8" s="39"/>
      <c r="R8" s="40"/>
      <c r="S8" s="40"/>
      <c r="T8" s="56"/>
      <c r="U8" s="42"/>
      <c r="V8" s="42"/>
      <c r="W8" s="43"/>
      <c r="X8" s="44"/>
      <c r="Y8" s="4"/>
      <c r="Z8" s="45"/>
      <c r="AA8" s="45"/>
      <c r="AB8" s="4"/>
    </row>
    <row r="9" spans="1:28" ht="166" thickBot="1">
      <c r="A9" s="31" t="s">
        <v>286</v>
      </c>
      <c r="B9" s="32" t="s">
        <v>9</v>
      </c>
      <c r="C9" s="33" t="s">
        <v>287</v>
      </c>
      <c r="D9" s="34" t="s">
        <v>288</v>
      </c>
      <c r="E9" s="35" t="s">
        <v>289</v>
      </c>
      <c r="F9" s="33" t="s">
        <v>290</v>
      </c>
      <c r="G9" s="33" t="s">
        <v>291</v>
      </c>
      <c r="H9" s="33" t="s">
        <v>292</v>
      </c>
      <c r="I9" s="66"/>
      <c r="J9" s="66"/>
      <c r="K9" s="66"/>
      <c r="L9" s="37">
        <v>0</v>
      </c>
      <c r="M9" s="37">
        <v>0</v>
      </c>
      <c r="N9" s="37"/>
      <c r="O9" s="38"/>
      <c r="P9" s="38"/>
      <c r="Q9" s="39"/>
      <c r="R9" s="40">
        <v>0</v>
      </c>
      <c r="S9" s="40"/>
      <c r="T9" s="41">
        <v>0</v>
      </c>
      <c r="U9" s="42"/>
      <c r="V9" s="42"/>
      <c r="W9" s="43"/>
      <c r="X9" s="44"/>
      <c r="Y9" s="4" t="s">
        <v>293</v>
      </c>
      <c r="Z9" s="45" t="s">
        <v>246</v>
      </c>
      <c r="AA9" s="45" t="s">
        <v>246</v>
      </c>
      <c r="AB9" s="4"/>
    </row>
    <row r="10" spans="1:28" ht="183" thickBot="1">
      <c r="A10" s="46" t="s">
        <v>294</v>
      </c>
      <c r="B10" s="47" t="s">
        <v>295</v>
      </c>
      <c r="C10" s="49" t="s">
        <v>296</v>
      </c>
      <c r="D10" s="49" t="s">
        <v>297</v>
      </c>
      <c r="E10" s="50" t="s">
        <v>298</v>
      </c>
      <c r="F10" s="33" t="s">
        <v>299</v>
      </c>
      <c r="G10" s="33" t="s">
        <v>300</v>
      </c>
      <c r="H10" s="33" t="s">
        <v>301</v>
      </c>
      <c r="I10" s="68" t="s">
        <v>302</v>
      </c>
      <c r="J10" s="66" t="s">
        <v>303</v>
      </c>
      <c r="K10" s="66"/>
      <c r="L10" s="37">
        <v>0</v>
      </c>
      <c r="M10" s="37">
        <v>1</v>
      </c>
      <c r="N10" s="37" t="s">
        <v>304</v>
      </c>
      <c r="O10" s="38"/>
      <c r="P10" s="38"/>
      <c r="Q10" s="39" t="s">
        <v>305</v>
      </c>
      <c r="R10" s="40">
        <v>0.84</v>
      </c>
      <c r="S10" s="40"/>
      <c r="T10" s="56" t="s">
        <v>306</v>
      </c>
      <c r="U10" s="42"/>
      <c r="V10" s="42" t="s">
        <v>307</v>
      </c>
      <c r="W10" s="43"/>
      <c r="X10" s="44"/>
      <c r="Y10" s="4"/>
      <c r="Z10" s="45"/>
      <c r="AA10" s="45"/>
      <c r="AB10" s="4"/>
    </row>
    <row r="11" spans="1:28" ht="182" thickTop="1" thickBot="1">
      <c r="A11" s="57"/>
      <c r="B11" s="58"/>
      <c r="C11" s="60"/>
      <c r="D11" s="60"/>
      <c r="E11" s="61"/>
      <c r="F11" s="33" t="s">
        <v>308</v>
      </c>
      <c r="G11" s="33" t="s">
        <v>309</v>
      </c>
      <c r="H11" s="34" t="s">
        <v>310</v>
      </c>
      <c r="I11" s="69"/>
      <c r="J11" s="70" t="s">
        <v>311</v>
      </c>
      <c r="K11" s="36"/>
      <c r="L11" s="37"/>
      <c r="M11" s="37"/>
      <c r="N11" s="37"/>
      <c r="O11" s="38"/>
      <c r="P11" s="38"/>
      <c r="Q11" s="39"/>
      <c r="R11" s="40"/>
      <c r="S11" s="40"/>
      <c r="T11" s="56"/>
      <c r="U11" s="42"/>
      <c r="V11" s="42"/>
      <c r="W11" s="43"/>
      <c r="X11" s="44"/>
      <c r="Y11" s="4"/>
      <c r="Z11" s="45"/>
      <c r="AA11" s="45"/>
      <c r="AB11" s="4"/>
    </row>
    <row r="12" spans="1:28" ht="129" thickBot="1">
      <c r="A12" s="46" t="s">
        <v>312</v>
      </c>
      <c r="B12" s="47" t="s">
        <v>313</v>
      </c>
      <c r="C12" s="49" t="s">
        <v>314</v>
      </c>
      <c r="D12" s="49" t="s">
        <v>315</v>
      </c>
      <c r="E12" s="71" t="s">
        <v>316</v>
      </c>
      <c r="F12" s="33" t="s">
        <v>317</v>
      </c>
      <c r="G12" s="33" t="s">
        <v>318</v>
      </c>
      <c r="H12" s="34" t="s">
        <v>319</v>
      </c>
      <c r="I12" s="36"/>
      <c r="J12" s="36"/>
      <c r="K12" s="36"/>
      <c r="L12" s="37"/>
      <c r="M12" s="53">
        <v>1</v>
      </c>
      <c r="N12" s="53" t="s">
        <v>320</v>
      </c>
      <c r="O12" s="38"/>
      <c r="P12" s="38"/>
      <c r="Q12" s="39"/>
      <c r="R12" s="40">
        <v>0.27</v>
      </c>
      <c r="S12" s="40"/>
      <c r="T12" s="56">
        <v>0</v>
      </c>
      <c r="U12" s="42"/>
      <c r="V12" s="42"/>
      <c r="W12" s="43"/>
      <c r="X12" s="44" t="s">
        <v>321</v>
      </c>
      <c r="Y12" s="4"/>
      <c r="Z12" s="45"/>
      <c r="AA12" s="45"/>
      <c r="AB12" s="4"/>
    </row>
    <row r="13" spans="1:28" ht="91" thickBot="1">
      <c r="A13" s="57"/>
      <c r="B13" s="58"/>
      <c r="C13" s="60"/>
      <c r="D13" s="60"/>
      <c r="E13" s="72"/>
      <c r="F13" s="33" t="s">
        <v>322</v>
      </c>
      <c r="G13" s="33" t="s">
        <v>323</v>
      </c>
      <c r="H13" s="34" t="s">
        <v>324</v>
      </c>
      <c r="I13" s="36"/>
      <c r="J13" s="36"/>
      <c r="K13" s="36"/>
      <c r="L13" s="37"/>
      <c r="M13" s="63"/>
      <c r="N13" s="63"/>
      <c r="O13" s="38"/>
      <c r="P13" s="38"/>
      <c r="Q13" s="39"/>
      <c r="R13" s="40"/>
      <c r="S13" s="40"/>
      <c r="T13" s="56"/>
      <c r="U13" s="42"/>
      <c r="V13" s="42"/>
      <c r="W13" s="43"/>
      <c r="X13" s="44"/>
      <c r="Y13" s="4"/>
      <c r="Z13" s="45"/>
      <c r="AA13" s="45"/>
      <c r="AB13" s="4"/>
    </row>
    <row r="14" spans="1:28" ht="409.6" thickBot="1">
      <c r="A14" s="31" t="s">
        <v>325</v>
      </c>
      <c r="B14" s="32" t="s">
        <v>10</v>
      </c>
      <c r="C14" s="33" t="s">
        <v>326</v>
      </c>
      <c r="D14" s="34" t="s">
        <v>327</v>
      </c>
      <c r="E14" s="35" t="s">
        <v>328</v>
      </c>
      <c r="F14" s="33" t="s">
        <v>329</v>
      </c>
      <c r="G14" s="33" t="s">
        <v>330</v>
      </c>
      <c r="H14" s="34" t="s">
        <v>331</v>
      </c>
      <c r="I14" s="36"/>
      <c r="J14" s="36"/>
      <c r="K14" s="36"/>
      <c r="L14" s="37">
        <v>0</v>
      </c>
      <c r="M14" s="37"/>
      <c r="N14" s="37"/>
      <c r="O14" s="38"/>
      <c r="P14" s="38"/>
      <c r="Q14" s="39"/>
      <c r="R14" s="40"/>
      <c r="S14" s="40"/>
      <c r="T14" s="41" t="s">
        <v>306</v>
      </c>
      <c r="U14" s="42"/>
      <c r="V14" s="42" t="s">
        <v>332</v>
      </c>
      <c r="W14" s="43" t="s">
        <v>333</v>
      </c>
      <c r="X14" s="44"/>
      <c r="Y14" s="4"/>
      <c r="Z14" s="45" t="s">
        <v>334</v>
      </c>
      <c r="AA14" s="45" t="s">
        <v>246</v>
      </c>
      <c r="AB14" s="4"/>
    </row>
    <row r="15" spans="1:28" ht="61" thickBot="1">
      <c r="A15" s="46" t="s">
        <v>335</v>
      </c>
      <c r="B15" s="47" t="s">
        <v>336</v>
      </c>
      <c r="C15" s="49" t="s">
        <v>337</v>
      </c>
      <c r="D15" s="49" t="s">
        <v>338</v>
      </c>
      <c r="E15" s="71" t="s">
        <v>339</v>
      </c>
      <c r="F15" s="33" t="s">
        <v>340</v>
      </c>
      <c r="G15" s="33" t="s">
        <v>257</v>
      </c>
      <c r="H15" s="33" t="s">
        <v>258</v>
      </c>
      <c r="I15" s="66"/>
      <c r="J15" s="66"/>
      <c r="K15" s="66"/>
      <c r="L15" s="37"/>
      <c r="M15" s="53">
        <v>0.45</v>
      </c>
      <c r="N15" s="53" t="s">
        <v>341</v>
      </c>
      <c r="O15" s="38"/>
      <c r="P15" s="38"/>
      <c r="Q15" s="39"/>
      <c r="R15" s="40"/>
      <c r="S15" s="40"/>
      <c r="T15" s="56">
        <v>1</v>
      </c>
      <c r="U15" s="42"/>
      <c r="V15" s="42"/>
      <c r="W15" s="43"/>
      <c r="X15" s="44"/>
      <c r="Y15" s="4"/>
      <c r="Z15" s="45"/>
      <c r="AA15" s="174" t="s">
        <v>394</v>
      </c>
      <c r="AB15" s="4"/>
    </row>
    <row r="16" spans="1:28" ht="136" thickBot="1">
      <c r="A16" s="57"/>
      <c r="B16" s="58"/>
      <c r="C16" s="60"/>
      <c r="D16" s="60"/>
      <c r="E16" s="72"/>
      <c r="F16" s="33" t="s">
        <v>342</v>
      </c>
      <c r="G16" s="33" t="s">
        <v>253</v>
      </c>
      <c r="H16" s="34" t="s">
        <v>254</v>
      </c>
      <c r="I16" s="36"/>
      <c r="J16" s="36"/>
      <c r="K16" s="36"/>
      <c r="L16" s="37"/>
      <c r="M16" s="63"/>
      <c r="N16" s="63"/>
      <c r="O16" s="38"/>
      <c r="P16" s="38"/>
      <c r="Q16" s="39"/>
      <c r="R16" s="40"/>
      <c r="S16" s="40"/>
      <c r="T16" s="56"/>
      <c r="U16" s="42"/>
      <c r="V16" s="42"/>
      <c r="W16" s="43"/>
      <c r="X16" s="44"/>
      <c r="Y16" s="4"/>
      <c r="Z16" s="45"/>
      <c r="AA16" s="45"/>
      <c r="AB16" s="4"/>
    </row>
    <row r="17" spans="1:28" ht="106" thickBot="1">
      <c r="A17" s="31" t="s">
        <v>343</v>
      </c>
      <c r="B17" s="32" t="s">
        <v>11</v>
      </c>
      <c r="C17" s="33" t="s">
        <v>344</v>
      </c>
      <c r="D17" s="34" t="s">
        <v>345</v>
      </c>
      <c r="E17" s="35" t="s">
        <v>346</v>
      </c>
      <c r="F17" s="33" t="s">
        <v>347</v>
      </c>
      <c r="G17" s="33" t="s">
        <v>348</v>
      </c>
      <c r="H17" s="34" t="s">
        <v>349</v>
      </c>
      <c r="I17" s="36"/>
      <c r="J17" s="36"/>
      <c r="K17" s="36"/>
      <c r="L17" s="37">
        <v>0</v>
      </c>
      <c r="M17" s="37"/>
      <c r="N17" s="37"/>
      <c r="O17" s="38"/>
      <c r="P17" s="38"/>
      <c r="Q17" s="39"/>
      <c r="R17" s="40"/>
      <c r="S17" s="40"/>
      <c r="T17" s="41">
        <v>0</v>
      </c>
      <c r="U17" s="42"/>
      <c r="V17" s="42"/>
      <c r="W17" s="43"/>
      <c r="X17" s="44"/>
      <c r="Y17" s="4"/>
      <c r="Z17" s="45" t="s">
        <v>246</v>
      </c>
      <c r="AA17" s="45" t="s">
        <v>246</v>
      </c>
      <c r="AB17" s="4"/>
    </row>
    <row r="18" spans="1:28" ht="409.6" thickBot="1">
      <c r="A18" s="73" t="s">
        <v>350</v>
      </c>
      <c r="B18" s="47" t="s">
        <v>351</v>
      </c>
      <c r="C18" s="49" t="s">
        <v>352</v>
      </c>
      <c r="D18" s="49" t="s">
        <v>353</v>
      </c>
      <c r="E18" s="71" t="s">
        <v>354</v>
      </c>
      <c r="F18" s="33" t="s">
        <v>355</v>
      </c>
      <c r="G18" s="33" t="s">
        <v>356</v>
      </c>
      <c r="H18" s="34" t="s">
        <v>357</v>
      </c>
      <c r="I18" s="74" t="s">
        <v>358</v>
      </c>
      <c r="J18" s="36" t="s">
        <v>359</v>
      </c>
      <c r="K18" s="74"/>
      <c r="L18" s="37"/>
      <c r="M18" s="37"/>
      <c r="N18" s="37"/>
      <c r="O18" s="38"/>
      <c r="P18" s="38"/>
      <c r="Q18" s="39"/>
      <c r="R18" s="40"/>
      <c r="S18" s="40"/>
      <c r="T18" s="56">
        <v>0.95</v>
      </c>
      <c r="U18" s="75" t="s">
        <v>360</v>
      </c>
      <c r="V18" s="42"/>
      <c r="W18" s="43"/>
      <c r="X18" s="44" t="s">
        <v>361</v>
      </c>
      <c r="Y18" s="4"/>
      <c r="Z18" s="45"/>
      <c r="AA18" s="45"/>
      <c r="AB18" s="4"/>
    </row>
    <row r="19" spans="1:28" ht="371" thickBot="1">
      <c r="A19" s="76"/>
      <c r="B19" s="58"/>
      <c r="C19" s="60"/>
      <c r="D19" s="60"/>
      <c r="E19" s="72"/>
      <c r="F19" s="33" t="s">
        <v>362</v>
      </c>
      <c r="G19" s="33" t="s">
        <v>363</v>
      </c>
      <c r="H19" s="34" t="s">
        <v>364</v>
      </c>
      <c r="I19" s="77"/>
      <c r="J19" s="36"/>
      <c r="K19" s="77"/>
      <c r="L19" s="37">
        <v>0</v>
      </c>
      <c r="M19" s="37"/>
      <c r="N19" s="37"/>
      <c r="O19" s="38"/>
      <c r="P19" s="38"/>
      <c r="Q19" s="39"/>
      <c r="R19" s="40"/>
      <c r="S19" s="40"/>
      <c r="T19" s="56"/>
      <c r="U19" s="75"/>
      <c r="V19" s="42"/>
      <c r="W19" s="43"/>
      <c r="X19" s="44"/>
      <c r="Y19" s="4"/>
      <c r="Z19" s="45"/>
      <c r="AA19" s="45"/>
      <c r="AB19" s="4"/>
    </row>
    <row r="20" spans="1:28" ht="359" thickBot="1">
      <c r="A20" s="46" t="s">
        <v>365</v>
      </c>
      <c r="B20" s="47" t="s">
        <v>366</v>
      </c>
      <c r="C20" s="49" t="s">
        <v>367</v>
      </c>
      <c r="D20" s="49" t="s">
        <v>368</v>
      </c>
      <c r="E20" s="71"/>
      <c r="F20" s="33" t="s">
        <v>369</v>
      </c>
      <c r="G20" s="33" t="s">
        <v>370</v>
      </c>
      <c r="H20" s="34" t="s">
        <v>367</v>
      </c>
      <c r="I20" s="36"/>
      <c r="J20" s="36"/>
      <c r="K20" s="74" t="s">
        <v>371</v>
      </c>
      <c r="L20" s="37"/>
      <c r="M20" s="37">
        <v>0.2</v>
      </c>
      <c r="N20" s="37" t="s">
        <v>372</v>
      </c>
      <c r="O20" s="38"/>
      <c r="P20" s="38"/>
      <c r="Q20" s="39" t="s">
        <v>373</v>
      </c>
      <c r="R20" s="40"/>
      <c r="S20" s="40"/>
      <c r="T20" s="56">
        <v>0.87</v>
      </c>
      <c r="U20" s="42" t="s">
        <v>374</v>
      </c>
      <c r="V20" s="42"/>
      <c r="W20" s="43" t="s">
        <v>374</v>
      </c>
      <c r="X20" s="44" t="s">
        <v>375</v>
      </c>
      <c r="Y20" s="4"/>
      <c r="Z20" s="45"/>
      <c r="AA20" s="45"/>
      <c r="AB20" s="4"/>
    </row>
    <row r="21" spans="1:28" ht="315" thickBot="1">
      <c r="A21" s="57"/>
      <c r="B21" s="58"/>
      <c r="C21" s="60"/>
      <c r="D21" s="60"/>
      <c r="E21" s="72"/>
      <c r="F21" s="33" t="s">
        <v>376</v>
      </c>
      <c r="G21" s="33" t="s">
        <v>368</v>
      </c>
      <c r="H21" s="34" t="s">
        <v>367</v>
      </c>
      <c r="I21" s="36"/>
      <c r="J21" s="36"/>
      <c r="K21" s="77"/>
      <c r="L21" s="37">
        <v>0</v>
      </c>
      <c r="M21" s="37"/>
      <c r="N21" s="37"/>
      <c r="O21" s="38"/>
      <c r="P21" s="38"/>
      <c r="Q21" s="39"/>
      <c r="R21" s="40"/>
      <c r="S21" s="40"/>
      <c r="T21" s="56"/>
      <c r="U21" s="42"/>
      <c r="V21" s="42"/>
      <c r="W21" s="43"/>
      <c r="X21" s="44" t="s">
        <v>377</v>
      </c>
      <c r="Y21" s="4"/>
      <c r="Z21" s="45"/>
      <c r="AA21" s="45"/>
      <c r="AB21" s="4"/>
    </row>
    <row r="22" spans="1:28" ht="271" thickBot="1">
      <c r="A22" s="31" t="s">
        <v>378</v>
      </c>
      <c r="B22" s="32" t="s">
        <v>12</v>
      </c>
      <c r="C22" s="33" t="s">
        <v>379</v>
      </c>
      <c r="D22" s="34" t="s">
        <v>380</v>
      </c>
      <c r="E22" s="35"/>
      <c r="F22" s="33" t="s">
        <v>381</v>
      </c>
      <c r="G22" s="33" t="s">
        <v>382</v>
      </c>
      <c r="H22" s="33" t="s">
        <v>383</v>
      </c>
      <c r="I22" s="66"/>
      <c r="J22" s="66"/>
      <c r="K22" s="66"/>
      <c r="L22" s="37">
        <v>0</v>
      </c>
      <c r="M22" s="37"/>
      <c r="N22" s="37"/>
      <c r="O22" s="38"/>
      <c r="P22" s="38"/>
      <c r="Q22" s="39"/>
      <c r="R22" s="40"/>
      <c r="S22" s="40"/>
      <c r="T22" s="41">
        <v>0</v>
      </c>
      <c r="U22" s="42"/>
      <c r="V22" s="42"/>
      <c r="W22" s="43"/>
      <c r="X22" s="44"/>
      <c r="Y22" s="4"/>
      <c r="Z22" s="45" t="s">
        <v>246</v>
      </c>
      <c r="AA22" s="45" t="s">
        <v>246</v>
      </c>
      <c r="AB22" s="4"/>
    </row>
    <row r="23" spans="1:28" ht="409.6" thickBot="1">
      <c r="A23" s="31" t="s">
        <v>384</v>
      </c>
      <c r="B23" s="32" t="s">
        <v>13</v>
      </c>
      <c r="C23" s="33" t="s">
        <v>385</v>
      </c>
      <c r="D23" s="34" t="s">
        <v>386</v>
      </c>
      <c r="E23" s="35" t="s">
        <v>387</v>
      </c>
      <c r="F23" s="33" t="s">
        <v>388</v>
      </c>
      <c r="G23" s="33" t="s">
        <v>389</v>
      </c>
      <c r="H23" s="34" t="s">
        <v>390</v>
      </c>
      <c r="I23" s="36"/>
      <c r="J23" s="36"/>
      <c r="K23" s="36" t="s">
        <v>391</v>
      </c>
      <c r="L23" s="37"/>
      <c r="M23" s="37">
        <v>0</v>
      </c>
      <c r="N23" s="39"/>
      <c r="O23" s="39"/>
      <c r="P23" s="39"/>
      <c r="Q23" s="37" t="s">
        <v>392</v>
      </c>
      <c r="R23" s="40" t="s">
        <v>393</v>
      </c>
      <c r="S23" s="40"/>
      <c r="T23" s="41">
        <v>0</v>
      </c>
      <c r="U23" s="42"/>
      <c r="V23" s="42"/>
      <c r="W23" s="43"/>
      <c r="X23" s="44"/>
      <c r="Y23" s="4"/>
      <c r="Z23" s="64" t="s">
        <v>394</v>
      </c>
      <c r="AA23" s="64" t="s">
        <v>246</v>
      </c>
      <c r="AB23" s="4"/>
    </row>
    <row r="24" spans="1:28" ht="31" thickBot="1">
      <c r="A24" s="31" t="s">
        <v>395</v>
      </c>
      <c r="B24" s="32" t="s">
        <v>14</v>
      </c>
      <c r="C24" s="33" t="s">
        <v>396</v>
      </c>
      <c r="D24" s="33" t="s">
        <v>397</v>
      </c>
      <c r="E24" s="35"/>
      <c r="F24" s="33" t="s">
        <v>398</v>
      </c>
      <c r="G24" s="33" t="s">
        <v>399</v>
      </c>
      <c r="H24" s="33" t="s">
        <v>396</v>
      </c>
      <c r="I24" s="66"/>
      <c r="J24" s="66"/>
      <c r="K24" s="66"/>
      <c r="L24" s="37">
        <v>0</v>
      </c>
      <c r="M24" s="37"/>
      <c r="N24" s="37"/>
      <c r="O24" s="38"/>
      <c r="P24" s="38"/>
      <c r="Q24" s="39"/>
      <c r="R24" s="40"/>
      <c r="S24" s="40"/>
      <c r="T24" s="41">
        <v>0</v>
      </c>
      <c r="U24" s="42"/>
      <c r="V24" s="42"/>
      <c r="W24" s="43"/>
      <c r="X24" s="44"/>
      <c r="Y24" s="4"/>
      <c r="Z24" s="45" t="s">
        <v>246</v>
      </c>
      <c r="AA24" s="45" t="s">
        <v>246</v>
      </c>
      <c r="AB24" s="4"/>
    </row>
    <row r="25" spans="1:28" ht="76" thickBot="1">
      <c r="A25" s="31" t="s">
        <v>400</v>
      </c>
      <c r="B25" s="32" t="s">
        <v>15</v>
      </c>
      <c r="C25" s="33" t="s">
        <v>401</v>
      </c>
      <c r="D25" s="34" t="s">
        <v>402</v>
      </c>
      <c r="E25" s="35"/>
      <c r="F25" s="33" t="s">
        <v>403</v>
      </c>
      <c r="G25" s="33" t="s">
        <v>404</v>
      </c>
      <c r="H25" s="33" t="s">
        <v>405</v>
      </c>
      <c r="I25" s="66"/>
      <c r="J25" s="66"/>
      <c r="K25" s="66"/>
      <c r="L25" s="37">
        <v>0</v>
      </c>
      <c r="M25" s="37"/>
      <c r="N25" s="37"/>
      <c r="O25" s="38"/>
      <c r="P25" s="38"/>
      <c r="Q25" s="39"/>
      <c r="R25" s="40"/>
      <c r="S25" s="40"/>
      <c r="T25" s="41">
        <v>0</v>
      </c>
      <c r="U25" s="42"/>
      <c r="V25" s="42"/>
      <c r="W25" s="43"/>
      <c r="X25" s="44"/>
      <c r="Y25" s="4"/>
      <c r="Z25" s="45" t="s">
        <v>246</v>
      </c>
      <c r="AA25" s="45" t="s">
        <v>246</v>
      </c>
      <c r="AB25" s="4"/>
    </row>
    <row r="26" spans="1:28" ht="409.6" thickBot="1">
      <c r="A26" s="46" t="s">
        <v>406</v>
      </c>
      <c r="B26" s="78" t="s">
        <v>407</v>
      </c>
      <c r="C26" s="49" t="s">
        <v>314</v>
      </c>
      <c r="D26" s="49" t="s">
        <v>315</v>
      </c>
      <c r="E26" s="31"/>
      <c r="F26" s="33" t="s">
        <v>408</v>
      </c>
      <c r="G26" s="33" t="s">
        <v>318</v>
      </c>
      <c r="H26" s="34" t="s">
        <v>319</v>
      </c>
      <c r="I26" s="36"/>
      <c r="J26" s="36"/>
      <c r="K26" s="36" t="s">
        <v>409</v>
      </c>
      <c r="L26" s="37">
        <v>0</v>
      </c>
      <c r="M26" s="37">
        <v>1</v>
      </c>
      <c r="N26" s="37" t="s">
        <v>320</v>
      </c>
      <c r="O26" s="38"/>
      <c r="P26" s="38"/>
      <c r="Q26" s="39"/>
      <c r="R26" s="40"/>
      <c r="S26" s="40"/>
      <c r="T26" s="56">
        <v>0</v>
      </c>
      <c r="U26" s="42"/>
      <c r="V26" s="42"/>
      <c r="W26" s="43"/>
      <c r="X26" s="44"/>
      <c r="Y26" s="4"/>
      <c r="Z26" s="45"/>
      <c r="AA26" s="45"/>
      <c r="AB26" s="4"/>
    </row>
    <row r="27" spans="1:28" ht="91" thickBot="1">
      <c r="A27" s="57"/>
      <c r="B27" s="79"/>
      <c r="C27" s="60"/>
      <c r="D27" s="60"/>
      <c r="E27" s="35"/>
      <c r="F27" s="33" t="s">
        <v>410</v>
      </c>
      <c r="G27" s="33" t="s">
        <v>323</v>
      </c>
      <c r="H27" s="34" t="s">
        <v>324</v>
      </c>
      <c r="I27" s="36"/>
      <c r="J27" s="36"/>
      <c r="K27" s="36"/>
      <c r="L27" s="37">
        <v>0</v>
      </c>
      <c r="M27" s="37"/>
      <c r="N27" s="37"/>
      <c r="O27" s="38"/>
      <c r="P27" s="38"/>
      <c r="Q27" s="39"/>
      <c r="R27" s="40"/>
      <c r="S27" s="40"/>
      <c r="T27" s="56"/>
      <c r="U27" s="42"/>
      <c r="V27" s="42"/>
      <c r="W27" s="43"/>
      <c r="X27" s="44"/>
      <c r="Y27" s="4"/>
      <c r="Z27" s="45"/>
      <c r="AA27" s="45"/>
      <c r="AB27" s="4"/>
    </row>
    <row r="28" spans="1:28" ht="409.6" thickBot="1">
      <c r="A28" s="31" t="s">
        <v>411</v>
      </c>
      <c r="B28" s="32" t="s">
        <v>17</v>
      </c>
      <c r="C28" s="33" t="s">
        <v>412</v>
      </c>
      <c r="D28" s="34" t="s">
        <v>413</v>
      </c>
      <c r="E28" s="35"/>
      <c r="F28" s="33" t="s">
        <v>414</v>
      </c>
      <c r="G28" s="33" t="s">
        <v>415</v>
      </c>
      <c r="H28" s="34" t="s">
        <v>416</v>
      </c>
      <c r="I28" s="36"/>
      <c r="J28" s="36"/>
      <c r="K28" s="36"/>
      <c r="L28" s="37">
        <v>0</v>
      </c>
      <c r="M28" s="37">
        <v>0</v>
      </c>
      <c r="N28" s="37"/>
      <c r="O28" s="38"/>
      <c r="P28" s="38"/>
      <c r="Q28" s="39"/>
      <c r="R28" s="40"/>
      <c r="S28" s="40"/>
      <c r="T28" s="41">
        <v>0</v>
      </c>
      <c r="U28" s="42"/>
      <c r="V28" s="42"/>
      <c r="W28" s="43"/>
      <c r="X28" s="44"/>
      <c r="Y28" s="4"/>
      <c r="Z28" s="45" t="s">
        <v>246</v>
      </c>
      <c r="AA28" s="45" t="s">
        <v>246</v>
      </c>
      <c r="AB28" s="4"/>
    </row>
    <row r="29" spans="1:28" ht="409.6" thickBot="1">
      <c r="A29" s="31" t="s">
        <v>417</v>
      </c>
      <c r="B29" s="32" t="s">
        <v>18</v>
      </c>
      <c r="C29" s="33" t="s">
        <v>418</v>
      </c>
      <c r="D29" s="34" t="s">
        <v>419</v>
      </c>
      <c r="E29" s="35" t="s">
        <v>420</v>
      </c>
      <c r="F29" s="33" t="s">
        <v>421</v>
      </c>
      <c r="G29" s="33" t="s">
        <v>422</v>
      </c>
      <c r="H29" s="34" t="s">
        <v>423</v>
      </c>
      <c r="I29" s="36"/>
      <c r="J29" s="36"/>
      <c r="K29" s="36" t="s">
        <v>424</v>
      </c>
      <c r="L29" s="37">
        <v>0</v>
      </c>
      <c r="M29" s="37">
        <v>0</v>
      </c>
      <c r="N29" s="37"/>
      <c r="O29" s="38"/>
      <c r="P29" s="38"/>
      <c r="Q29" s="39"/>
      <c r="R29" s="40"/>
      <c r="S29" s="40"/>
      <c r="T29" s="41">
        <v>1</v>
      </c>
      <c r="U29" s="42"/>
      <c r="V29" s="42"/>
      <c r="W29" s="43"/>
      <c r="X29" s="44"/>
      <c r="Y29" s="4"/>
      <c r="Z29" s="64" t="s">
        <v>394</v>
      </c>
      <c r="AA29" s="64" t="s">
        <v>246</v>
      </c>
      <c r="AB29" s="4"/>
    </row>
    <row r="30" spans="1:28" ht="409.6" thickBot="1">
      <c r="A30" s="31" t="s">
        <v>425</v>
      </c>
      <c r="B30" s="32" t="s">
        <v>3</v>
      </c>
      <c r="C30" s="33" t="s">
        <v>385</v>
      </c>
      <c r="D30" s="34" t="s">
        <v>386</v>
      </c>
      <c r="E30" s="35" t="s">
        <v>426</v>
      </c>
      <c r="F30" s="33" t="s">
        <v>427</v>
      </c>
      <c r="G30" s="33" t="s">
        <v>389</v>
      </c>
      <c r="H30" s="33" t="s">
        <v>390</v>
      </c>
      <c r="I30" s="66"/>
      <c r="J30" s="66"/>
      <c r="K30" s="66" t="s">
        <v>428</v>
      </c>
      <c r="L30" s="80">
        <v>0</v>
      </c>
      <c r="M30" s="37"/>
      <c r="N30" s="37"/>
      <c r="O30" s="38"/>
      <c r="P30" s="38"/>
      <c r="Q30" s="39" t="s">
        <v>392</v>
      </c>
      <c r="R30" s="40"/>
      <c r="S30" s="40"/>
      <c r="T30" s="41">
        <v>0</v>
      </c>
      <c r="U30" s="42"/>
      <c r="V30" s="42"/>
      <c r="W30" s="43"/>
      <c r="X30" s="44"/>
      <c r="Y30" s="4">
        <v>1</v>
      </c>
      <c r="Z30" s="64" t="s">
        <v>394</v>
      </c>
      <c r="AA30" s="64"/>
      <c r="AB30" s="4"/>
    </row>
    <row r="31" spans="1:28" ht="161" thickBot="1">
      <c r="A31" s="46" t="s">
        <v>429</v>
      </c>
      <c r="B31" s="47" t="s">
        <v>430</v>
      </c>
      <c r="C31" s="49" t="s">
        <v>431</v>
      </c>
      <c r="D31" s="49" t="s">
        <v>432</v>
      </c>
      <c r="E31" s="71" t="s">
        <v>433</v>
      </c>
      <c r="F31" s="33" t="s">
        <v>434</v>
      </c>
      <c r="G31" s="33" t="s">
        <v>435</v>
      </c>
      <c r="H31" s="33" t="s">
        <v>436</v>
      </c>
      <c r="I31" s="81"/>
      <c r="J31" s="81"/>
      <c r="K31" s="82" t="s">
        <v>437</v>
      </c>
      <c r="L31" s="83">
        <v>0</v>
      </c>
      <c r="M31" s="53">
        <v>0.67</v>
      </c>
      <c r="N31" s="37" t="s">
        <v>438</v>
      </c>
      <c r="O31" s="38"/>
      <c r="P31" s="38"/>
      <c r="Q31" s="39" t="s">
        <v>439</v>
      </c>
      <c r="R31" s="40"/>
      <c r="S31" s="40"/>
      <c r="T31" s="56">
        <v>1</v>
      </c>
      <c r="U31" s="42"/>
      <c r="V31" s="42"/>
      <c r="W31" s="43"/>
      <c r="X31" s="44"/>
      <c r="Y31" s="4"/>
      <c r="Z31" s="45"/>
      <c r="AA31" s="174" t="s">
        <v>394</v>
      </c>
      <c r="AB31" s="4"/>
    </row>
    <row r="32" spans="1:28" ht="91" thickBot="1">
      <c r="A32" s="57"/>
      <c r="B32" s="58"/>
      <c r="C32" s="60"/>
      <c r="D32" s="60"/>
      <c r="E32" s="72"/>
      <c r="F32" s="33" t="s">
        <v>440</v>
      </c>
      <c r="G32" s="33" t="s">
        <v>441</v>
      </c>
      <c r="H32" s="33" t="s">
        <v>442</v>
      </c>
      <c r="I32" s="84"/>
      <c r="J32" s="84"/>
      <c r="K32" s="85"/>
      <c r="L32" s="86"/>
      <c r="M32" s="63"/>
      <c r="N32" s="37"/>
      <c r="O32" s="38"/>
      <c r="P32" s="38"/>
      <c r="Q32" s="39"/>
      <c r="R32" s="40"/>
      <c r="S32" s="40"/>
      <c r="T32" s="56"/>
      <c r="U32" s="42"/>
      <c r="V32" s="42"/>
      <c r="W32" s="43"/>
      <c r="X32" s="44"/>
      <c r="Y32" s="4"/>
      <c r="Z32" s="45"/>
      <c r="AA32" s="45"/>
      <c r="AB32" s="4"/>
    </row>
    <row r="33" spans="1:28" ht="409.6" thickBot="1">
      <c r="A33" s="46" t="s">
        <v>443</v>
      </c>
      <c r="B33" s="78" t="s">
        <v>444</v>
      </c>
      <c r="C33" s="49" t="s">
        <v>445</v>
      </c>
      <c r="D33" s="49" t="s">
        <v>446</v>
      </c>
      <c r="E33" s="71" t="s">
        <v>433</v>
      </c>
      <c r="F33" s="33" t="s">
        <v>447</v>
      </c>
      <c r="G33" s="33" t="s">
        <v>323</v>
      </c>
      <c r="H33" s="33" t="s">
        <v>324</v>
      </c>
      <c r="I33" s="81" t="s">
        <v>448</v>
      </c>
      <c r="J33" s="81" t="s">
        <v>449</v>
      </c>
      <c r="K33" s="82" t="s">
        <v>450</v>
      </c>
      <c r="L33" s="83">
        <v>0.45</v>
      </c>
      <c r="M33" s="53">
        <v>1</v>
      </c>
      <c r="N33" s="53" t="s">
        <v>320</v>
      </c>
      <c r="O33" s="54"/>
      <c r="P33" s="54"/>
      <c r="Q33" s="39"/>
      <c r="R33" s="40"/>
      <c r="S33" s="40"/>
      <c r="T33" s="56">
        <v>0</v>
      </c>
      <c r="U33" s="42"/>
      <c r="V33" s="42"/>
      <c r="W33" s="43"/>
      <c r="X33" s="44"/>
      <c r="Y33" s="4"/>
      <c r="Z33" s="45"/>
      <c r="AA33" s="45"/>
      <c r="AB33" s="4"/>
    </row>
    <row r="34" spans="1:28" ht="106" thickBot="1">
      <c r="A34" s="57"/>
      <c r="B34" s="79"/>
      <c r="C34" s="60"/>
      <c r="D34" s="60"/>
      <c r="E34" s="72"/>
      <c r="F34" s="33" t="s">
        <v>451</v>
      </c>
      <c r="G34" s="33" t="s">
        <v>318</v>
      </c>
      <c r="H34" s="33" t="s">
        <v>319</v>
      </c>
      <c r="I34" s="84"/>
      <c r="J34" s="84"/>
      <c r="K34" s="85"/>
      <c r="L34" s="86"/>
      <c r="M34" s="63"/>
      <c r="N34" s="63"/>
      <c r="O34" s="54"/>
      <c r="P34" s="54"/>
      <c r="Q34" s="39"/>
      <c r="R34" s="40"/>
      <c r="S34" s="40"/>
      <c r="T34" s="56"/>
      <c r="U34" s="42"/>
      <c r="V34" s="42"/>
      <c r="W34" s="43"/>
      <c r="X34" s="44"/>
      <c r="Y34" s="4"/>
      <c r="Z34" s="45"/>
      <c r="AA34" s="45"/>
      <c r="AB34" s="4"/>
    </row>
    <row r="35" spans="1:28" ht="409.6" thickBot="1">
      <c r="A35" s="31" t="s">
        <v>452</v>
      </c>
      <c r="B35" s="32" t="s">
        <v>19</v>
      </c>
      <c r="C35" s="33" t="s">
        <v>453</v>
      </c>
      <c r="D35" s="34" t="s">
        <v>454</v>
      </c>
      <c r="E35" s="35" t="s">
        <v>455</v>
      </c>
      <c r="F35" s="33" t="s">
        <v>456</v>
      </c>
      <c r="G35" s="33" t="s">
        <v>454</v>
      </c>
      <c r="H35" s="33" t="s">
        <v>457</v>
      </c>
      <c r="I35" s="66"/>
      <c r="J35" s="66"/>
      <c r="K35" s="66" t="s">
        <v>458</v>
      </c>
      <c r="L35" s="87">
        <v>1</v>
      </c>
      <c r="M35" s="37">
        <v>0</v>
      </c>
      <c r="N35" s="37"/>
      <c r="O35" s="38"/>
      <c r="P35" s="38"/>
      <c r="Q35" s="39"/>
      <c r="R35" s="40"/>
      <c r="S35" s="40"/>
      <c r="T35" s="41">
        <v>1</v>
      </c>
      <c r="U35" s="42"/>
      <c r="V35" s="42"/>
      <c r="W35" s="43"/>
      <c r="X35" s="44"/>
      <c r="Y35" s="4"/>
      <c r="Z35" s="64" t="s">
        <v>394</v>
      </c>
      <c r="AA35" s="88" t="s">
        <v>394</v>
      </c>
      <c r="AB35" s="4"/>
    </row>
    <row r="36" spans="1:28" ht="409.6" thickBot="1">
      <c r="A36" s="31" t="s">
        <v>459</v>
      </c>
      <c r="B36" s="32" t="s">
        <v>20</v>
      </c>
      <c r="C36" s="33" t="s">
        <v>460</v>
      </c>
      <c r="D36" s="34" t="s">
        <v>461</v>
      </c>
      <c r="E36" s="35" t="s">
        <v>462</v>
      </c>
      <c r="F36" s="33" t="s">
        <v>463</v>
      </c>
      <c r="G36" s="33" t="s">
        <v>464</v>
      </c>
      <c r="H36" s="33" t="s">
        <v>465</v>
      </c>
      <c r="I36" s="66"/>
      <c r="J36" s="66"/>
      <c r="K36" s="66" t="s">
        <v>466</v>
      </c>
      <c r="L36" s="87">
        <v>1</v>
      </c>
      <c r="M36" s="37">
        <v>0</v>
      </c>
      <c r="N36" s="37"/>
      <c r="O36" s="38"/>
      <c r="P36" s="38"/>
      <c r="Q36" s="39"/>
      <c r="R36" s="40"/>
      <c r="S36" s="40"/>
      <c r="T36" s="176">
        <v>0</v>
      </c>
      <c r="U36" s="42"/>
      <c r="V36" s="42"/>
      <c r="W36" s="43"/>
      <c r="X36" s="44"/>
      <c r="Y36" s="4"/>
      <c r="Z36" s="45" t="s">
        <v>246</v>
      </c>
      <c r="AA36" s="173"/>
      <c r="AB36" s="4"/>
    </row>
    <row r="37" spans="1:28" ht="409.6" thickBot="1">
      <c r="A37" s="46" t="s">
        <v>467</v>
      </c>
      <c r="B37" s="47" t="s">
        <v>468</v>
      </c>
      <c r="C37" s="49" t="s">
        <v>367</v>
      </c>
      <c r="D37" s="49" t="s">
        <v>469</v>
      </c>
      <c r="E37" s="71" t="s">
        <v>470</v>
      </c>
      <c r="F37" s="33" t="s">
        <v>471</v>
      </c>
      <c r="G37" s="33" t="s">
        <v>472</v>
      </c>
      <c r="H37" s="33" t="s">
        <v>367</v>
      </c>
      <c r="I37" s="4" t="s">
        <v>473</v>
      </c>
      <c r="J37" s="81"/>
      <c r="K37" s="82"/>
      <c r="L37" s="83">
        <v>0</v>
      </c>
      <c r="M37" s="53">
        <v>0</v>
      </c>
      <c r="N37" s="37"/>
      <c r="O37" s="38"/>
      <c r="P37" s="38"/>
      <c r="Q37" s="39" t="s">
        <v>474</v>
      </c>
      <c r="R37" s="40"/>
      <c r="S37" s="40"/>
      <c r="T37" s="56" t="s">
        <v>306</v>
      </c>
      <c r="U37" s="42"/>
      <c r="V37" s="42" t="s">
        <v>475</v>
      </c>
      <c r="W37" s="43"/>
      <c r="X37" s="44"/>
      <c r="Y37" s="4"/>
      <c r="Z37" s="45"/>
      <c r="AA37" s="45"/>
      <c r="AB37" s="4"/>
    </row>
    <row r="38" spans="1:28" ht="315" thickBot="1">
      <c r="A38" s="57"/>
      <c r="B38" s="58"/>
      <c r="C38" s="60"/>
      <c r="D38" s="60"/>
      <c r="E38" s="72"/>
      <c r="F38" s="33" t="s">
        <v>476</v>
      </c>
      <c r="G38" s="33" t="s">
        <v>469</v>
      </c>
      <c r="H38" s="33" t="s">
        <v>367</v>
      </c>
      <c r="I38" s="84"/>
      <c r="J38" s="84"/>
      <c r="K38" s="85"/>
      <c r="L38" s="86"/>
      <c r="M38" s="63"/>
      <c r="N38" s="37"/>
      <c r="O38" s="38"/>
      <c r="P38" s="38"/>
      <c r="Q38" s="39"/>
      <c r="R38" s="40"/>
      <c r="S38" s="40"/>
      <c r="T38" s="56"/>
      <c r="U38" s="42"/>
      <c r="V38" s="42"/>
      <c r="W38" s="43"/>
      <c r="X38" s="44"/>
      <c r="Y38" s="4"/>
      <c r="Z38" s="45"/>
      <c r="AA38" s="45"/>
      <c r="AB38" s="4"/>
    </row>
    <row r="39" spans="1:28" ht="289" thickBot="1">
      <c r="A39" s="46" t="s">
        <v>477</v>
      </c>
      <c r="B39" s="47" t="s">
        <v>478</v>
      </c>
      <c r="C39" s="49" t="s">
        <v>479</v>
      </c>
      <c r="D39" s="49" t="s">
        <v>480</v>
      </c>
      <c r="E39" s="71" t="s">
        <v>481</v>
      </c>
      <c r="F39" s="33" t="s">
        <v>482</v>
      </c>
      <c r="G39" s="33" t="s">
        <v>483</v>
      </c>
      <c r="H39" s="33" t="s">
        <v>484</v>
      </c>
      <c r="I39" s="81"/>
      <c r="J39" s="81"/>
      <c r="K39" s="82" t="s">
        <v>485</v>
      </c>
      <c r="L39" s="83">
        <v>0</v>
      </c>
      <c r="M39" s="53">
        <v>0</v>
      </c>
      <c r="N39" s="53">
        <v>0.14000000000000001</v>
      </c>
      <c r="O39" s="89"/>
      <c r="P39" s="89"/>
      <c r="Q39" s="90" t="s">
        <v>486</v>
      </c>
      <c r="R39" s="91" t="s">
        <v>487</v>
      </c>
      <c r="S39" s="40"/>
      <c r="T39" s="56"/>
      <c r="U39" s="42"/>
      <c r="V39" s="42" t="s">
        <v>488</v>
      </c>
      <c r="W39" s="43"/>
      <c r="X39" s="44"/>
      <c r="Y39" s="4"/>
      <c r="Z39" s="45"/>
      <c r="AA39" s="45"/>
      <c r="AB39" s="4"/>
    </row>
    <row r="40" spans="1:28" ht="106" thickBot="1">
      <c r="A40" s="57"/>
      <c r="B40" s="58"/>
      <c r="C40" s="60"/>
      <c r="D40" s="60"/>
      <c r="E40" s="72"/>
      <c r="F40" s="33" t="s">
        <v>489</v>
      </c>
      <c r="G40" s="33" t="s">
        <v>490</v>
      </c>
      <c r="H40" s="33" t="s">
        <v>491</v>
      </c>
      <c r="I40" s="84"/>
      <c r="J40" s="84"/>
      <c r="K40" s="85"/>
      <c r="L40" s="86"/>
      <c r="M40" s="63"/>
      <c r="N40" s="63"/>
      <c r="O40" s="89"/>
      <c r="P40" s="89"/>
      <c r="Q40" s="90"/>
      <c r="R40" s="40"/>
      <c r="S40" s="40"/>
      <c r="T40" s="56"/>
      <c r="U40" s="42"/>
      <c r="V40" s="42"/>
      <c r="W40" s="43"/>
      <c r="X40" s="44"/>
      <c r="Y40" s="4"/>
      <c r="Z40" s="45"/>
      <c r="AA40" s="45"/>
      <c r="AB40" s="4"/>
    </row>
    <row r="41" spans="1:28" ht="409.6" thickBot="1">
      <c r="A41" s="31" t="s">
        <v>492</v>
      </c>
      <c r="B41" s="32" t="s">
        <v>21</v>
      </c>
      <c r="C41" s="33" t="s">
        <v>493</v>
      </c>
      <c r="D41" s="34" t="s">
        <v>494</v>
      </c>
      <c r="E41" s="35" t="s">
        <v>495</v>
      </c>
      <c r="F41" s="33" t="s">
        <v>496</v>
      </c>
      <c r="G41" s="33" t="s">
        <v>497</v>
      </c>
      <c r="H41" s="33" t="s">
        <v>498</v>
      </c>
      <c r="I41" s="66" t="s">
        <v>499</v>
      </c>
      <c r="J41" s="66" t="s">
        <v>500</v>
      </c>
      <c r="K41" s="66" t="s">
        <v>501</v>
      </c>
      <c r="L41" s="80">
        <v>0</v>
      </c>
      <c r="M41" s="37">
        <v>0</v>
      </c>
      <c r="N41" s="37"/>
      <c r="O41" s="38"/>
      <c r="P41" s="38"/>
      <c r="Q41" s="39" t="s">
        <v>502</v>
      </c>
      <c r="R41" s="40"/>
      <c r="S41" s="40"/>
      <c r="T41" s="176"/>
      <c r="U41" s="42"/>
      <c r="V41" s="42"/>
      <c r="W41" s="43"/>
      <c r="X41" s="44"/>
      <c r="Y41" s="4"/>
      <c r="Z41" s="45" t="s">
        <v>246</v>
      </c>
      <c r="AA41" s="173"/>
      <c r="AB41" s="4"/>
    </row>
    <row r="42" spans="1:28" ht="409.6" thickBot="1">
      <c r="A42" s="31" t="s">
        <v>503</v>
      </c>
      <c r="B42" s="92" t="s">
        <v>4</v>
      </c>
      <c r="C42" s="33" t="s">
        <v>504</v>
      </c>
      <c r="D42" s="34" t="s">
        <v>505</v>
      </c>
      <c r="E42" s="35" t="s">
        <v>506</v>
      </c>
      <c r="F42" s="33" t="s">
        <v>507</v>
      </c>
      <c r="G42" s="33" t="s">
        <v>508</v>
      </c>
      <c r="H42" s="33" t="s">
        <v>509</v>
      </c>
      <c r="I42" s="66" t="s">
        <v>510</v>
      </c>
      <c r="J42" s="66" t="s">
        <v>511</v>
      </c>
      <c r="K42" s="66" t="s">
        <v>512</v>
      </c>
      <c r="L42" s="80">
        <v>0</v>
      </c>
      <c r="M42" s="37">
        <v>0</v>
      </c>
      <c r="N42" s="37"/>
      <c r="O42" s="38"/>
      <c r="P42" s="38"/>
      <c r="Q42" s="39" t="s">
        <v>513</v>
      </c>
      <c r="R42" s="40"/>
      <c r="S42" s="40"/>
      <c r="T42" s="41">
        <v>1</v>
      </c>
      <c r="U42" s="42"/>
      <c r="V42" s="42"/>
      <c r="W42" s="43"/>
      <c r="X42" s="44"/>
      <c r="Y42" s="4">
        <v>1</v>
      </c>
      <c r="Z42" s="64" t="s">
        <v>394</v>
      </c>
      <c r="AA42" s="88" t="s">
        <v>394</v>
      </c>
      <c r="AB42" s="4"/>
    </row>
    <row r="43" spans="1:28" ht="409.6" thickBot="1">
      <c r="A43" s="31" t="s">
        <v>514</v>
      </c>
      <c r="B43" s="92" t="s">
        <v>22</v>
      </c>
      <c r="C43" s="33" t="s">
        <v>515</v>
      </c>
      <c r="D43" s="34" t="s">
        <v>516</v>
      </c>
      <c r="E43" s="35" t="s">
        <v>517</v>
      </c>
      <c r="F43" s="33" t="s">
        <v>518</v>
      </c>
      <c r="G43" s="33" t="s">
        <v>330</v>
      </c>
      <c r="H43" s="33" t="s">
        <v>331</v>
      </c>
      <c r="I43" s="66" t="s">
        <v>519</v>
      </c>
      <c r="J43" s="66" t="s">
        <v>520</v>
      </c>
      <c r="K43" s="66"/>
      <c r="L43" s="22" t="s">
        <v>293</v>
      </c>
      <c r="M43" s="37">
        <v>0</v>
      </c>
      <c r="N43" s="37"/>
      <c r="O43" s="38"/>
      <c r="P43" s="38"/>
      <c r="Q43" s="39" t="s">
        <v>521</v>
      </c>
      <c r="R43" s="40"/>
      <c r="S43" s="40"/>
      <c r="T43" s="41" t="s">
        <v>306</v>
      </c>
      <c r="U43" s="42"/>
      <c r="V43" s="42" t="s">
        <v>522</v>
      </c>
      <c r="W43" s="43"/>
      <c r="X43" s="44"/>
      <c r="Y43" s="4"/>
      <c r="Z43" s="45"/>
      <c r="AA43" s="45" t="s">
        <v>523</v>
      </c>
      <c r="AB43" s="4"/>
    </row>
    <row r="44" spans="1:28" ht="409.6" thickBot="1">
      <c r="A44" s="31" t="s">
        <v>524</v>
      </c>
      <c r="B44" s="92" t="s">
        <v>23</v>
      </c>
      <c r="C44" s="33" t="s">
        <v>525</v>
      </c>
      <c r="D44" s="34" t="s">
        <v>526</v>
      </c>
      <c r="E44" s="35" t="s">
        <v>527</v>
      </c>
      <c r="F44" s="33" t="s">
        <v>528</v>
      </c>
      <c r="G44" s="33" t="s">
        <v>529</v>
      </c>
      <c r="H44" s="33" t="s">
        <v>530</v>
      </c>
      <c r="I44" s="66" t="s">
        <v>531</v>
      </c>
      <c r="J44" s="66" t="s">
        <v>532</v>
      </c>
      <c r="K44" s="66"/>
      <c r="L44" s="80">
        <v>0</v>
      </c>
      <c r="M44" s="37">
        <v>0</v>
      </c>
      <c r="N44" s="37"/>
      <c r="O44" s="38"/>
      <c r="P44" s="38"/>
      <c r="Q44" s="39" t="s">
        <v>533</v>
      </c>
      <c r="R44" s="93" t="s">
        <v>534</v>
      </c>
      <c r="S44" s="40"/>
      <c r="T44" s="41">
        <v>0</v>
      </c>
      <c r="U44" s="42"/>
      <c r="V44" s="42"/>
      <c r="W44" s="43"/>
      <c r="X44" s="44"/>
      <c r="Y44" s="4"/>
      <c r="Z44" s="45" t="s">
        <v>246</v>
      </c>
      <c r="AA44" s="45" t="s">
        <v>246</v>
      </c>
      <c r="AB44" s="4"/>
    </row>
    <row r="45" spans="1:28" ht="273" thickBot="1">
      <c r="A45" s="73" t="s">
        <v>535</v>
      </c>
      <c r="B45" s="94" t="s">
        <v>536</v>
      </c>
      <c r="C45" s="49" t="s">
        <v>537</v>
      </c>
      <c r="D45" s="49" t="s">
        <v>538</v>
      </c>
      <c r="E45" s="71" t="s">
        <v>433</v>
      </c>
      <c r="F45" s="33" t="s">
        <v>539</v>
      </c>
      <c r="G45" s="33" t="s">
        <v>540</v>
      </c>
      <c r="H45" s="33" t="s">
        <v>541</v>
      </c>
      <c r="I45" s="81"/>
      <c r="J45" s="82" t="s">
        <v>542</v>
      </c>
      <c r="K45" s="82" t="s">
        <v>543</v>
      </c>
      <c r="L45" s="83">
        <v>0</v>
      </c>
      <c r="M45" s="53">
        <v>0</v>
      </c>
      <c r="N45" s="37"/>
      <c r="O45" s="38" t="s">
        <v>61</v>
      </c>
      <c r="P45" s="38"/>
      <c r="Q45" s="39" t="s">
        <v>544</v>
      </c>
      <c r="R45" s="95" t="s">
        <v>545</v>
      </c>
      <c r="S45" s="40"/>
      <c r="T45" s="56">
        <v>1</v>
      </c>
      <c r="U45" s="42"/>
      <c r="V45" s="42"/>
      <c r="W45" s="43"/>
      <c r="X45" s="44"/>
      <c r="Y45" s="4"/>
      <c r="Z45" s="45"/>
      <c r="AA45" s="45"/>
      <c r="AB45" s="4"/>
    </row>
    <row r="46" spans="1:28" ht="357" thickBot="1">
      <c r="A46" s="76"/>
      <c r="B46" s="96"/>
      <c r="C46" s="60"/>
      <c r="D46" s="60"/>
      <c r="E46" s="72"/>
      <c r="F46" s="33" t="s">
        <v>546</v>
      </c>
      <c r="G46" s="33" t="s">
        <v>547</v>
      </c>
      <c r="H46" s="33" t="s">
        <v>548</v>
      </c>
      <c r="I46" s="84"/>
      <c r="J46" s="85"/>
      <c r="K46" s="85"/>
      <c r="L46" s="86"/>
      <c r="M46" s="63"/>
      <c r="N46" s="37"/>
      <c r="O46" s="38"/>
      <c r="P46" s="38"/>
      <c r="Q46" s="39"/>
      <c r="R46" s="40"/>
      <c r="S46" s="40"/>
      <c r="T46" s="56"/>
      <c r="U46" s="42"/>
      <c r="V46" s="42"/>
      <c r="W46" s="43"/>
      <c r="X46" s="44"/>
      <c r="Y46" s="4"/>
      <c r="Z46" s="45"/>
      <c r="AA46" s="45"/>
      <c r="AB46" s="4"/>
    </row>
    <row r="47" spans="1:28" ht="409.6" thickBot="1">
      <c r="A47" s="31" t="s">
        <v>549</v>
      </c>
      <c r="B47" s="32" t="s">
        <v>24</v>
      </c>
      <c r="C47" s="33" t="s">
        <v>550</v>
      </c>
      <c r="D47" s="34" t="s">
        <v>551</v>
      </c>
      <c r="E47" s="35" t="s">
        <v>552</v>
      </c>
      <c r="F47" s="33" t="s">
        <v>553</v>
      </c>
      <c r="G47" s="33" t="s">
        <v>554</v>
      </c>
      <c r="H47" s="33" t="s">
        <v>555</v>
      </c>
      <c r="I47" s="66"/>
      <c r="J47" s="66"/>
      <c r="K47" s="66" t="s">
        <v>556</v>
      </c>
      <c r="L47" s="80">
        <v>0</v>
      </c>
      <c r="M47" s="37">
        <v>0</v>
      </c>
      <c r="N47" s="37"/>
      <c r="O47" s="38"/>
      <c r="P47" s="38"/>
      <c r="Q47" s="39" t="s">
        <v>557</v>
      </c>
      <c r="R47" s="40"/>
      <c r="S47" s="40"/>
      <c r="T47" s="41" t="s">
        <v>306</v>
      </c>
      <c r="U47" s="42"/>
      <c r="V47" s="42" t="s">
        <v>558</v>
      </c>
      <c r="W47" s="43"/>
      <c r="X47" s="44"/>
      <c r="Y47" s="4"/>
      <c r="Z47" s="45"/>
      <c r="AA47" s="45" t="s">
        <v>523</v>
      </c>
      <c r="AB47" s="4"/>
    </row>
    <row r="48" spans="1:28" ht="409.6" thickBot="1">
      <c r="A48" s="31" t="s">
        <v>559</v>
      </c>
      <c r="B48" s="32" t="s">
        <v>26</v>
      </c>
      <c r="C48" s="33" t="s">
        <v>560</v>
      </c>
      <c r="D48" s="34" t="s">
        <v>561</v>
      </c>
      <c r="E48" s="35" t="s">
        <v>562</v>
      </c>
      <c r="F48" s="33" t="s">
        <v>563</v>
      </c>
      <c r="G48" s="33" t="s">
        <v>564</v>
      </c>
      <c r="H48" s="33" t="s">
        <v>565</v>
      </c>
      <c r="I48" s="66"/>
      <c r="J48" s="66"/>
      <c r="K48" s="66" t="s">
        <v>566</v>
      </c>
      <c r="L48" s="80">
        <v>0</v>
      </c>
      <c r="M48" s="37">
        <v>0</v>
      </c>
      <c r="N48" s="37"/>
      <c r="O48" s="38"/>
      <c r="P48" s="38"/>
      <c r="Q48" s="39"/>
      <c r="R48" s="40"/>
      <c r="S48" s="40"/>
      <c r="T48" s="41">
        <v>0</v>
      </c>
      <c r="U48" s="42"/>
      <c r="V48" s="42"/>
      <c r="W48" s="43"/>
      <c r="X48" s="44" t="s">
        <v>567</v>
      </c>
      <c r="Y48" s="4"/>
      <c r="Z48" s="45"/>
      <c r="AA48" s="173"/>
      <c r="AB48" s="175"/>
    </row>
    <row r="49" spans="1:28" ht="61" thickBot="1">
      <c r="A49" s="73" t="s">
        <v>568</v>
      </c>
      <c r="B49" s="47" t="s">
        <v>569</v>
      </c>
      <c r="C49" s="49" t="s">
        <v>570</v>
      </c>
      <c r="D49" s="49" t="s">
        <v>571</v>
      </c>
      <c r="E49" s="71" t="s">
        <v>433</v>
      </c>
      <c r="F49" s="33" t="s">
        <v>572</v>
      </c>
      <c r="G49" s="33" t="s">
        <v>573</v>
      </c>
      <c r="H49" s="33" t="s">
        <v>574</v>
      </c>
      <c r="I49" s="81"/>
      <c r="J49" s="81"/>
      <c r="K49" s="82"/>
      <c r="L49" s="83">
        <v>0</v>
      </c>
      <c r="M49" s="53">
        <v>1</v>
      </c>
      <c r="N49" s="53" t="s">
        <v>575</v>
      </c>
      <c r="O49" s="38"/>
      <c r="P49" s="38"/>
      <c r="Q49" s="97" t="s">
        <v>394</v>
      </c>
      <c r="R49" s="40"/>
      <c r="S49" s="40"/>
      <c r="T49" s="56">
        <v>1</v>
      </c>
      <c r="U49" s="42"/>
      <c r="V49" s="42"/>
      <c r="W49" s="43"/>
      <c r="X49" s="44"/>
      <c r="Y49" s="4"/>
      <c r="Z49" s="45"/>
      <c r="AA49" s="45"/>
      <c r="AB49" s="4"/>
    </row>
    <row r="50" spans="1:28" ht="61" thickBot="1">
      <c r="A50" s="76"/>
      <c r="B50" s="58"/>
      <c r="C50" s="60"/>
      <c r="D50" s="60"/>
      <c r="E50" s="72"/>
      <c r="F50" s="33" t="s">
        <v>576</v>
      </c>
      <c r="G50" s="33" t="s">
        <v>577</v>
      </c>
      <c r="H50" s="33" t="s">
        <v>578</v>
      </c>
      <c r="I50" s="84"/>
      <c r="J50" s="84"/>
      <c r="K50" s="85"/>
      <c r="L50" s="86"/>
      <c r="M50" s="63"/>
      <c r="N50" s="63"/>
      <c r="O50" s="38"/>
      <c r="P50" s="38"/>
      <c r="Q50" s="97"/>
      <c r="R50" s="40"/>
      <c r="S50" s="40"/>
      <c r="T50" s="56"/>
      <c r="U50" s="42"/>
      <c r="V50" s="42"/>
      <c r="W50" s="43"/>
      <c r="X50" s="44"/>
      <c r="Y50" s="4"/>
      <c r="Z50" s="45"/>
      <c r="AA50" s="45"/>
      <c r="AB50" s="4"/>
    </row>
    <row r="51" spans="1:28" ht="409.6" thickBot="1">
      <c r="A51" s="31" t="s">
        <v>579</v>
      </c>
      <c r="B51" s="32" t="s">
        <v>28</v>
      </c>
      <c r="C51" s="33" t="s">
        <v>580</v>
      </c>
      <c r="D51" s="33" t="s">
        <v>397</v>
      </c>
      <c r="E51" s="35" t="s">
        <v>581</v>
      </c>
      <c r="F51" s="33" t="s">
        <v>582</v>
      </c>
      <c r="G51" s="33" t="s">
        <v>399</v>
      </c>
      <c r="H51" s="33" t="s">
        <v>396</v>
      </c>
      <c r="I51" s="66"/>
      <c r="J51" s="66"/>
      <c r="K51" s="66" t="s">
        <v>583</v>
      </c>
      <c r="L51" s="37">
        <v>0</v>
      </c>
      <c r="M51" s="37">
        <v>0.5</v>
      </c>
      <c r="N51" s="37" t="s">
        <v>584</v>
      </c>
      <c r="O51" s="38"/>
      <c r="P51" s="38"/>
      <c r="Q51" s="39" t="s">
        <v>585</v>
      </c>
      <c r="R51" s="40"/>
      <c r="S51" s="40"/>
      <c r="T51" s="41">
        <v>0</v>
      </c>
      <c r="U51" s="42"/>
      <c r="V51" s="42"/>
      <c r="W51" s="43"/>
      <c r="X51" s="44"/>
      <c r="Y51" s="4"/>
      <c r="Z51" s="45" t="s">
        <v>246</v>
      </c>
      <c r="AA51" s="45" t="s">
        <v>246</v>
      </c>
      <c r="AB51" s="4" t="s">
        <v>586</v>
      </c>
    </row>
    <row r="52" spans="1:28" ht="409.6" thickBot="1">
      <c r="A52" s="31" t="s">
        <v>587</v>
      </c>
      <c r="B52" s="32" t="s">
        <v>29</v>
      </c>
      <c r="C52" s="33" t="s">
        <v>588</v>
      </c>
      <c r="D52" s="34" t="s">
        <v>589</v>
      </c>
      <c r="E52" s="35" t="s">
        <v>590</v>
      </c>
      <c r="F52" s="33" t="s">
        <v>591</v>
      </c>
      <c r="G52" s="33" t="s">
        <v>592</v>
      </c>
      <c r="H52" s="33" t="s">
        <v>593</v>
      </c>
      <c r="I52" s="66"/>
      <c r="J52" s="66"/>
      <c r="K52" s="66" t="s">
        <v>594</v>
      </c>
      <c r="L52" s="80"/>
      <c r="M52" s="37">
        <v>0</v>
      </c>
      <c r="N52" s="37"/>
      <c r="O52" s="38"/>
      <c r="P52" s="38"/>
      <c r="Q52" s="39" t="s">
        <v>585</v>
      </c>
      <c r="R52" s="40" t="s">
        <v>595</v>
      </c>
      <c r="S52" s="40"/>
      <c r="T52" s="41">
        <v>0</v>
      </c>
      <c r="U52" s="42"/>
      <c r="V52" s="42"/>
      <c r="W52" s="43"/>
      <c r="X52" s="44" t="s">
        <v>596</v>
      </c>
      <c r="Y52" s="4"/>
      <c r="Z52" s="45" t="s">
        <v>246</v>
      </c>
      <c r="AA52" s="45" t="s">
        <v>246</v>
      </c>
      <c r="AB52" s="4" t="s">
        <v>597</v>
      </c>
    </row>
    <row r="53" spans="1:28" ht="145" thickBot="1">
      <c r="A53" s="31" t="s">
        <v>598</v>
      </c>
      <c r="B53" s="32" t="s">
        <v>32</v>
      </c>
      <c r="C53" s="33" t="s">
        <v>599</v>
      </c>
      <c r="D53" s="34" t="s">
        <v>600</v>
      </c>
      <c r="E53" s="35" t="s">
        <v>601</v>
      </c>
      <c r="F53" s="33" t="s">
        <v>602</v>
      </c>
      <c r="G53" s="33" t="s">
        <v>603</v>
      </c>
      <c r="H53" s="33" t="s">
        <v>604</v>
      </c>
      <c r="I53" s="66"/>
      <c r="J53" s="66"/>
      <c r="K53" s="66"/>
      <c r="L53" s="80">
        <v>0</v>
      </c>
      <c r="M53" s="37"/>
      <c r="N53" s="37"/>
      <c r="O53" s="38"/>
      <c r="P53" s="38"/>
      <c r="Q53" s="39" t="s">
        <v>585</v>
      </c>
      <c r="R53" s="40"/>
      <c r="S53" s="40"/>
      <c r="T53" s="41">
        <v>0</v>
      </c>
      <c r="U53" s="42"/>
      <c r="V53" s="42"/>
      <c r="W53" s="43"/>
      <c r="X53" s="44"/>
      <c r="Y53" s="4"/>
      <c r="Z53" s="173"/>
      <c r="AA53" s="173"/>
      <c r="AB53" s="4"/>
    </row>
    <row r="54" spans="1:28" ht="409.6" thickBot="1">
      <c r="A54" s="31" t="s">
        <v>605</v>
      </c>
      <c r="B54" s="98" t="s">
        <v>33</v>
      </c>
      <c r="C54" s="33" t="s">
        <v>606</v>
      </c>
      <c r="D54" s="34" t="s">
        <v>607</v>
      </c>
      <c r="E54" s="35" t="s">
        <v>608</v>
      </c>
      <c r="F54" s="33" t="s">
        <v>609</v>
      </c>
      <c r="G54" s="33" t="s">
        <v>330</v>
      </c>
      <c r="H54" s="34" t="s">
        <v>331</v>
      </c>
      <c r="I54" s="36" t="s">
        <v>610</v>
      </c>
      <c r="J54" s="36" t="s">
        <v>611</v>
      </c>
      <c r="K54" s="36" t="s">
        <v>612</v>
      </c>
      <c r="L54" s="37"/>
      <c r="M54" s="37"/>
      <c r="N54" s="37"/>
      <c r="O54" s="38"/>
      <c r="P54" s="38"/>
      <c r="Q54" s="39" t="s">
        <v>585</v>
      </c>
      <c r="R54" s="40"/>
      <c r="S54" s="40"/>
      <c r="T54" s="99" t="s">
        <v>306</v>
      </c>
      <c r="U54" s="42"/>
      <c r="V54" s="42" t="s">
        <v>613</v>
      </c>
      <c r="W54" s="43"/>
      <c r="X54" s="44"/>
      <c r="Y54" s="4"/>
      <c r="Z54" s="64" t="s">
        <v>614</v>
      </c>
      <c r="AA54" s="64" t="s">
        <v>615</v>
      </c>
      <c r="AB54" s="4"/>
    </row>
    <row r="55" spans="1:28" ht="409.6">
      <c r="A55" s="143" t="s">
        <v>616</v>
      </c>
      <c r="B55" s="144" t="s">
        <v>5</v>
      </c>
      <c r="C55" s="100" t="s">
        <v>617</v>
      </c>
      <c r="D55" s="100" t="s">
        <v>618</v>
      </c>
      <c r="E55" s="100"/>
      <c r="F55" s="100" t="s">
        <v>619</v>
      </c>
      <c r="G55" s="100" t="s">
        <v>620</v>
      </c>
      <c r="H55" s="100" t="s">
        <v>621</v>
      </c>
      <c r="I55" s="101" t="s">
        <v>622</v>
      </c>
      <c r="J55" s="101" t="s">
        <v>623</v>
      </c>
      <c r="K55" s="39"/>
      <c r="L55" s="39"/>
      <c r="M55" s="39"/>
      <c r="N55" s="39"/>
      <c r="O55" s="39"/>
      <c r="P55" s="39"/>
      <c r="Q55" s="39" t="s">
        <v>624</v>
      </c>
      <c r="R55" s="40"/>
      <c r="S55" s="40"/>
      <c r="T55" s="41">
        <v>0</v>
      </c>
      <c r="U55" s="42"/>
      <c r="V55" s="42"/>
      <c r="W55" s="43"/>
      <c r="X55" s="44"/>
      <c r="Y55" s="4">
        <v>1</v>
      </c>
      <c r="Z55" s="45" t="s">
        <v>246</v>
      </c>
      <c r="AA55" s="45" t="s">
        <v>246</v>
      </c>
      <c r="AB55" s="4"/>
    </row>
    <row r="56" spans="1:28" ht="409.6">
      <c r="A56" s="143" t="s">
        <v>625</v>
      </c>
      <c r="B56" s="144" t="s">
        <v>34</v>
      </c>
      <c r="C56" s="100" t="s">
        <v>626</v>
      </c>
      <c r="D56" s="100" t="s">
        <v>627</v>
      </c>
      <c r="E56" s="100" t="s">
        <v>628</v>
      </c>
      <c r="F56" s="100" t="s">
        <v>629</v>
      </c>
      <c r="G56" s="100" t="s">
        <v>630</v>
      </c>
      <c r="H56" s="100" t="s">
        <v>631</v>
      </c>
      <c r="I56" s="101"/>
      <c r="J56" s="101"/>
      <c r="K56" s="39" t="s">
        <v>632</v>
      </c>
      <c r="L56" s="39"/>
      <c r="M56" s="39">
        <v>0.5</v>
      </c>
      <c r="N56" s="39" t="s">
        <v>633</v>
      </c>
      <c r="O56" s="39"/>
      <c r="P56" s="39"/>
      <c r="Q56" s="39" t="s">
        <v>634</v>
      </c>
      <c r="R56" s="40"/>
      <c r="S56" s="40"/>
      <c r="T56" s="41"/>
      <c r="U56" s="42"/>
      <c r="V56" s="42"/>
      <c r="W56" s="43"/>
      <c r="X56" s="44"/>
      <c r="Y56" s="4"/>
      <c r="Z56" s="64" t="s">
        <v>394</v>
      </c>
      <c r="AA56" s="64" t="s">
        <v>246</v>
      </c>
      <c r="AB56" s="4"/>
    </row>
    <row r="57" spans="1:28" ht="335">
      <c r="A57" s="145" t="s">
        <v>635</v>
      </c>
      <c r="B57" s="146" t="s">
        <v>636</v>
      </c>
      <c r="C57" s="102" t="s">
        <v>637</v>
      </c>
      <c r="D57" s="102" t="s">
        <v>638</v>
      </c>
      <c r="E57" s="108" t="s">
        <v>433</v>
      </c>
      <c r="F57" s="100" t="s">
        <v>639</v>
      </c>
      <c r="G57" s="100" t="s">
        <v>640</v>
      </c>
      <c r="H57" s="100" t="s">
        <v>641</v>
      </c>
      <c r="I57" s="103" t="s">
        <v>642</v>
      </c>
      <c r="J57" s="101" t="s">
        <v>303</v>
      </c>
      <c r="K57" s="39"/>
      <c r="L57" s="39"/>
      <c r="M57" s="39"/>
      <c r="N57" s="39"/>
      <c r="O57" s="39"/>
      <c r="P57" s="39"/>
      <c r="Q57" s="97" t="s">
        <v>643</v>
      </c>
      <c r="R57" s="40"/>
      <c r="S57" s="40"/>
      <c r="T57" s="41"/>
      <c r="U57" s="42"/>
      <c r="V57" s="42" t="s">
        <v>644</v>
      </c>
      <c r="W57" s="43"/>
      <c r="X57" s="44"/>
      <c r="Y57" s="4"/>
      <c r="Z57" s="45"/>
      <c r="AA57" s="45"/>
      <c r="AB57" s="4"/>
    </row>
    <row r="58" spans="1:28" ht="409.6">
      <c r="A58" s="145"/>
      <c r="B58" s="147"/>
      <c r="C58" s="104"/>
      <c r="D58" s="104"/>
      <c r="E58" s="111"/>
      <c r="F58" s="100" t="s">
        <v>645</v>
      </c>
      <c r="G58" s="100" t="s">
        <v>646</v>
      </c>
      <c r="H58" s="100" t="s">
        <v>647</v>
      </c>
      <c r="I58" s="103"/>
      <c r="J58" s="101"/>
      <c r="K58" s="39"/>
      <c r="L58" s="39"/>
      <c r="M58" s="39"/>
      <c r="N58" s="39"/>
      <c r="O58" s="39"/>
      <c r="P58" s="39"/>
      <c r="Q58" s="97"/>
      <c r="R58" s="40"/>
      <c r="S58" s="40"/>
      <c r="T58" s="41"/>
      <c r="U58" s="42"/>
      <c r="V58" s="42"/>
      <c r="W58" s="43"/>
      <c r="X58" s="44"/>
      <c r="Y58" s="4"/>
      <c r="Z58" s="45"/>
      <c r="AA58" s="45"/>
      <c r="AB58" s="4"/>
    </row>
    <row r="59" spans="1:28" ht="409.6">
      <c r="A59" s="143" t="s">
        <v>648</v>
      </c>
      <c r="B59" s="144" t="s">
        <v>37</v>
      </c>
      <c r="C59" s="100" t="s">
        <v>649</v>
      </c>
      <c r="D59" s="100" t="s">
        <v>650</v>
      </c>
      <c r="E59" s="100" t="s">
        <v>651</v>
      </c>
      <c r="F59" s="100" t="s">
        <v>652</v>
      </c>
      <c r="G59" s="100" t="s">
        <v>653</v>
      </c>
      <c r="H59" s="100" t="s">
        <v>654</v>
      </c>
      <c r="I59" s="101"/>
      <c r="J59" s="101"/>
      <c r="K59" s="39" t="s">
        <v>655</v>
      </c>
      <c r="L59" s="39"/>
      <c r="M59" s="39">
        <v>0</v>
      </c>
      <c r="N59" s="39" t="s">
        <v>656</v>
      </c>
      <c r="O59" s="39"/>
      <c r="P59" s="39"/>
      <c r="Q59" s="39" t="s">
        <v>657</v>
      </c>
      <c r="R59" s="40"/>
      <c r="S59" s="40"/>
      <c r="T59" s="41">
        <v>0</v>
      </c>
      <c r="U59" s="42"/>
      <c r="V59" s="42"/>
      <c r="W59" s="43"/>
      <c r="X59" s="44"/>
      <c r="Y59" s="4"/>
      <c r="Z59" s="45" t="s">
        <v>394</v>
      </c>
      <c r="AA59" s="173"/>
      <c r="AB59" s="4"/>
    </row>
    <row r="60" spans="1:28" ht="45">
      <c r="A60" s="148" t="s">
        <v>658</v>
      </c>
      <c r="B60" s="146" t="s">
        <v>659</v>
      </c>
      <c r="C60" s="102" t="s">
        <v>660</v>
      </c>
      <c r="D60" s="102" t="s">
        <v>661</v>
      </c>
      <c r="E60" s="108" t="s">
        <v>433</v>
      </c>
      <c r="F60" s="100" t="s">
        <v>662</v>
      </c>
      <c r="G60" s="100" t="s">
        <v>663</v>
      </c>
      <c r="H60" s="100" t="s">
        <v>631</v>
      </c>
      <c r="I60" s="101"/>
      <c r="J60" s="107"/>
      <c r="K60" s="105" t="s">
        <v>664</v>
      </c>
      <c r="L60" s="107"/>
      <c r="M60" s="106">
        <v>0.5</v>
      </c>
      <c r="N60" s="106" t="s">
        <v>665</v>
      </c>
      <c r="O60" s="4"/>
      <c r="P60" s="4"/>
      <c r="Q60" s="4"/>
      <c r="R60" s="40"/>
      <c r="S60" s="40"/>
      <c r="T60" s="41">
        <v>1</v>
      </c>
      <c r="U60" s="42"/>
      <c r="V60" s="42"/>
      <c r="W60" s="43"/>
      <c r="X60" s="44"/>
      <c r="Y60" s="4"/>
      <c r="Z60" s="45"/>
      <c r="AA60" s="45"/>
      <c r="AB60" s="4"/>
    </row>
    <row r="61" spans="1:28" ht="75">
      <c r="A61" s="148"/>
      <c r="B61" s="147"/>
      <c r="C61" s="104"/>
      <c r="D61" s="104"/>
      <c r="E61" s="111"/>
      <c r="F61" s="100" t="s">
        <v>666</v>
      </c>
      <c r="G61" s="100" t="s">
        <v>667</v>
      </c>
      <c r="H61" s="100" t="s">
        <v>668</v>
      </c>
      <c r="I61" s="101"/>
      <c r="J61" s="107"/>
      <c r="K61" s="105"/>
      <c r="L61" s="107"/>
      <c r="M61" s="106"/>
      <c r="N61" s="106"/>
      <c r="O61" s="4"/>
      <c r="P61" s="4"/>
      <c r="Q61" s="4"/>
      <c r="R61" s="40"/>
      <c r="S61" s="40"/>
      <c r="T61" s="41"/>
      <c r="U61" s="42"/>
      <c r="V61" s="42"/>
      <c r="W61" s="43"/>
      <c r="X61" s="44"/>
      <c r="Y61" s="4"/>
      <c r="Z61" s="45"/>
      <c r="AA61" s="45"/>
      <c r="AB61" s="4"/>
    </row>
    <row r="62" spans="1:28" ht="255">
      <c r="A62" s="145" t="s">
        <v>669</v>
      </c>
      <c r="B62" s="146" t="s">
        <v>670</v>
      </c>
      <c r="C62" s="102" t="s">
        <v>671</v>
      </c>
      <c r="D62" s="102" t="s">
        <v>672</v>
      </c>
      <c r="E62" s="108" t="s">
        <v>433</v>
      </c>
      <c r="F62" s="100" t="s">
        <v>673</v>
      </c>
      <c r="G62" s="100" t="s">
        <v>674</v>
      </c>
      <c r="H62" s="100" t="s">
        <v>675</v>
      </c>
      <c r="I62" s="101"/>
      <c r="J62" s="107"/>
      <c r="K62" s="105" t="s">
        <v>676</v>
      </c>
      <c r="L62" s="107"/>
      <c r="M62" s="4"/>
      <c r="N62" s="4"/>
      <c r="O62" s="4"/>
      <c r="P62" s="4"/>
      <c r="Q62" s="4" t="s">
        <v>677</v>
      </c>
      <c r="R62" s="40"/>
      <c r="S62" s="40"/>
      <c r="T62" s="56">
        <v>1</v>
      </c>
      <c r="U62" s="42"/>
      <c r="V62" s="42"/>
      <c r="W62" s="43"/>
      <c r="X62" s="44"/>
      <c r="Y62" s="4"/>
      <c r="Z62" s="45"/>
      <c r="AA62" s="45"/>
      <c r="AB62" s="4"/>
    </row>
    <row r="63" spans="1:28" ht="195">
      <c r="A63" s="145"/>
      <c r="B63" s="147"/>
      <c r="C63" s="104"/>
      <c r="D63" s="104"/>
      <c r="E63" s="111"/>
      <c r="F63" s="100" t="s">
        <v>678</v>
      </c>
      <c r="G63" s="100" t="s">
        <v>679</v>
      </c>
      <c r="H63" s="100" t="s">
        <v>680</v>
      </c>
      <c r="I63" s="101"/>
      <c r="J63" s="107"/>
      <c r="K63" s="105"/>
      <c r="L63" s="107"/>
      <c r="M63" s="4">
        <v>0.56999999999999995</v>
      </c>
      <c r="N63" s="4" t="s">
        <v>681</v>
      </c>
      <c r="O63" s="4"/>
      <c r="P63" s="4"/>
      <c r="Q63" s="4" t="s">
        <v>682</v>
      </c>
      <c r="R63" s="40"/>
      <c r="S63" s="40"/>
      <c r="T63" s="56"/>
      <c r="U63" s="42"/>
      <c r="V63" s="42"/>
      <c r="W63" s="43"/>
      <c r="X63" s="44"/>
      <c r="Y63" s="4"/>
      <c r="Z63" s="45"/>
      <c r="AA63" s="45"/>
      <c r="AB63" s="4"/>
    </row>
    <row r="64" spans="1:28" ht="409.6">
      <c r="A64" s="143" t="s">
        <v>683</v>
      </c>
      <c r="B64" s="144" t="s">
        <v>40</v>
      </c>
      <c r="C64" s="100" t="s">
        <v>684</v>
      </c>
      <c r="D64" s="100" t="s">
        <v>685</v>
      </c>
      <c r="E64" s="100" t="s">
        <v>686</v>
      </c>
      <c r="F64" s="100" t="s">
        <v>687</v>
      </c>
      <c r="G64" s="100" t="s">
        <v>688</v>
      </c>
      <c r="H64" s="100" t="s">
        <v>689</v>
      </c>
      <c r="I64" s="101"/>
      <c r="J64" s="107"/>
      <c r="K64" s="107" t="s">
        <v>690</v>
      </c>
      <c r="L64" s="107"/>
      <c r="M64" s="4">
        <v>0.33</v>
      </c>
      <c r="N64" s="4" t="s">
        <v>691</v>
      </c>
      <c r="O64" s="4"/>
      <c r="P64" s="4"/>
      <c r="Q64" s="4"/>
      <c r="R64" s="40"/>
      <c r="S64" s="40"/>
      <c r="T64" s="41">
        <v>1</v>
      </c>
      <c r="U64" s="42"/>
      <c r="V64" s="42"/>
      <c r="W64" s="43"/>
      <c r="X64" s="44"/>
      <c r="Y64" s="4"/>
      <c r="Z64" s="64" t="s">
        <v>394</v>
      </c>
      <c r="AA64" s="88" t="s">
        <v>394</v>
      </c>
      <c r="AB64" s="4"/>
    </row>
    <row r="65" spans="1:28" ht="409.6">
      <c r="A65" s="143" t="s">
        <v>692</v>
      </c>
      <c r="B65" s="149" t="s">
        <v>41</v>
      </c>
      <c r="C65" s="100" t="s">
        <v>580</v>
      </c>
      <c r="D65" s="100" t="s">
        <v>397</v>
      </c>
      <c r="E65" s="100" t="s">
        <v>693</v>
      </c>
      <c r="F65" s="100" t="s">
        <v>694</v>
      </c>
      <c r="G65" s="100" t="s">
        <v>399</v>
      </c>
      <c r="H65" s="100" t="s">
        <v>396</v>
      </c>
      <c r="I65" s="101"/>
      <c r="J65" s="107"/>
      <c r="K65" s="107" t="s">
        <v>695</v>
      </c>
      <c r="L65" s="107"/>
      <c r="M65" s="4">
        <v>1</v>
      </c>
      <c r="N65" s="4"/>
      <c r="O65" s="4"/>
      <c r="P65" s="4"/>
      <c r="Q65" s="4" t="s">
        <v>394</v>
      </c>
      <c r="R65" s="40"/>
      <c r="S65" s="40"/>
      <c r="T65" s="41">
        <v>0</v>
      </c>
      <c r="U65" s="42"/>
      <c r="V65" s="42"/>
      <c r="W65" s="43"/>
      <c r="X65" s="44"/>
      <c r="Y65" s="4"/>
      <c r="Z65" s="45" t="s">
        <v>246</v>
      </c>
      <c r="AA65" s="45" t="s">
        <v>246</v>
      </c>
      <c r="AB65" s="4" t="s">
        <v>696</v>
      </c>
    </row>
    <row r="66" spans="1:28" ht="255">
      <c r="A66" s="148" t="s">
        <v>697</v>
      </c>
      <c r="B66" s="146" t="s">
        <v>698</v>
      </c>
      <c r="C66" s="102" t="s">
        <v>699</v>
      </c>
      <c r="D66" s="102" t="s">
        <v>700</v>
      </c>
      <c r="E66" s="108" t="s">
        <v>701</v>
      </c>
      <c r="F66" s="100" t="s">
        <v>702</v>
      </c>
      <c r="G66" s="100" t="s">
        <v>703</v>
      </c>
      <c r="H66" s="100" t="s">
        <v>704</v>
      </c>
      <c r="I66" s="101"/>
      <c r="J66" s="107"/>
      <c r="K66" s="105" t="s">
        <v>705</v>
      </c>
      <c r="L66" s="107"/>
      <c r="M66" s="106">
        <v>8.5999999999999993E-2</v>
      </c>
      <c r="N66" s="106" t="s">
        <v>706</v>
      </c>
      <c r="O66" s="4"/>
      <c r="P66" s="4"/>
      <c r="Q66" s="4" t="s">
        <v>707</v>
      </c>
      <c r="R66" s="40"/>
      <c r="S66" s="40"/>
      <c r="T66" s="56">
        <v>1</v>
      </c>
      <c r="U66" s="42"/>
      <c r="V66" s="42"/>
      <c r="W66" s="43"/>
      <c r="X66" s="44"/>
      <c r="Y66" s="4"/>
      <c r="Z66" s="45"/>
      <c r="AA66" s="45"/>
      <c r="AB66" s="4"/>
    </row>
    <row r="67" spans="1:28" ht="314">
      <c r="A67" s="148"/>
      <c r="B67" s="147"/>
      <c r="C67" s="104"/>
      <c r="D67" s="104"/>
      <c r="E67" s="111"/>
      <c r="F67" s="100" t="s">
        <v>708</v>
      </c>
      <c r="G67" s="100" t="s">
        <v>709</v>
      </c>
      <c r="H67" s="100" t="s">
        <v>710</v>
      </c>
      <c r="I67" s="101"/>
      <c r="J67" s="107"/>
      <c r="K67" s="105"/>
      <c r="L67" s="107"/>
      <c r="M67" s="106"/>
      <c r="N67" s="106"/>
      <c r="O67" s="4"/>
      <c r="P67" s="4"/>
      <c r="Q67" s="4"/>
      <c r="R67" s="40"/>
      <c r="S67" s="40"/>
      <c r="T67" s="56"/>
      <c r="U67" s="42"/>
      <c r="V67" s="42"/>
      <c r="W67" s="43"/>
      <c r="X67" s="44"/>
      <c r="Y67" s="4"/>
      <c r="Z67" s="45"/>
      <c r="AA67" s="45"/>
      <c r="AB67" s="4"/>
    </row>
    <row r="68" spans="1:28" ht="342">
      <c r="A68" s="143" t="s">
        <v>711</v>
      </c>
      <c r="B68" s="144" t="s">
        <v>42</v>
      </c>
      <c r="C68" s="100" t="s">
        <v>712</v>
      </c>
      <c r="D68" s="100" t="s">
        <v>713</v>
      </c>
      <c r="E68" s="100"/>
      <c r="F68" s="100" t="s">
        <v>714</v>
      </c>
      <c r="G68" s="100" t="s">
        <v>715</v>
      </c>
      <c r="H68" s="100" t="s">
        <v>716</v>
      </c>
      <c r="I68" s="101"/>
      <c r="J68" s="107"/>
      <c r="K68" s="107"/>
      <c r="L68" s="107"/>
      <c r="M68" s="4"/>
      <c r="N68" s="4"/>
      <c r="O68" s="4"/>
      <c r="P68" s="4"/>
      <c r="Q68" s="4"/>
      <c r="R68" s="40"/>
      <c r="S68" s="40"/>
      <c r="T68" s="41">
        <v>0</v>
      </c>
      <c r="U68" s="42"/>
      <c r="V68" s="42"/>
      <c r="W68" s="43"/>
      <c r="X68" s="44"/>
      <c r="Y68" s="4"/>
      <c r="Z68" s="173"/>
      <c r="AA68" s="173"/>
      <c r="AB68" s="4"/>
    </row>
    <row r="69" spans="1:28" ht="224">
      <c r="A69" s="143" t="s">
        <v>717</v>
      </c>
      <c r="B69" s="150" t="s">
        <v>43</v>
      </c>
      <c r="C69" s="100" t="s">
        <v>718</v>
      </c>
      <c r="D69" s="100" t="s">
        <v>719</v>
      </c>
      <c r="E69" s="100"/>
      <c r="F69" s="100" t="s">
        <v>720</v>
      </c>
      <c r="G69" s="100" t="s">
        <v>554</v>
      </c>
      <c r="H69" s="100" t="s">
        <v>555</v>
      </c>
      <c r="I69" s="101"/>
      <c r="J69" s="107"/>
      <c r="K69" s="107"/>
      <c r="L69" s="107"/>
      <c r="M69" s="4"/>
      <c r="N69" s="4"/>
      <c r="O69" s="4"/>
      <c r="P69" s="4"/>
      <c r="Q69" s="4"/>
      <c r="R69" s="40"/>
      <c r="S69" s="40"/>
      <c r="T69" s="41" t="s">
        <v>306</v>
      </c>
      <c r="U69" s="42"/>
      <c r="V69" s="42" t="s">
        <v>721</v>
      </c>
      <c r="W69" s="43"/>
      <c r="X69" s="44"/>
      <c r="Y69" s="4"/>
      <c r="Z69" s="173"/>
      <c r="AA69" s="173" t="s">
        <v>523</v>
      </c>
      <c r="AB69" s="4"/>
    </row>
    <row r="70" spans="1:28" ht="160">
      <c r="A70" s="143" t="s">
        <v>722</v>
      </c>
      <c r="B70" s="144" t="s">
        <v>44</v>
      </c>
      <c r="C70" s="100" t="s">
        <v>723</v>
      </c>
      <c r="D70" s="100" t="s">
        <v>724</v>
      </c>
      <c r="E70" s="100"/>
      <c r="F70" s="100" t="s">
        <v>725</v>
      </c>
      <c r="G70" s="100" t="s">
        <v>726</v>
      </c>
      <c r="H70" s="100" t="s">
        <v>727</v>
      </c>
      <c r="I70" s="101"/>
      <c r="J70" s="107"/>
      <c r="K70" s="107"/>
      <c r="L70" s="107"/>
      <c r="M70" s="4"/>
      <c r="N70" s="4"/>
      <c r="O70" s="4"/>
      <c r="P70" s="4"/>
      <c r="Q70" s="4"/>
      <c r="R70" s="40"/>
      <c r="S70" s="40"/>
      <c r="T70" s="41" t="s">
        <v>306</v>
      </c>
      <c r="U70" s="42"/>
      <c r="V70" s="42" t="s">
        <v>728</v>
      </c>
      <c r="W70" s="43"/>
      <c r="X70" s="44"/>
      <c r="Y70" s="4"/>
      <c r="Z70" s="173"/>
      <c r="AA70" s="173" t="s">
        <v>523</v>
      </c>
      <c r="AB70" s="4"/>
    </row>
    <row r="71" spans="1:28" ht="30">
      <c r="A71" s="148" t="s">
        <v>729</v>
      </c>
      <c r="B71" s="146" t="s">
        <v>730</v>
      </c>
      <c r="C71" s="102" t="s">
        <v>731</v>
      </c>
      <c r="D71" s="102" t="s">
        <v>732</v>
      </c>
      <c r="E71" s="108" t="s">
        <v>733</v>
      </c>
      <c r="F71" s="100" t="s">
        <v>734</v>
      </c>
      <c r="G71" s="100" t="s">
        <v>735</v>
      </c>
      <c r="H71" s="100" t="s">
        <v>736</v>
      </c>
      <c r="I71" s="101"/>
      <c r="J71" s="107"/>
      <c r="K71" s="107"/>
      <c r="L71" s="107"/>
      <c r="M71" s="4">
        <v>0</v>
      </c>
      <c r="N71" s="4"/>
      <c r="O71" s="4"/>
      <c r="P71" s="4"/>
      <c r="Q71" s="4"/>
      <c r="R71" s="40"/>
      <c r="S71" s="40"/>
      <c r="T71" s="41">
        <v>1</v>
      </c>
      <c r="U71" s="42"/>
      <c r="V71" s="42"/>
      <c r="W71" s="43"/>
      <c r="X71" s="44"/>
      <c r="Y71" s="4"/>
      <c r="Z71" s="45"/>
      <c r="AA71" s="45"/>
      <c r="AB71" s="4"/>
    </row>
    <row r="72" spans="1:28" ht="30">
      <c r="A72" s="148"/>
      <c r="B72" s="147"/>
      <c r="C72" s="104"/>
      <c r="D72" s="104"/>
      <c r="E72" s="111"/>
      <c r="F72" s="100" t="s">
        <v>737</v>
      </c>
      <c r="G72" s="100" t="s">
        <v>738</v>
      </c>
      <c r="H72" s="100" t="s">
        <v>739</v>
      </c>
      <c r="I72" s="101"/>
      <c r="J72" s="107"/>
      <c r="K72" s="107"/>
      <c r="L72" s="107"/>
      <c r="M72" s="4"/>
      <c r="N72" s="4"/>
      <c r="O72" s="4"/>
      <c r="P72" s="4"/>
      <c r="Q72" s="4"/>
      <c r="R72" s="40"/>
      <c r="S72" s="40"/>
      <c r="T72" s="41"/>
      <c r="U72" s="42"/>
      <c r="V72" s="42"/>
      <c r="W72" s="43"/>
      <c r="X72" s="44"/>
      <c r="Y72" s="4"/>
      <c r="Z72" s="45"/>
      <c r="AA72" s="45"/>
      <c r="AB72" s="4"/>
    </row>
    <row r="73" spans="1:28" ht="208">
      <c r="A73" s="143" t="s">
        <v>740</v>
      </c>
      <c r="B73" s="144" t="s">
        <v>25</v>
      </c>
      <c r="C73" s="100" t="s">
        <v>741</v>
      </c>
      <c r="D73" s="100" t="s">
        <v>742</v>
      </c>
      <c r="E73" s="100"/>
      <c r="F73" s="100" t="s">
        <v>743</v>
      </c>
      <c r="G73" s="100" t="s">
        <v>744</v>
      </c>
      <c r="H73" s="100" t="s">
        <v>745</v>
      </c>
      <c r="I73" s="101"/>
      <c r="J73" s="107"/>
      <c r="K73" s="107"/>
      <c r="L73" s="107"/>
      <c r="M73" s="4"/>
      <c r="N73" s="4"/>
      <c r="O73" s="4"/>
      <c r="P73" s="4"/>
      <c r="Q73" s="4"/>
      <c r="R73" s="4"/>
      <c r="S73" s="4"/>
      <c r="T73" s="41" t="s">
        <v>293</v>
      </c>
      <c r="U73" s="42"/>
      <c r="V73" s="42" t="s">
        <v>746</v>
      </c>
      <c r="W73" s="43"/>
      <c r="X73" s="44"/>
      <c r="Y73" s="4"/>
      <c r="Z73" s="45"/>
      <c r="AA73" s="45" t="s">
        <v>523</v>
      </c>
      <c r="AB73" s="4"/>
    </row>
    <row r="74" spans="1:28" ht="165">
      <c r="A74" s="143" t="s">
        <v>747</v>
      </c>
      <c r="B74" s="144" t="s">
        <v>36</v>
      </c>
      <c r="C74" s="100" t="s">
        <v>748</v>
      </c>
      <c r="D74" s="100" t="s">
        <v>561</v>
      </c>
      <c r="E74" s="100"/>
      <c r="F74" s="100" t="s">
        <v>749</v>
      </c>
      <c r="G74" s="100" t="s">
        <v>564</v>
      </c>
      <c r="H74" s="100" t="s">
        <v>565</v>
      </c>
      <c r="I74" s="101"/>
      <c r="J74" s="107"/>
      <c r="K74" s="107"/>
      <c r="L74" s="107"/>
      <c r="M74" s="4"/>
      <c r="N74" s="4"/>
      <c r="O74" s="4"/>
      <c r="P74" s="4"/>
      <c r="Q74" s="4"/>
      <c r="R74" s="4"/>
      <c r="S74" s="4"/>
      <c r="T74" s="41">
        <v>0</v>
      </c>
      <c r="U74" s="42"/>
      <c r="V74" s="42"/>
      <c r="W74" s="43"/>
      <c r="X74" s="44"/>
      <c r="Y74" s="4"/>
      <c r="Z74" s="45" t="s">
        <v>246</v>
      </c>
      <c r="AA74" s="45" t="s">
        <v>246</v>
      </c>
      <c r="AB74" s="4"/>
    </row>
    <row r="75" spans="1:28" ht="105">
      <c r="A75" s="143" t="s">
        <v>750</v>
      </c>
      <c r="B75" s="144" t="s">
        <v>45</v>
      </c>
      <c r="C75" s="100" t="s">
        <v>599</v>
      </c>
      <c r="D75" s="100" t="s">
        <v>600</v>
      </c>
      <c r="E75" s="100"/>
      <c r="F75" s="100" t="s">
        <v>751</v>
      </c>
      <c r="G75" s="100" t="s">
        <v>603</v>
      </c>
      <c r="H75" s="100" t="s">
        <v>604</v>
      </c>
      <c r="I75" s="101"/>
      <c r="J75" s="107"/>
      <c r="K75" s="107"/>
      <c r="L75" s="107"/>
      <c r="M75" s="4"/>
      <c r="N75" s="4"/>
      <c r="O75" s="4"/>
      <c r="P75" s="4"/>
      <c r="Q75" s="4"/>
      <c r="R75" s="4"/>
      <c r="S75" s="4"/>
      <c r="T75" s="41">
        <v>0</v>
      </c>
      <c r="U75" s="42"/>
      <c r="V75" s="42"/>
      <c r="W75" s="43"/>
      <c r="X75" s="44"/>
      <c r="Y75" s="4"/>
      <c r="Z75" s="45" t="s">
        <v>246</v>
      </c>
      <c r="AA75" s="45" t="s">
        <v>246</v>
      </c>
      <c r="AB75" s="4"/>
    </row>
    <row r="76" spans="1:28" ht="270">
      <c r="A76" s="143" t="s">
        <v>752</v>
      </c>
      <c r="B76" s="144" t="s">
        <v>59</v>
      </c>
      <c r="C76" s="100" t="s">
        <v>753</v>
      </c>
      <c r="D76" s="100" t="s">
        <v>754</v>
      </c>
      <c r="E76" s="100"/>
      <c r="F76" s="100" t="s">
        <v>755</v>
      </c>
      <c r="G76" s="100" t="s">
        <v>754</v>
      </c>
      <c r="H76" s="100" t="s">
        <v>753</v>
      </c>
      <c r="I76" s="101"/>
      <c r="J76" s="107"/>
      <c r="K76" s="107"/>
      <c r="L76" s="107"/>
      <c r="M76" s="4"/>
      <c r="N76" s="4"/>
      <c r="O76" s="4"/>
      <c r="P76" s="4"/>
      <c r="Q76" s="4"/>
      <c r="R76" s="4"/>
      <c r="S76" s="4"/>
      <c r="T76" s="41">
        <v>0</v>
      </c>
      <c r="U76" s="42"/>
      <c r="V76" s="42"/>
      <c r="W76" s="43"/>
      <c r="X76" s="44"/>
      <c r="Y76" s="4"/>
      <c r="Z76" s="45" t="s">
        <v>756</v>
      </c>
      <c r="AA76" s="45" t="s">
        <v>246</v>
      </c>
      <c r="AB76" s="4" t="s">
        <v>757</v>
      </c>
    </row>
    <row r="77" spans="1:28" ht="75">
      <c r="A77" s="148" t="s">
        <v>758</v>
      </c>
      <c r="B77" s="151" t="s">
        <v>759</v>
      </c>
      <c r="C77" s="102" t="s">
        <v>760</v>
      </c>
      <c r="D77" s="102" t="s">
        <v>761</v>
      </c>
      <c r="E77" s="108"/>
      <c r="F77" s="100" t="s">
        <v>762</v>
      </c>
      <c r="G77" s="100" t="s">
        <v>763</v>
      </c>
      <c r="H77" s="100" t="s">
        <v>764</v>
      </c>
      <c r="I77" s="101"/>
      <c r="J77" s="107"/>
      <c r="K77" s="107"/>
      <c r="L77" s="107"/>
      <c r="M77" s="4"/>
      <c r="N77" s="4"/>
      <c r="O77" s="4"/>
      <c r="P77" s="4"/>
      <c r="Q77" s="4"/>
      <c r="R77" s="4"/>
      <c r="S77" s="4"/>
      <c r="T77" s="41"/>
      <c r="U77" s="42"/>
      <c r="V77" s="42"/>
      <c r="W77" s="43"/>
      <c r="X77" s="44"/>
      <c r="Y77" s="4"/>
      <c r="Z77" s="45"/>
      <c r="AA77" s="45"/>
      <c r="AB77" s="4"/>
    </row>
    <row r="78" spans="1:28" ht="60">
      <c r="A78" s="148"/>
      <c r="B78" s="152"/>
      <c r="C78" s="104"/>
      <c r="D78" s="104"/>
      <c r="E78" s="111"/>
      <c r="F78" s="100" t="s">
        <v>765</v>
      </c>
      <c r="G78" s="100" t="s">
        <v>766</v>
      </c>
      <c r="H78" s="100" t="s">
        <v>767</v>
      </c>
      <c r="I78" s="101"/>
      <c r="J78" s="107"/>
      <c r="K78" s="107"/>
      <c r="L78" s="107"/>
      <c r="M78" s="4"/>
      <c r="N78" s="4"/>
      <c r="O78" s="4"/>
      <c r="P78" s="4"/>
      <c r="Q78" s="4"/>
      <c r="R78" s="4"/>
      <c r="S78" s="4"/>
      <c r="T78" s="41"/>
      <c r="U78" s="42"/>
      <c r="V78" s="42"/>
      <c r="W78" s="43"/>
      <c r="X78" s="44"/>
      <c r="Y78" s="4"/>
      <c r="Z78" s="45"/>
      <c r="AA78" s="45"/>
      <c r="AB78" s="4"/>
    </row>
    <row r="79" spans="1:28" ht="90">
      <c r="A79" s="148" t="s">
        <v>768</v>
      </c>
      <c r="B79" s="146" t="s">
        <v>769</v>
      </c>
      <c r="C79" s="102" t="s">
        <v>770</v>
      </c>
      <c r="D79" s="102" t="s">
        <v>771</v>
      </c>
      <c r="E79" s="153"/>
      <c r="F79" s="100" t="s">
        <v>743</v>
      </c>
      <c r="G79" s="100" t="s">
        <v>772</v>
      </c>
      <c r="H79" s="100" t="s">
        <v>668</v>
      </c>
      <c r="I79" s="101"/>
      <c r="J79" s="107"/>
      <c r="K79" s="107"/>
      <c r="L79" s="107"/>
      <c r="M79" s="4"/>
      <c r="N79" s="4"/>
      <c r="O79" s="4"/>
      <c r="P79" s="4"/>
      <c r="Q79" s="4"/>
      <c r="R79" s="4"/>
      <c r="S79" s="4"/>
      <c r="T79" s="56">
        <v>0</v>
      </c>
      <c r="U79" s="42"/>
      <c r="V79" s="42"/>
      <c r="W79" s="43"/>
      <c r="X79" s="44"/>
      <c r="Y79" s="4"/>
      <c r="Z79" s="45"/>
      <c r="AA79" s="45"/>
      <c r="AB79" s="4"/>
    </row>
    <row r="80" spans="1:28" ht="45">
      <c r="A80" s="148"/>
      <c r="B80" s="147"/>
      <c r="C80" s="104"/>
      <c r="D80" s="104"/>
      <c r="E80" s="154"/>
      <c r="F80" s="100" t="s">
        <v>773</v>
      </c>
      <c r="G80" s="100" t="s">
        <v>630</v>
      </c>
      <c r="H80" s="100" t="s">
        <v>631</v>
      </c>
      <c r="I80" s="101"/>
      <c r="J80" s="107"/>
      <c r="K80" s="107"/>
      <c r="L80" s="107"/>
      <c r="M80" s="4"/>
      <c r="N80" s="4"/>
      <c r="O80" s="4"/>
      <c r="P80" s="4"/>
      <c r="Q80" s="4"/>
      <c r="R80" s="4"/>
      <c r="S80" s="4"/>
      <c r="T80" s="56"/>
      <c r="U80" s="42"/>
      <c r="V80" s="42"/>
      <c r="W80" s="43"/>
      <c r="X80" s="44"/>
      <c r="Y80" s="4"/>
      <c r="Z80" s="45"/>
      <c r="AA80" s="45"/>
      <c r="AB80" s="4"/>
    </row>
    <row r="81" spans="1:28" ht="90">
      <c r="A81" s="148" t="s">
        <v>774</v>
      </c>
      <c r="B81" s="146" t="s">
        <v>775</v>
      </c>
      <c r="C81" s="102" t="s">
        <v>776</v>
      </c>
      <c r="D81" s="102" t="s">
        <v>777</v>
      </c>
      <c r="E81" s="153"/>
      <c r="F81" s="100" t="s">
        <v>749</v>
      </c>
      <c r="G81" s="100" t="s">
        <v>772</v>
      </c>
      <c r="H81" s="100" t="s">
        <v>668</v>
      </c>
      <c r="I81" s="101"/>
      <c r="J81" s="107"/>
      <c r="K81" s="107"/>
      <c r="L81" s="107"/>
      <c r="M81" s="4"/>
      <c r="N81" s="4"/>
      <c r="O81" s="4"/>
      <c r="P81" s="4"/>
      <c r="Q81" s="4"/>
      <c r="R81" s="4"/>
      <c r="S81" s="4"/>
      <c r="T81" s="56">
        <v>0</v>
      </c>
      <c r="U81" s="42"/>
      <c r="V81" s="42"/>
      <c r="W81" s="43"/>
      <c r="X81" s="44"/>
      <c r="Y81" s="4"/>
      <c r="Z81" s="45"/>
      <c r="AA81" s="45"/>
      <c r="AB81" s="4"/>
    </row>
    <row r="82" spans="1:28" ht="45">
      <c r="A82" s="148"/>
      <c r="B82" s="147"/>
      <c r="C82" s="104"/>
      <c r="D82" s="104"/>
      <c r="E82" s="154"/>
      <c r="F82" s="100" t="s">
        <v>778</v>
      </c>
      <c r="G82" s="100" t="s">
        <v>630</v>
      </c>
      <c r="H82" s="100" t="s">
        <v>631</v>
      </c>
      <c r="I82" s="101"/>
      <c r="J82" s="107"/>
      <c r="K82" s="107"/>
      <c r="L82" s="107"/>
      <c r="M82" s="4"/>
      <c r="N82" s="4"/>
      <c r="O82" s="4"/>
      <c r="P82" s="4"/>
      <c r="Q82" s="4"/>
      <c r="R82" s="4"/>
      <c r="S82" s="4"/>
      <c r="T82" s="56"/>
      <c r="U82" s="42"/>
      <c r="V82" s="42"/>
      <c r="W82" s="43"/>
      <c r="X82" s="44"/>
      <c r="Y82" s="4"/>
      <c r="Z82" s="45"/>
      <c r="AA82" s="45"/>
      <c r="AB82" s="4"/>
    </row>
    <row r="83" spans="1:28" ht="356">
      <c r="A83" s="143" t="s">
        <v>779</v>
      </c>
      <c r="B83" s="144" t="s">
        <v>780</v>
      </c>
      <c r="C83" s="100" t="s">
        <v>781</v>
      </c>
      <c r="D83" s="100" t="s">
        <v>782</v>
      </c>
      <c r="E83" s="100"/>
      <c r="F83" s="100" t="s">
        <v>751</v>
      </c>
      <c r="G83" s="100" t="s">
        <v>782</v>
      </c>
      <c r="H83" s="100" t="s">
        <v>781</v>
      </c>
      <c r="I83" s="101"/>
      <c r="J83" s="107"/>
      <c r="K83" s="107"/>
      <c r="L83" s="107"/>
      <c r="M83" s="4"/>
      <c r="N83" s="4"/>
      <c r="O83" s="4"/>
      <c r="P83" s="4"/>
      <c r="Q83" s="4"/>
      <c r="R83" s="4"/>
      <c r="S83" s="4"/>
      <c r="T83" s="41">
        <v>0</v>
      </c>
      <c r="U83" s="42"/>
      <c r="V83" s="42"/>
      <c r="W83" s="43"/>
      <c r="X83" s="44"/>
      <c r="Y83" s="4"/>
      <c r="Z83" s="45"/>
      <c r="AA83" s="45"/>
      <c r="AB83" s="4"/>
    </row>
    <row r="84" spans="1:28" ht="45">
      <c r="A84" s="148" t="s">
        <v>783</v>
      </c>
      <c r="B84" s="146" t="s">
        <v>784</v>
      </c>
      <c r="C84" s="102" t="s">
        <v>776</v>
      </c>
      <c r="D84" s="102" t="s">
        <v>777</v>
      </c>
      <c r="E84" s="108"/>
      <c r="F84" s="100" t="s">
        <v>755</v>
      </c>
      <c r="G84" s="100" t="s">
        <v>630</v>
      </c>
      <c r="H84" s="100" t="s">
        <v>631</v>
      </c>
      <c r="I84" s="101"/>
      <c r="J84" s="107"/>
      <c r="K84" s="107"/>
      <c r="L84" s="107"/>
      <c r="M84" s="4"/>
      <c r="N84" s="4"/>
      <c r="O84" s="4"/>
      <c r="P84" s="4"/>
      <c r="Q84" s="4"/>
      <c r="R84" s="4"/>
      <c r="S84" s="4"/>
      <c r="T84" s="56">
        <v>0</v>
      </c>
      <c r="U84" s="42"/>
      <c r="V84" s="42"/>
      <c r="W84" s="43"/>
      <c r="X84" s="44"/>
      <c r="Y84" s="4"/>
      <c r="Z84" s="45"/>
      <c r="AA84" s="45"/>
      <c r="AB84" s="4"/>
    </row>
    <row r="85" spans="1:28" ht="90">
      <c r="A85" s="148"/>
      <c r="B85" s="147"/>
      <c r="C85" s="104"/>
      <c r="D85" s="104"/>
      <c r="E85" s="111"/>
      <c r="F85" s="100" t="s">
        <v>785</v>
      </c>
      <c r="G85" s="100" t="s">
        <v>772</v>
      </c>
      <c r="H85" s="100" t="s">
        <v>668</v>
      </c>
      <c r="I85" s="101"/>
      <c r="J85" s="107"/>
      <c r="K85" s="107"/>
      <c r="L85" s="107"/>
      <c r="M85" s="4"/>
      <c r="N85" s="4"/>
      <c r="O85" s="4"/>
      <c r="P85" s="4"/>
      <c r="Q85" s="4"/>
      <c r="R85" s="4"/>
      <c r="S85" s="4"/>
      <c r="T85" s="56"/>
      <c r="U85" s="42"/>
      <c r="V85" s="42"/>
      <c r="W85" s="43"/>
      <c r="X85" s="44"/>
      <c r="Y85" s="4"/>
      <c r="Z85" s="45"/>
      <c r="AA85" s="45"/>
      <c r="AB85" s="4"/>
    </row>
    <row r="86" spans="1:28" ht="60">
      <c r="A86" s="148" t="s">
        <v>786</v>
      </c>
      <c r="B86" s="155" t="s">
        <v>787</v>
      </c>
      <c r="C86" s="108" t="s">
        <v>788</v>
      </c>
      <c r="D86" s="108" t="s">
        <v>789</v>
      </c>
      <c r="E86" s="108"/>
      <c r="F86" s="100" t="s">
        <v>408</v>
      </c>
      <c r="G86" s="100" t="s">
        <v>790</v>
      </c>
      <c r="H86" s="100" t="s">
        <v>791</v>
      </c>
      <c r="I86" s="101"/>
      <c r="J86" s="107"/>
      <c r="K86" s="107"/>
      <c r="L86" s="107"/>
      <c r="M86" s="4"/>
      <c r="N86" s="4"/>
      <c r="O86" s="4"/>
      <c r="P86" s="4"/>
      <c r="Q86" s="4"/>
      <c r="R86" s="4"/>
      <c r="S86" s="4"/>
      <c r="T86" s="56">
        <v>0</v>
      </c>
      <c r="U86" s="42"/>
      <c r="V86" s="42"/>
      <c r="W86" s="43"/>
      <c r="X86" s="109"/>
      <c r="Y86" s="4"/>
      <c r="Z86" s="45"/>
      <c r="AA86" s="45"/>
      <c r="AB86" s="4"/>
    </row>
    <row r="87" spans="1:28" ht="60">
      <c r="A87" s="148"/>
      <c r="B87" s="156"/>
      <c r="C87" s="110"/>
      <c r="D87" s="110"/>
      <c r="E87" s="110"/>
      <c r="F87" s="100" t="s">
        <v>410</v>
      </c>
      <c r="G87" s="100" t="s">
        <v>792</v>
      </c>
      <c r="H87" s="100" t="s">
        <v>793</v>
      </c>
      <c r="I87" s="101"/>
      <c r="J87" s="107"/>
      <c r="K87" s="107"/>
      <c r="L87" s="107"/>
      <c r="M87" s="4"/>
      <c r="N87" s="4"/>
      <c r="O87" s="4"/>
      <c r="P87" s="4"/>
      <c r="Q87" s="4"/>
      <c r="R87" s="4"/>
      <c r="S87" s="4"/>
      <c r="T87" s="56"/>
      <c r="U87" s="42"/>
      <c r="V87" s="42"/>
      <c r="W87" s="43"/>
      <c r="X87" s="109"/>
      <c r="Y87" s="4"/>
      <c r="Z87" s="45"/>
      <c r="AA87" s="45"/>
      <c r="AB87" s="4"/>
    </row>
    <row r="88" spans="1:28" ht="90">
      <c r="A88" s="148"/>
      <c r="B88" s="157"/>
      <c r="C88" s="111"/>
      <c r="D88" s="111"/>
      <c r="E88" s="111"/>
      <c r="F88" s="100" t="s">
        <v>794</v>
      </c>
      <c r="G88" s="100" t="s">
        <v>795</v>
      </c>
      <c r="H88" s="100" t="s">
        <v>796</v>
      </c>
      <c r="I88" s="101"/>
      <c r="J88" s="107"/>
      <c r="K88" s="107"/>
      <c r="L88" s="107"/>
      <c r="M88" s="4"/>
      <c r="N88" s="4"/>
      <c r="O88" s="4"/>
      <c r="P88" s="4"/>
      <c r="Q88" s="4"/>
      <c r="R88" s="4"/>
      <c r="S88" s="4"/>
      <c r="T88" s="56"/>
      <c r="U88" s="42"/>
      <c r="V88" s="42"/>
      <c r="W88" s="43"/>
      <c r="X88" s="109"/>
      <c r="Y88" s="4"/>
      <c r="Z88" s="45"/>
      <c r="AA88" s="45"/>
      <c r="AB88" s="4"/>
    </row>
    <row r="89" spans="1:28" ht="60">
      <c r="A89" s="148" t="s">
        <v>797</v>
      </c>
      <c r="B89" s="155" t="s">
        <v>798</v>
      </c>
      <c r="C89" s="108" t="s">
        <v>799</v>
      </c>
      <c r="D89" s="108" t="s">
        <v>800</v>
      </c>
      <c r="E89" s="108"/>
      <c r="F89" s="100" t="s">
        <v>553</v>
      </c>
      <c r="G89" s="100" t="s">
        <v>257</v>
      </c>
      <c r="H89" s="100" t="s">
        <v>258</v>
      </c>
      <c r="I89" s="101"/>
      <c r="J89" s="107"/>
      <c r="K89" s="107"/>
      <c r="L89" s="107"/>
      <c r="M89" s="4"/>
      <c r="N89" s="4"/>
      <c r="O89" s="4"/>
      <c r="P89" s="4"/>
      <c r="Q89" s="4"/>
      <c r="R89" s="4"/>
      <c r="S89" s="4"/>
      <c r="T89" s="56">
        <v>0</v>
      </c>
      <c r="U89" s="42"/>
      <c r="V89" s="42"/>
      <c r="W89" s="43"/>
      <c r="X89" s="44"/>
      <c r="Y89" s="4"/>
      <c r="Z89" s="45"/>
      <c r="AA89" s="45"/>
      <c r="AB89" s="4"/>
    </row>
    <row r="90" spans="1:28" ht="135">
      <c r="A90" s="148"/>
      <c r="B90" s="157"/>
      <c r="C90" s="111"/>
      <c r="D90" s="111"/>
      <c r="E90" s="111"/>
      <c r="F90" s="100" t="s">
        <v>801</v>
      </c>
      <c r="G90" s="100" t="s">
        <v>253</v>
      </c>
      <c r="H90" s="100" t="s">
        <v>254</v>
      </c>
      <c r="I90" s="101"/>
      <c r="J90" s="107"/>
      <c r="K90" s="107"/>
      <c r="L90" s="107"/>
      <c r="M90" s="4"/>
      <c r="N90" s="4"/>
      <c r="O90" s="4"/>
      <c r="P90" s="4"/>
      <c r="Q90" s="4"/>
      <c r="R90" s="4"/>
      <c r="S90" s="4"/>
      <c r="T90" s="56"/>
      <c r="U90" s="42"/>
      <c r="V90" s="42"/>
      <c r="W90" s="43"/>
      <c r="X90" s="44"/>
      <c r="Y90" s="4"/>
      <c r="Z90" s="45"/>
      <c r="AA90" s="45"/>
      <c r="AB90" s="4"/>
    </row>
    <row r="91" spans="1:28" ht="30">
      <c r="A91" s="148" t="s">
        <v>802</v>
      </c>
      <c r="B91" s="155" t="s">
        <v>803</v>
      </c>
      <c r="C91" s="108" t="s">
        <v>804</v>
      </c>
      <c r="D91" s="108" t="s">
        <v>805</v>
      </c>
      <c r="E91" s="108"/>
      <c r="F91" s="100" t="s">
        <v>806</v>
      </c>
      <c r="G91" s="100" t="s">
        <v>807</v>
      </c>
      <c r="H91" s="100" t="s">
        <v>808</v>
      </c>
      <c r="I91" s="101"/>
      <c r="J91" s="107"/>
      <c r="K91" s="107"/>
      <c r="L91" s="107"/>
      <c r="M91" s="4"/>
      <c r="N91" s="4"/>
      <c r="O91" s="4"/>
      <c r="P91" s="4"/>
      <c r="Q91" s="4"/>
      <c r="R91" s="4"/>
      <c r="S91" s="4"/>
      <c r="T91" s="56">
        <v>0.09</v>
      </c>
      <c r="U91" s="75" t="s">
        <v>809</v>
      </c>
      <c r="V91" s="42"/>
      <c r="W91" s="43"/>
      <c r="X91" s="44"/>
      <c r="Y91" s="4"/>
      <c r="Z91" s="45"/>
      <c r="AA91" s="45"/>
      <c r="AB91" s="4"/>
    </row>
    <row r="92" spans="1:28" ht="105">
      <c r="A92" s="148"/>
      <c r="B92" s="157"/>
      <c r="C92" s="111"/>
      <c r="D92" s="111"/>
      <c r="E92" s="111"/>
      <c r="F92" s="100" t="s">
        <v>810</v>
      </c>
      <c r="G92" s="100" t="s">
        <v>811</v>
      </c>
      <c r="H92" s="100" t="s">
        <v>812</v>
      </c>
      <c r="I92" s="101"/>
      <c r="J92" s="107"/>
      <c r="K92" s="107"/>
      <c r="L92" s="107"/>
      <c r="M92" s="4"/>
      <c r="N92" s="4"/>
      <c r="O92" s="4"/>
      <c r="P92" s="4"/>
      <c r="Q92" s="4"/>
      <c r="R92" s="4"/>
      <c r="S92" s="4"/>
      <c r="T92" s="56"/>
      <c r="U92" s="75"/>
      <c r="V92" s="42"/>
      <c r="W92" s="43"/>
      <c r="X92" s="44"/>
      <c r="Y92" s="4"/>
      <c r="Z92" s="45"/>
      <c r="AA92" s="45"/>
      <c r="AB92" s="4"/>
    </row>
    <row r="93" spans="1:28" ht="60">
      <c r="A93" s="148" t="s">
        <v>813</v>
      </c>
      <c r="B93" s="155" t="s">
        <v>814</v>
      </c>
      <c r="C93" s="108" t="s">
        <v>815</v>
      </c>
      <c r="D93" s="108" t="s">
        <v>816</v>
      </c>
      <c r="E93" s="108"/>
      <c r="F93" s="100" t="s">
        <v>734</v>
      </c>
      <c r="G93" s="100" t="s">
        <v>817</v>
      </c>
      <c r="H93" s="100" t="s">
        <v>818</v>
      </c>
      <c r="I93" s="101"/>
      <c r="J93" s="107"/>
      <c r="K93" s="107"/>
      <c r="L93" s="107"/>
      <c r="M93" s="4"/>
      <c r="N93" s="4"/>
      <c r="O93" s="4"/>
      <c r="P93" s="4"/>
      <c r="Q93" s="4"/>
      <c r="R93" s="4"/>
      <c r="S93" s="4"/>
      <c r="T93" s="56"/>
      <c r="U93" s="42"/>
      <c r="V93" s="42"/>
      <c r="W93" s="43"/>
      <c r="X93" s="44"/>
      <c r="Y93" s="4"/>
      <c r="Z93" s="45"/>
      <c r="AA93" s="45"/>
      <c r="AB93" s="4"/>
    </row>
    <row r="94" spans="1:28" ht="60">
      <c r="A94" s="148"/>
      <c r="B94" s="156"/>
      <c r="C94" s="110"/>
      <c r="D94" s="110"/>
      <c r="E94" s="110"/>
      <c r="F94" s="100" t="s">
        <v>737</v>
      </c>
      <c r="G94" s="100" t="s">
        <v>819</v>
      </c>
      <c r="H94" s="100" t="s">
        <v>818</v>
      </c>
      <c r="I94" s="101"/>
      <c r="J94" s="107"/>
      <c r="K94" s="107"/>
      <c r="L94" s="107"/>
      <c r="M94" s="4"/>
      <c r="N94" s="4"/>
      <c r="O94" s="4"/>
      <c r="P94" s="4"/>
      <c r="Q94" s="4"/>
      <c r="R94" s="4"/>
      <c r="S94" s="4"/>
      <c r="T94" s="56"/>
      <c r="U94" s="42"/>
      <c r="V94" s="42"/>
      <c r="W94" s="43"/>
      <c r="X94" s="44"/>
      <c r="Y94" s="4"/>
      <c r="Z94" s="45"/>
      <c r="AA94" s="45"/>
      <c r="AB94" s="4"/>
    </row>
    <row r="95" spans="1:28" ht="60">
      <c r="A95" s="148"/>
      <c r="B95" s="156"/>
      <c r="C95" s="110"/>
      <c r="D95" s="110"/>
      <c r="E95" s="110"/>
      <c r="F95" s="100" t="s">
        <v>820</v>
      </c>
      <c r="G95" s="100" t="s">
        <v>821</v>
      </c>
      <c r="H95" s="100" t="s">
        <v>818</v>
      </c>
      <c r="I95" s="101"/>
      <c r="J95" s="107"/>
      <c r="K95" s="107"/>
      <c r="L95" s="107"/>
      <c r="M95" s="4"/>
      <c r="N95" s="4"/>
      <c r="O95" s="4"/>
      <c r="P95" s="4"/>
      <c r="Q95" s="4"/>
      <c r="R95" s="4"/>
      <c r="S95" s="4"/>
      <c r="T95" s="56"/>
      <c r="U95" s="42"/>
      <c r="V95" s="42"/>
      <c r="W95" s="43"/>
      <c r="X95" s="44"/>
      <c r="Y95" s="4"/>
      <c r="Z95" s="45"/>
      <c r="AA95" s="45"/>
      <c r="AB95" s="4"/>
    </row>
    <row r="96" spans="1:28" ht="60">
      <c r="A96" s="148"/>
      <c r="B96" s="157"/>
      <c r="C96" s="111"/>
      <c r="D96" s="111"/>
      <c r="E96" s="111"/>
      <c r="F96" s="100" t="s">
        <v>822</v>
      </c>
      <c r="G96" s="100" t="s">
        <v>823</v>
      </c>
      <c r="H96" s="100" t="s">
        <v>818</v>
      </c>
      <c r="I96" s="101"/>
      <c r="J96" s="107"/>
      <c r="K96" s="107"/>
      <c r="L96" s="107"/>
      <c r="M96" s="4"/>
      <c r="N96" s="4"/>
      <c r="O96" s="4"/>
      <c r="P96" s="4"/>
      <c r="Q96" s="4"/>
      <c r="R96" s="4"/>
      <c r="S96" s="4"/>
      <c r="T96" s="56"/>
      <c r="U96" s="42"/>
      <c r="V96" s="42"/>
      <c r="W96" s="43"/>
      <c r="X96" s="44"/>
      <c r="Y96" s="4"/>
      <c r="Z96" s="45"/>
      <c r="AA96" s="45"/>
      <c r="AB96" s="4"/>
    </row>
    <row r="97" spans="1:28" ht="240">
      <c r="A97" s="148" t="s">
        <v>824</v>
      </c>
      <c r="B97" s="155" t="s">
        <v>825</v>
      </c>
      <c r="C97" s="108" t="s">
        <v>826</v>
      </c>
      <c r="D97" s="108" t="s">
        <v>827</v>
      </c>
      <c r="E97" s="108"/>
      <c r="F97" s="100" t="s">
        <v>828</v>
      </c>
      <c r="G97" s="100" t="s">
        <v>829</v>
      </c>
      <c r="H97" s="100" t="s">
        <v>830</v>
      </c>
      <c r="I97" s="101"/>
      <c r="J97" s="107"/>
      <c r="K97" s="107"/>
      <c r="L97" s="107"/>
      <c r="M97" s="4"/>
      <c r="N97" s="4"/>
      <c r="O97" s="4"/>
      <c r="P97" s="4"/>
      <c r="Q97" s="4"/>
      <c r="R97" s="4"/>
      <c r="S97" s="4"/>
      <c r="T97" s="56" t="s">
        <v>293</v>
      </c>
      <c r="U97" s="42"/>
      <c r="V97" s="42" t="s">
        <v>831</v>
      </c>
      <c r="W97" s="43"/>
      <c r="X97" s="44"/>
      <c r="Y97" s="4"/>
      <c r="Z97" s="45"/>
      <c r="AA97" s="45"/>
      <c r="AB97" s="4"/>
    </row>
    <row r="98" spans="1:28" ht="409.6" thickBot="1">
      <c r="A98" s="148"/>
      <c r="B98" s="157"/>
      <c r="C98" s="111"/>
      <c r="D98" s="111"/>
      <c r="E98" s="111"/>
      <c r="F98" s="100" t="s">
        <v>832</v>
      </c>
      <c r="G98" s="100" t="s">
        <v>833</v>
      </c>
      <c r="H98" s="100" t="s">
        <v>834</v>
      </c>
      <c r="I98" s="101"/>
      <c r="J98" s="107"/>
      <c r="K98" s="107"/>
      <c r="L98" s="107"/>
      <c r="M98" s="4"/>
      <c r="N98" s="4"/>
      <c r="O98" s="4"/>
      <c r="P98" s="4"/>
      <c r="Q98" s="4"/>
      <c r="R98" s="4"/>
      <c r="S98" s="4"/>
      <c r="T98" s="56"/>
      <c r="U98" s="42"/>
      <c r="V98" s="42"/>
      <c r="W98" s="43"/>
      <c r="X98" s="44"/>
      <c r="Y98" s="4"/>
      <c r="Z98" s="45"/>
      <c r="AA98" s="45"/>
      <c r="AB98" s="4"/>
    </row>
    <row r="99" spans="1:28" ht="120">
      <c r="A99" s="158" t="s">
        <v>835</v>
      </c>
      <c r="B99" s="146" t="s">
        <v>836</v>
      </c>
      <c r="C99" s="102" t="s">
        <v>837</v>
      </c>
      <c r="D99" s="102" t="s">
        <v>838</v>
      </c>
      <c r="E99" s="153"/>
      <c r="F99" s="100" t="s">
        <v>408</v>
      </c>
      <c r="G99" s="100" t="s">
        <v>839</v>
      </c>
      <c r="H99" s="100" t="s">
        <v>840</v>
      </c>
      <c r="I99" s="101"/>
      <c r="J99" s="107"/>
      <c r="K99" s="107"/>
      <c r="L99" s="107"/>
      <c r="M99" s="4"/>
      <c r="N99" s="4"/>
      <c r="O99" s="4"/>
      <c r="P99" s="4"/>
      <c r="Q99" s="4"/>
      <c r="R99" s="4"/>
      <c r="S99" s="4"/>
      <c r="T99" s="159">
        <v>0</v>
      </c>
      <c r="U99" s="112"/>
      <c r="V99" s="112"/>
      <c r="W99" s="112"/>
      <c r="X99" s="160"/>
      <c r="Y99" s="4"/>
      <c r="Z99" s="45"/>
      <c r="AA99" s="45"/>
      <c r="AB99" s="4"/>
    </row>
    <row r="100" spans="1:28" ht="120">
      <c r="A100" s="158"/>
      <c r="B100" s="161"/>
      <c r="C100" s="113"/>
      <c r="D100" s="113"/>
      <c r="E100" s="162"/>
      <c r="F100" s="100" t="s">
        <v>410</v>
      </c>
      <c r="G100" s="100" t="s">
        <v>841</v>
      </c>
      <c r="H100" s="100" t="s">
        <v>840</v>
      </c>
      <c r="I100" s="101"/>
      <c r="J100" s="107"/>
      <c r="K100" s="107"/>
      <c r="L100" s="107"/>
      <c r="M100" s="4"/>
      <c r="N100" s="4"/>
      <c r="O100" s="4"/>
      <c r="P100" s="4"/>
      <c r="Q100" s="4"/>
      <c r="R100" s="4"/>
      <c r="S100" s="4"/>
      <c r="T100" s="163"/>
      <c r="U100" s="4"/>
      <c r="V100" s="4"/>
      <c r="W100" s="4"/>
      <c r="X100" s="164"/>
      <c r="Y100" s="4"/>
      <c r="Z100" s="45"/>
      <c r="AA100" s="45"/>
      <c r="AB100" s="4"/>
    </row>
    <row r="101" spans="1:28" ht="120">
      <c r="A101" s="158"/>
      <c r="B101" s="161"/>
      <c r="C101" s="113"/>
      <c r="D101" s="113"/>
      <c r="E101" s="162"/>
      <c r="F101" s="100" t="s">
        <v>794</v>
      </c>
      <c r="G101" s="100" t="s">
        <v>842</v>
      </c>
      <c r="H101" s="100" t="s">
        <v>840</v>
      </c>
      <c r="I101" s="101"/>
      <c r="J101" s="107"/>
      <c r="K101" s="107"/>
      <c r="L101" s="107"/>
      <c r="M101" s="4"/>
      <c r="N101" s="4"/>
      <c r="O101" s="4"/>
      <c r="P101" s="4"/>
      <c r="Q101" s="4"/>
      <c r="R101" s="4"/>
      <c r="S101" s="4"/>
      <c r="T101" s="163"/>
      <c r="U101" s="4"/>
      <c r="V101" s="4"/>
      <c r="W101" s="4"/>
      <c r="X101" s="164"/>
      <c r="Y101" s="4"/>
      <c r="Z101" s="45"/>
      <c r="AA101" s="45"/>
      <c r="AB101" s="4"/>
    </row>
    <row r="102" spans="1:28" ht="120">
      <c r="A102" s="158"/>
      <c r="B102" s="147"/>
      <c r="C102" s="104"/>
      <c r="D102" s="104"/>
      <c r="E102" s="154"/>
      <c r="F102" s="100" t="s">
        <v>843</v>
      </c>
      <c r="G102" s="100" t="s">
        <v>844</v>
      </c>
      <c r="H102" s="100" t="s">
        <v>840</v>
      </c>
      <c r="I102" s="101"/>
      <c r="J102" s="107"/>
      <c r="K102" s="107"/>
      <c r="L102" s="107"/>
      <c r="M102" s="4"/>
      <c r="N102" s="4"/>
      <c r="O102" s="4"/>
      <c r="P102" s="4"/>
      <c r="Q102" s="4"/>
      <c r="R102" s="4"/>
      <c r="S102" s="4"/>
      <c r="T102" s="163"/>
      <c r="U102" s="4"/>
      <c r="V102" s="4"/>
      <c r="W102" s="4"/>
      <c r="X102" s="164"/>
      <c r="Y102" s="4"/>
      <c r="Z102" s="45"/>
      <c r="AA102" s="45"/>
      <c r="AB102" s="4"/>
    </row>
    <row r="103" spans="1:28" ht="370">
      <c r="A103" s="148" t="s">
        <v>845</v>
      </c>
      <c r="B103" s="146" t="s">
        <v>846</v>
      </c>
      <c r="C103" s="108" t="s">
        <v>847</v>
      </c>
      <c r="D103" s="108" t="s">
        <v>848</v>
      </c>
      <c r="E103" s="108"/>
      <c r="F103" s="100" t="s">
        <v>553</v>
      </c>
      <c r="G103" s="100" t="s">
        <v>849</v>
      </c>
      <c r="H103" s="100" t="s">
        <v>850</v>
      </c>
      <c r="I103" s="101"/>
      <c r="J103" s="107"/>
      <c r="K103" s="107"/>
      <c r="L103" s="107"/>
      <c r="M103" s="4"/>
      <c r="N103" s="4"/>
      <c r="O103" s="4"/>
      <c r="P103" s="4"/>
      <c r="Q103" s="4"/>
      <c r="R103" s="4"/>
      <c r="S103" s="4"/>
      <c r="T103" s="163"/>
      <c r="U103" s="4"/>
      <c r="V103" s="4"/>
      <c r="W103" s="4"/>
      <c r="X103" s="164"/>
      <c r="Y103" s="4"/>
      <c r="Z103" s="45"/>
      <c r="AA103" s="45"/>
      <c r="AB103" s="4"/>
    </row>
    <row r="104" spans="1:28" ht="409.6">
      <c r="A104" s="148"/>
      <c r="B104" s="161"/>
      <c r="C104" s="110"/>
      <c r="D104" s="110"/>
      <c r="E104" s="110"/>
      <c r="F104" s="100" t="s">
        <v>801</v>
      </c>
      <c r="G104" s="100" t="s">
        <v>851</v>
      </c>
      <c r="H104" s="100" t="s">
        <v>850</v>
      </c>
      <c r="I104" s="101"/>
      <c r="J104" s="107"/>
      <c r="K104" s="107"/>
      <c r="L104" s="107"/>
      <c r="M104" s="4"/>
      <c r="N104" s="4"/>
      <c r="O104" s="4"/>
      <c r="P104" s="4"/>
      <c r="Q104" s="4"/>
      <c r="R104" s="4"/>
      <c r="S104" s="4"/>
      <c r="T104" s="163"/>
      <c r="U104" s="4"/>
      <c r="V104" s="4"/>
      <c r="W104" s="4"/>
      <c r="X104" s="164"/>
      <c r="Y104" s="4"/>
      <c r="Z104" s="45"/>
      <c r="AA104" s="45"/>
      <c r="AB104" s="4"/>
    </row>
    <row r="105" spans="1:28" ht="409.6">
      <c r="A105" s="148"/>
      <c r="B105" s="161"/>
      <c r="C105" s="110"/>
      <c r="D105" s="110"/>
      <c r="E105" s="110"/>
      <c r="F105" s="100" t="s">
        <v>852</v>
      </c>
      <c r="G105" s="100" t="s">
        <v>853</v>
      </c>
      <c r="H105" s="100" t="s">
        <v>850</v>
      </c>
      <c r="I105" s="101"/>
      <c r="J105" s="107"/>
      <c r="K105" s="107"/>
      <c r="L105" s="107"/>
      <c r="M105" s="4"/>
      <c r="N105" s="4"/>
      <c r="O105" s="4"/>
      <c r="P105" s="4"/>
      <c r="Q105" s="4"/>
      <c r="R105" s="4"/>
      <c r="S105" s="4"/>
      <c r="T105" s="163"/>
      <c r="U105" s="4"/>
      <c r="V105" s="4"/>
      <c r="W105" s="4"/>
      <c r="X105" s="164"/>
      <c r="Y105" s="4"/>
      <c r="Z105" s="45"/>
      <c r="AA105" s="45"/>
      <c r="AB105" s="4"/>
    </row>
    <row r="106" spans="1:28" ht="399" thickBot="1">
      <c r="A106" s="148"/>
      <c r="B106" s="147"/>
      <c r="C106" s="111"/>
      <c r="D106" s="111"/>
      <c r="E106" s="111"/>
      <c r="F106" s="100" t="s">
        <v>854</v>
      </c>
      <c r="G106" s="100" t="s">
        <v>855</v>
      </c>
      <c r="H106" s="100" t="s">
        <v>850</v>
      </c>
      <c r="I106" s="101"/>
      <c r="J106" s="107"/>
      <c r="K106" s="107"/>
      <c r="L106" s="107"/>
      <c r="M106" s="4"/>
      <c r="N106" s="4"/>
      <c r="O106" s="4"/>
      <c r="P106" s="4"/>
      <c r="Q106" s="4"/>
      <c r="R106" s="4"/>
      <c r="S106" s="4"/>
      <c r="T106" s="165"/>
      <c r="U106" s="114"/>
      <c r="V106" s="114"/>
      <c r="W106" s="114"/>
      <c r="X106" s="166"/>
      <c r="Y106" s="4"/>
      <c r="Z106" s="45"/>
      <c r="AA106" s="45"/>
      <c r="AB106" s="4"/>
    </row>
    <row r="107" spans="1:28" ht="135">
      <c r="A107" s="167" t="s">
        <v>856</v>
      </c>
      <c r="B107" s="115" t="s">
        <v>857</v>
      </c>
      <c r="C107" s="115" t="s">
        <v>858</v>
      </c>
      <c r="D107" s="115" t="s">
        <v>859</v>
      </c>
      <c r="E107" s="115"/>
      <c r="F107" s="116" t="s">
        <v>860</v>
      </c>
      <c r="G107" s="116" t="s">
        <v>861</v>
      </c>
      <c r="H107" s="116" t="s">
        <v>862</v>
      </c>
      <c r="I107" s="116"/>
      <c r="J107" s="127"/>
      <c r="K107" s="4"/>
      <c r="L107" s="4"/>
      <c r="M107" s="128"/>
      <c r="N107" s="4"/>
      <c r="O107" s="4"/>
      <c r="P107" s="4"/>
      <c r="Q107" s="4"/>
      <c r="R107" s="4"/>
      <c r="S107" s="4"/>
      <c r="T107" s="4"/>
      <c r="U107" s="4"/>
      <c r="V107" s="4"/>
      <c r="W107" s="4"/>
      <c r="X107" s="4"/>
      <c r="Y107" s="4"/>
      <c r="Z107" s="45"/>
      <c r="AA107" s="45"/>
      <c r="AB107" s="4"/>
    </row>
    <row r="108" spans="1:28" ht="135">
      <c r="A108" s="167"/>
      <c r="B108" s="117"/>
      <c r="C108" s="117"/>
      <c r="D108" s="117"/>
      <c r="E108" s="117"/>
      <c r="F108" s="116" t="s">
        <v>863</v>
      </c>
      <c r="G108" s="116" t="s">
        <v>864</v>
      </c>
      <c r="H108" s="116" t="s">
        <v>862</v>
      </c>
      <c r="I108" s="116"/>
      <c r="J108" s="127"/>
      <c r="K108" s="4"/>
      <c r="L108" s="4"/>
      <c r="M108" s="128"/>
      <c r="N108" s="4"/>
      <c r="O108" s="4"/>
      <c r="P108" s="4"/>
      <c r="Q108" s="4"/>
      <c r="R108" s="4"/>
      <c r="S108" s="4"/>
      <c r="T108" s="4"/>
      <c r="U108" s="4"/>
      <c r="V108" s="4"/>
      <c r="W108" s="4"/>
      <c r="X108" s="4"/>
      <c r="Y108" s="4"/>
      <c r="Z108" s="45"/>
      <c r="AA108" s="45"/>
      <c r="AB108" s="4"/>
    </row>
    <row r="109" spans="1:28" ht="135">
      <c r="A109" s="167"/>
      <c r="B109" s="117"/>
      <c r="C109" s="117"/>
      <c r="D109" s="117"/>
      <c r="E109" s="117"/>
      <c r="F109" s="116" t="s">
        <v>865</v>
      </c>
      <c r="G109" s="116" t="s">
        <v>866</v>
      </c>
      <c r="H109" s="116" t="s">
        <v>862</v>
      </c>
      <c r="I109" s="116"/>
      <c r="J109" s="127"/>
      <c r="K109" s="4"/>
      <c r="L109" s="4"/>
      <c r="M109" s="128"/>
      <c r="N109" s="4"/>
      <c r="O109" s="4"/>
      <c r="P109" s="4"/>
      <c r="Q109" s="4"/>
      <c r="R109" s="4"/>
      <c r="S109" s="4"/>
      <c r="T109" s="4"/>
      <c r="U109" s="4"/>
      <c r="V109" s="4"/>
      <c r="W109" s="4"/>
      <c r="X109" s="4"/>
      <c r="Y109" s="4"/>
      <c r="Z109" s="45"/>
      <c r="AA109" s="45"/>
      <c r="AB109" s="4"/>
    </row>
    <row r="110" spans="1:28" ht="135">
      <c r="A110" s="167"/>
      <c r="B110" s="118"/>
      <c r="C110" s="118"/>
      <c r="D110" s="118"/>
      <c r="E110" s="118"/>
      <c r="F110" s="116" t="s">
        <v>867</v>
      </c>
      <c r="G110" s="116" t="s">
        <v>868</v>
      </c>
      <c r="H110" s="116" t="s">
        <v>862</v>
      </c>
      <c r="I110" s="116"/>
      <c r="J110" s="127"/>
      <c r="K110" s="4"/>
      <c r="L110" s="4"/>
      <c r="M110" s="128"/>
      <c r="N110" s="4"/>
      <c r="O110" s="4"/>
      <c r="P110" s="4"/>
      <c r="Q110" s="4"/>
      <c r="R110" s="4"/>
      <c r="S110" s="4"/>
      <c r="T110" s="4"/>
      <c r="U110" s="4"/>
      <c r="V110" s="4"/>
      <c r="W110" s="4"/>
      <c r="X110" s="4"/>
      <c r="Y110" s="4"/>
      <c r="Z110" s="45"/>
      <c r="AA110" s="45"/>
      <c r="AB110" s="4"/>
    </row>
    <row r="111" spans="1:28" ht="150">
      <c r="A111" s="167" t="s">
        <v>869</v>
      </c>
      <c r="B111" s="115" t="s">
        <v>870</v>
      </c>
      <c r="C111" s="115" t="s">
        <v>871</v>
      </c>
      <c r="D111" s="115" t="s">
        <v>872</v>
      </c>
      <c r="E111" s="115"/>
      <c r="F111" s="116" t="s">
        <v>860</v>
      </c>
      <c r="G111" s="116" t="s">
        <v>873</v>
      </c>
      <c r="H111" s="116" t="s">
        <v>874</v>
      </c>
      <c r="I111" s="116"/>
      <c r="J111" s="127"/>
      <c r="K111" s="4"/>
      <c r="L111" s="4"/>
      <c r="M111" s="128"/>
      <c r="N111" s="4"/>
      <c r="O111" s="4"/>
      <c r="P111" s="4"/>
      <c r="Q111" s="4"/>
      <c r="R111" s="4"/>
      <c r="S111" s="4"/>
      <c r="T111" s="4"/>
      <c r="U111" s="4"/>
      <c r="V111" s="4"/>
      <c r="W111" s="4"/>
      <c r="X111" s="4"/>
      <c r="Y111" s="4"/>
      <c r="Z111" s="45"/>
      <c r="AA111" s="45"/>
      <c r="AB111" s="4"/>
    </row>
    <row r="112" spans="1:28" ht="210">
      <c r="A112" s="167"/>
      <c r="B112" s="117"/>
      <c r="C112" s="117"/>
      <c r="D112" s="117"/>
      <c r="E112" s="117"/>
      <c r="F112" s="116" t="s">
        <v>863</v>
      </c>
      <c r="G112" s="116" t="s">
        <v>875</v>
      </c>
      <c r="H112" s="116" t="s">
        <v>876</v>
      </c>
      <c r="I112" s="116"/>
      <c r="J112" s="127"/>
      <c r="K112" s="4"/>
      <c r="L112" s="4"/>
      <c r="M112" s="128"/>
      <c r="N112" s="4"/>
      <c r="O112" s="4"/>
      <c r="P112" s="4"/>
      <c r="Q112" s="4"/>
      <c r="R112" s="4"/>
      <c r="S112" s="4"/>
      <c r="T112" s="4"/>
      <c r="U112" s="4"/>
      <c r="V112" s="4"/>
      <c r="W112" s="4"/>
      <c r="X112" s="4"/>
      <c r="Y112" s="4"/>
      <c r="Z112" s="45"/>
      <c r="AA112" s="45"/>
      <c r="AB112" s="4"/>
    </row>
    <row r="113" spans="1:28" ht="135">
      <c r="A113" s="167"/>
      <c r="B113" s="117"/>
      <c r="C113" s="117"/>
      <c r="D113" s="117"/>
      <c r="E113" s="117"/>
      <c r="F113" s="116" t="s">
        <v>865</v>
      </c>
      <c r="G113" s="116" t="s">
        <v>877</v>
      </c>
      <c r="H113" s="116" t="s">
        <v>878</v>
      </c>
      <c r="I113" s="116"/>
      <c r="J113" s="127"/>
      <c r="K113" s="4"/>
      <c r="L113" s="4"/>
      <c r="M113" s="128"/>
      <c r="N113" s="4"/>
      <c r="O113" s="4"/>
      <c r="P113" s="4"/>
      <c r="Q113" s="4"/>
      <c r="R113" s="4"/>
      <c r="S113" s="4"/>
      <c r="T113" s="4"/>
      <c r="U113" s="4"/>
      <c r="V113" s="4"/>
      <c r="W113" s="4"/>
      <c r="X113" s="4"/>
      <c r="Y113" s="4"/>
      <c r="Z113" s="45"/>
      <c r="AA113" s="45"/>
      <c r="AB113" s="4"/>
    </row>
    <row r="114" spans="1:28" ht="135">
      <c r="A114" s="167"/>
      <c r="B114" s="118"/>
      <c r="C114" s="118"/>
      <c r="D114" s="118"/>
      <c r="E114" s="118"/>
      <c r="F114" s="116" t="s">
        <v>867</v>
      </c>
      <c r="G114" s="116" t="s">
        <v>879</v>
      </c>
      <c r="H114" s="116" t="s">
        <v>880</v>
      </c>
      <c r="I114" s="116"/>
      <c r="J114" s="127"/>
      <c r="K114" s="4"/>
      <c r="L114" s="4"/>
      <c r="M114" s="128"/>
      <c r="N114" s="4"/>
      <c r="O114" s="4"/>
      <c r="P114" s="4"/>
      <c r="Q114" s="4"/>
      <c r="R114" s="4"/>
      <c r="S114" s="4"/>
      <c r="T114" s="4"/>
      <c r="U114" s="4"/>
      <c r="V114" s="4"/>
      <c r="W114" s="4"/>
      <c r="X114" s="4"/>
      <c r="Y114" s="4"/>
      <c r="Z114" s="45"/>
      <c r="AA114" s="45"/>
      <c r="AB114" s="4"/>
    </row>
    <row r="115" spans="1:28" ht="314">
      <c r="A115" s="88" t="s">
        <v>881</v>
      </c>
      <c r="B115" s="116" t="s">
        <v>882</v>
      </c>
      <c r="C115" s="116" t="s">
        <v>883</v>
      </c>
      <c r="D115" s="116" t="s">
        <v>884</v>
      </c>
      <c r="E115" s="116"/>
      <c r="F115" s="116" t="s">
        <v>860</v>
      </c>
      <c r="G115" s="116" t="s">
        <v>885</v>
      </c>
      <c r="H115" s="116" t="s">
        <v>886</v>
      </c>
      <c r="I115" s="116"/>
      <c r="J115" s="127"/>
      <c r="K115" s="4"/>
      <c r="L115" s="4"/>
      <c r="M115" s="128"/>
      <c r="N115" s="4"/>
      <c r="O115" s="4"/>
      <c r="P115" s="4"/>
      <c r="Q115" s="4"/>
      <c r="R115" s="4"/>
      <c r="S115" s="4"/>
      <c r="T115" s="4"/>
      <c r="U115" s="4"/>
      <c r="V115" s="4"/>
      <c r="W115" s="4"/>
      <c r="X115" s="4" t="s">
        <v>887</v>
      </c>
      <c r="Y115" s="4"/>
      <c r="Z115" s="45" t="s">
        <v>888</v>
      </c>
      <c r="AA115" s="45"/>
      <c r="AB115" s="4"/>
    </row>
    <row r="116" spans="1:28" ht="60">
      <c r="A116" s="168" t="s">
        <v>889</v>
      </c>
      <c r="B116" s="115" t="s">
        <v>890</v>
      </c>
      <c r="C116" s="115" t="s">
        <v>891</v>
      </c>
      <c r="D116" s="115" t="s">
        <v>892</v>
      </c>
      <c r="E116" s="115"/>
      <c r="F116" s="116" t="s">
        <v>860</v>
      </c>
      <c r="G116" s="116" t="s">
        <v>893</v>
      </c>
      <c r="H116" s="116" t="s">
        <v>894</v>
      </c>
      <c r="I116" s="116"/>
      <c r="J116" s="127"/>
      <c r="K116" s="4"/>
      <c r="L116" s="4"/>
      <c r="M116" s="128"/>
      <c r="N116" s="4"/>
      <c r="O116" s="4"/>
      <c r="P116" s="4"/>
      <c r="Q116" s="4"/>
      <c r="R116" s="4"/>
      <c r="S116" s="4"/>
      <c r="T116" s="4"/>
      <c r="U116" s="4"/>
      <c r="V116" s="4"/>
      <c r="W116" s="4"/>
      <c r="X116" s="4"/>
      <c r="Y116" s="4"/>
      <c r="Z116" s="45"/>
      <c r="AA116" s="45"/>
      <c r="AB116" s="4"/>
    </row>
    <row r="117" spans="1:28" ht="60">
      <c r="A117" s="168"/>
      <c r="B117" s="117"/>
      <c r="C117" s="117"/>
      <c r="D117" s="117"/>
      <c r="E117" s="117"/>
      <c r="F117" s="116" t="s">
        <v>863</v>
      </c>
      <c r="G117" s="116" t="s">
        <v>893</v>
      </c>
      <c r="H117" s="116" t="s">
        <v>894</v>
      </c>
      <c r="I117" s="116"/>
      <c r="J117" s="127"/>
      <c r="K117" s="4"/>
      <c r="L117" s="4"/>
      <c r="M117" s="128"/>
      <c r="N117" s="4"/>
      <c r="O117" s="4"/>
      <c r="P117" s="4"/>
      <c r="Q117" s="4"/>
      <c r="R117" s="4"/>
      <c r="S117" s="4"/>
      <c r="T117" s="4"/>
      <c r="U117" s="4"/>
      <c r="V117" s="4"/>
      <c r="W117" s="4"/>
      <c r="X117" s="4"/>
      <c r="Y117" s="4"/>
      <c r="Z117" s="45"/>
      <c r="AA117" s="45"/>
      <c r="AB117" s="4"/>
    </row>
    <row r="118" spans="1:28" ht="60">
      <c r="A118" s="168"/>
      <c r="B118" s="117"/>
      <c r="C118" s="117"/>
      <c r="D118" s="117"/>
      <c r="E118" s="117"/>
      <c r="F118" s="116" t="s">
        <v>865</v>
      </c>
      <c r="G118" s="116" t="s">
        <v>893</v>
      </c>
      <c r="H118" s="116" t="s">
        <v>894</v>
      </c>
      <c r="I118" s="116"/>
      <c r="J118" s="127"/>
      <c r="K118" s="4"/>
      <c r="L118" s="4"/>
      <c r="M118" s="128"/>
      <c r="N118" s="4"/>
      <c r="O118" s="4"/>
      <c r="P118" s="4"/>
      <c r="Q118" s="4"/>
      <c r="R118" s="4"/>
      <c r="S118" s="4"/>
      <c r="T118" s="4"/>
      <c r="U118" s="4"/>
      <c r="V118" s="4"/>
      <c r="W118" s="4"/>
      <c r="X118" s="4"/>
      <c r="Y118" s="4"/>
      <c r="Z118" s="45"/>
      <c r="AA118" s="45"/>
      <c r="AB118" s="4"/>
    </row>
    <row r="119" spans="1:28" ht="60">
      <c r="A119" s="168"/>
      <c r="B119" s="117"/>
      <c r="C119" s="117"/>
      <c r="D119" s="117"/>
      <c r="E119" s="117"/>
      <c r="F119" s="116" t="s">
        <v>867</v>
      </c>
      <c r="G119" s="116" t="s">
        <v>893</v>
      </c>
      <c r="H119" s="116" t="s">
        <v>894</v>
      </c>
      <c r="I119" s="116"/>
      <c r="J119" s="127"/>
      <c r="K119" s="4"/>
      <c r="L119" s="4"/>
      <c r="M119" s="128"/>
      <c r="N119" s="4"/>
      <c r="O119" s="4"/>
      <c r="P119" s="4"/>
      <c r="Q119" s="4"/>
      <c r="R119" s="4"/>
      <c r="S119" s="4"/>
      <c r="T119" s="4"/>
      <c r="U119" s="4"/>
      <c r="V119" s="4"/>
      <c r="W119" s="4"/>
      <c r="X119" s="4"/>
      <c r="Y119" s="4"/>
      <c r="Z119" s="45"/>
      <c r="AA119" s="45"/>
      <c r="AB119" s="4"/>
    </row>
    <row r="120" spans="1:28" ht="60">
      <c r="A120" s="168"/>
      <c r="B120" s="118"/>
      <c r="C120" s="118"/>
      <c r="D120" s="118"/>
      <c r="E120" s="118"/>
      <c r="F120" s="116" t="s">
        <v>895</v>
      </c>
      <c r="G120" s="116" t="s">
        <v>893</v>
      </c>
      <c r="H120" s="116" t="s">
        <v>894</v>
      </c>
      <c r="I120" s="116"/>
      <c r="J120" s="127"/>
      <c r="K120" s="4"/>
      <c r="L120" s="4"/>
      <c r="M120" s="128"/>
      <c r="N120" s="4"/>
      <c r="O120" s="4"/>
      <c r="P120" s="4"/>
      <c r="Q120" s="4"/>
      <c r="R120" s="4"/>
      <c r="S120" s="4"/>
      <c r="T120" s="4"/>
      <c r="U120" s="4"/>
      <c r="V120" s="4"/>
      <c r="W120" s="4"/>
      <c r="X120" s="4"/>
      <c r="Y120" s="4"/>
      <c r="Z120" s="45"/>
      <c r="AA120" s="45"/>
      <c r="AB120" s="4"/>
    </row>
    <row r="121" spans="1:28" ht="45">
      <c r="A121" s="168" t="s">
        <v>896</v>
      </c>
      <c r="B121" s="115" t="s">
        <v>897</v>
      </c>
      <c r="C121" s="115" t="s">
        <v>898</v>
      </c>
      <c r="D121" s="115" t="s">
        <v>899</v>
      </c>
      <c r="E121" s="115"/>
      <c r="F121" s="116" t="s">
        <v>860</v>
      </c>
      <c r="G121" s="116" t="s">
        <v>900</v>
      </c>
      <c r="H121" s="116" t="s">
        <v>901</v>
      </c>
      <c r="I121" s="116"/>
      <c r="J121" s="127"/>
      <c r="K121" s="4"/>
      <c r="L121" s="4"/>
      <c r="M121" s="128"/>
      <c r="N121" s="4"/>
      <c r="O121" s="4"/>
      <c r="P121" s="4"/>
      <c r="Q121" s="4"/>
      <c r="R121" s="4"/>
      <c r="S121" s="4"/>
      <c r="T121" s="4"/>
      <c r="U121" s="4"/>
      <c r="V121" s="4"/>
      <c r="W121" s="4"/>
      <c r="X121" s="4"/>
      <c r="Y121" s="4"/>
      <c r="Z121" s="45"/>
      <c r="AA121" s="45"/>
      <c r="AB121" s="4"/>
    </row>
    <row r="122" spans="1:28" ht="105">
      <c r="A122" s="168"/>
      <c r="B122" s="117"/>
      <c r="C122" s="117"/>
      <c r="D122" s="117"/>
      <c r="E122" s="117"/>
      <c r="F122" s="116" t="s">
        <v>863</v>
      </c>
      <c r="G122" s="116" t="s">
        <v>902</v>
      </c>
      <c r="H122" s="116" t="s">
        <v>903</v>
      </c>
      <c r="I122" s="116"/>
      <c r="J122" s="127"/>
      <c r="K122" s="4"/>
      <c r="L122" s="4"/>
      <c r="M122" s="128"/>
      <c r="N122" s="4"/>
      <c r="O122" s="4"/>
      <c r="P122" s="4"/>
      <c r="Q122" s="4"/>
      <c r="R122" s="4"/>
      <c r="S122" s="4"/>
      <c r="T122" s="4"/>
      <c r="U122" s="4"/>
      <c r="V122" s="4"/>
      <c r="W122" s="4"/>
      <c r="X122" s="4"/>
      <c r="Y122" s="4"/>
      <c r="Z122" s="45"/>
      <c r="AA122" s="45"/>
      <c r="AB122" s="4"/>
    </row>
    <row r="123" spans="1:28" ht="45">
      <c r="A123" s="168"/>
      <c r="B123" s="117"/>
      <c r="C123" s="117"/>
      <c r="D123" s="117"/>
      <c r="E123" s="117"/>
      <c r="F123" s="116" t="s">
        <v>865</v>
      </c>
      <c r="G123" s="116" t="s">
        <v>904</v>
      </c>
      <c r="H123" s="116" t="s">
        <v>905</v>
      </c>
      <c r="I123" s="116"/>
      <c r="J123" s="127"/>
      <c r="K123" s="4"/>
      <c r="L123" s="4"/>
      <c r="M123" s="128"/>
      <c r="N123" s="4"/>
      <c r="O123" s="4"/>
      <c r="P123" s="4"/>
      <c r="Q123" s="4"/>
      <c r="R123" s="4"/>
      <c r="S123" s="4"/>
      <c r="T123" s="4"/>
      <c r="U123" s="4"/>
      <c r="V123" s="4"/>
      <c r="W123" s="4"/>
      <c r="X123" s="4"/>
      <c r="Y123" s="4"/>
      <c r="Z123" s="45"/>
      <c r="AA123" s="45"/>
      <c r="AB123" s="4"/>
    </row>
    <row r="124" spans="1:28" ht="75">
      <c r="A124" s="168"/>
      <c r="B124" s="117"/>
      <c r="C124" s="117"/>
      <c r="D124" s="117"/>
      <c r="E124" s="117"/>
      <c r="F124" s="116" t="s">
        <v>867</v>
      </c>
      <c r="G124" s="116" t="s">
        <v>906</v>
      </c>
      <c r="H124" s="116" t="s">
        <v>907</v>
      </c>
      <c r="I124" s="116"/>
      <c r="J124" s="127"/>
      <c r="K124" s="4"/>
      <c r="L124" s="4"/>
      <c r="M124" s="128"/>
      <c r="N124" s="4"/>
      <c r="O124" s="4"/>
      <c r="P124" s="4"/>
      <c r="Q124" s="4"/>
      <c r="R124" s="4"/>
      <c r="S124" s="4"/>
      <c r="T124" s="4"/>
      <c r="U124" s="4"/>
      <c r="V124" s="4"/>
      <c r="W124" s="4"/>
      <c r="X124" s="4"/>
      <c r="Y124" s="4"/>
      <c r="Z124" s="45"/>
      <c r="AA124" s="45"/>
      <c r="AB124" s="4"/>
    </row>
    <row r="125" spans="1:28" ht="180">
      <c r="A125" s="168"/>
      <c r="B125" s="118"/>
      <c r="C125" s="118"/>
      <c r="D125" s="118"/>
      <c r="E125" s="118"/>
      <c r="F125" s="116" t="s">
        <v>895</v>
      </c>
      <c r="G125" s="116" t="s">
        <v>908</v>
      </c>
      <c r="H125" s="116" t="s">
        <v>909</v>
      </c>
      <c r="I125" s="116"/>
      <c r="J125" s="127"/>
      <c r="K125" s="4"/>
      <c r="L125" s="4"/>
      <c r="M125" s="128"/>
      <c r="N125" s="4"/>
      <c r="O125" s="4"/>
      <c r="P125" s="4"/>
      <c r="Q125" s="4"/>
      <c r="R125" s="4"/>
      <c r="S125" s="4"/>
      <c r="T125" s="4"/>
      <c r="U125" s="4"/>
      <c r="V125" s="4"/>
      <c r="W125" s="4"/>
      <c r="X125" s="4"/>
      <c r="Y125" s="4"/>
      <c r="Z125" s="45"/>
      <c r="AA125" s="45"/>
      <c r="AB125" s="4"/>
    </row>
    <row r="126" spans="1:28" ht="90">
      <c r="A126" s="168" t="s">
        <v>910</v>
      </c>
      <c r="B126" s="115" t="s">
        <v>911</v>
      </c>
      <c r="C126" s="115" t="s">
        <v>912</v>
      </c>
      <c r="D126" s="115" t="s">
        <v>913</v>
      </c>
      <c r="E126" s="115"/>
      <c r="F126" s="116" t="s">
        <v>860</v>
      </c>
      <c r="G126" s="116" t="s">
        <v>914</v>
      </c>
      <c r="H126" s="116" t="s">
        <v>912</v>
      </c>
      <c r="I126" s="116"/>
      <c r="J126" s="127"/>
      <c r="K126" s="4"/>
      <c r="L126" s="4"/>
      <c r="M126" s="128"/>
      <c r="N126" s="4"/>
      <c r="O126" s="4"/>
      <c r="P126" s="4"/>
      <c r="Q126" s="4"/>
      <c r="R126" s="4"/>
      <c r="S126" s="4"/>
      <c r="T126" s="4"/>
      <c r="U126" s="4"/>
      <c r="V126" s="4"/>
      <c r="W126" s="4"/>
      <c r="X126" s="4"/>
      <c r="Y126" s="4"/>
      <c r="Z126" s="45"/>
      <c r="AA126" s="45"/>
      <c r="AB126" s="4"/>
    </row>
    <row r="127" spans="1:28" ht="90">
      <c r="A127" s="168"/>
      <c r="B127" s="117"/>
      <c r="C127" s="117"/>
      <c r="D127" s="117"/>
      <c r="E127" s="117"/>
      <c r="F127" s="116" t="s">
        <v>863</v>
      </c>
      <c r="G127" s="116" t="s">
        <v>914</v>
      </c>
      <c r="H127" s="116" t="s">
        <v>912</v>
      </c>
      <c r="I127" s="116"/>
      <c r="J127" s="127"/>
      <c r="K127" s="4"/>
      <c r="L127" s="4"/>
      <c r="M127" s="128"/>
      <c r="N127" s="4"/>
      <c r="O127" s="4"/>
      <c r="P127" s="4"/>
      <c r="Q127" s="4"/>
      <c r="R127" s="4"/>
      <c r="S127" s="4"/>
      <c r="T127" s="4"/>
      <c r="U127" s="4"/>
      <c r="V127" s="4"/>
      <c r="W127" s="4"/>
      <c r="X127" s="4"/>
      <c r="Y127" s="4"/>
      <c r="Z127" s="45"/>
      <c r="AA127" s="45"/>
      <c r="AB127" s="4"/>
    </row>
    <row r="128" spans="1:28" ht="90">
      <c r="A128" s="168"/>
      <c r="B128" s="117"/>
      <c r="C128" s="117"/>
      <c r="D128" s="117"/>
      <c r="E128" s="117"/>
      <c r="F128" s="116" t="s">
        <v>865</v>
      </c>
      <c r="G128" s="116" t="s">
        <v>914</v>
      </c>
      <c r="H128" s="116" t="s">
        <v>912</v>
      </c>
      <c r="I128" s="116"/>
      <c r="J128" s="127"/>
      <c r="K128" s="4"/>
      <c r="L128" s="4"/>
      <c r="M128" s="128"/>
      <c r="N128" s="4"/>
      <c r="O128" s="4"/>
      <c r="P128" s="4"/>
      <c r="Q128" s="4"/>
      <c r="R128" s="4"/>
      <c r="S128" s="4"/>
      <c r="T128" s="4"/>
      <c r="U128" s="4"/>
      <c r="V128" s="4"/>
      <c r="W128" s="4"/>
      <c r="X128" s="4"/>
      <c r="Y128" s="4"/>
      <c r="Z128" s="45"/>
      <c r="AA128" s="45"/>
      <c r="AB128" s="4"/>
    </row>
    <row r="129" spans="1:28" ht="90">
      <c r="A129" s="168"/>
      <c r="B129" s="117"/>
      <c r="C129" s="117"/>
      <c r="D129" s="117"/>
      <c r="E129" s="117"/>
      <c r="F129" s="116" t="s">
        <v>867</v>
      </c>
      <c r="G129" s="116" t="s">
        <v>914</v>
      </c>
      <c r="H129" s="116" t="s">
        <v>912</v>
      </c>
      <c r="I129" s="116"/>
      <c r="J129" s="127"/>
      <c r="K129" s="4"/>
      <c r="L129" s="4"/>
      <c r="M129" s="128"/>
      <c r="N129" s="4"/>
      <c r="O129" s="4"/>
      <c r="P129" s="4"/>
      <c r="Q129" s="4"/>
      <c r="R129" s="4"/>
      <c r="S129" s="4"/>
      <c r="T129" s="4"/>
      <c r="U129" s="4"/>
      <c r="V129" s="4"/>
      <c r="W129" s="4"/>
      <c r="X129" s="4"/>
      <c r="Y129" s="4"/>
      <c r="Z129" s="45"/>
      <c r="AA129" s="45"/>
      <c r="AB129" s="4"/>
    </row>
    <row r="130" spans="1:28" ht="90">
      <c r="A130" s="168"/>
      <c r="B130" s="118"/>
      <c r="C130" s="118"/>
      <c r="D130" s="118"/>
      <c r="E130" s="118"/>
      <c r="F130" s="116" t="s">
        <v>895</v>
      </c>
      <c r="G130" s="116" t="s">
        <v>914</v>
      </c>
      <c r="H130" s="116" t="s">
        <v>912</v>
      </c>
      <c r="I130" s="116"/>
      <c r="J130" s="127"/>
      <c r="K130" s="4"/>
      <c r="L130" s="4"/>
      <c r="M130" s="128"/>
      <c r="N130" s="4"/>
      <c r="O130" s="4"/>
      <c r="P130" s="4"/>
      <c r="Q130" s="4"/>
      <c r="R130" s="4"/>
      <c r="S130" s="4"/>
      <c r="T130" s="4"/>
      <c r="U130" s="4"/>
      <c r="V130" s="4"/>
      <c r="W130" s="4"/>
      <c r="X130" s="4"/>
      <c r="Y130" s="4"/>
      <c r="Z130" s="45"/>
      <c r="AA130" s="45"/>
      <c r="AB130" s="4"/>
    </row>
    <row r="131" spans="1:28" ht="135">
      <c r="A131" s="168" t="s">
        <v>915</v>
      </c>
      <c r="B131" s="115" t="s">
        <v>916</v>
      </c>
      <c r="C131" s="115" t="s">
        <v>917</v>
      </c>
      <c r="D131" s="116" t="s">
        <v>918</v>
      </c>
      <c r="E131" s="116"/>
      <c r="F131" s="116" t="s">
        <v>860</v>
      </c>
      <c r="G131" s="116" t="s">
        <v>253</v>
      </c>
      <c r="H131" s="116" t="s">
        <v>254</v>
      </c>
      <c r="I131" s="116"/>
      <c r="J131" s="127"/>
      <c r="K131" s="4"/>
      <c r="L131" s="4"/>
      <c r="M131" s="128"/>
      <c r="N131" s="4"/>
      <c r="O131" s="4"/>
      <c r="P131" s="4"/>
      <c r="Q131" s="4"/>
      <c r="R131" s="4"/>
      <c r="S131" s="4"/>
      <c r="T131" s="4"/>
      <c r="U131" s="4"/>
      <c r="V131" s="4"/>
      <c r="W131" s="4"/>
      <c r="X131" s="4"/>
      <c r="Y131" s="4"/>
      <c r="Z131" s="45"/>
      <c r="AA131" s="45"/>
      <c r="AB131" s="4"/>
    </row>
    <row r="132" spans="1:28" ht="60">
      <c r="A132" s="168"/>
      <c r="B132" s="118"/>
      <c r="C132" s="118"/>
      <c r="D132" s="116"/>
      <c r="E132" s="116"/>
      <c r="F132" s="116" t="s">
        <v>863</v>
      </c>
      <c r="G132" s="116" t="s">
        <v>257</v>
      </c>
      <c r="H132" s="116" t="s">
        <v>258</v>
      </c>
      <c r="I132" s="116"/>
      <c r="J132" s="127"/>
      <c r="K132" s="4"/>
      <c r="L132" s="4"/>
      <c r="M132" s="128"/>
      <c r="N132" s="4"/>
      <c r="O132" s="4"/>
      <c r="P132" s="4"/>
      <c r="Q132" s="4"/>
      <c r="R132" s="4"/>
      <c r="S132" s="4"/>
      <c r="T132" s="4"/>
      <c r="U132" s="4"/>
      <c r="V132" s="4"/>
      <c r="W132" s="4"/>
      <c r="X132" s="4"/>
      <c r="Y132" s="4"/>
      <c r="Z132" s="45"/>
      <c r="AA132" s="45"/>
      <c r="AB132" s="4"/>
    </row>
    <row r="133" spans="1:28" ht="409.6">
      <c r="A133" s="168" t="s">
        <v>919</v>
      </c>
      <c r="B133" s="119" t="s">
        <v>920</v>
      </c>
      <c r="C133" s="119" t="s">
        <v>921</v>
      </c>
      <c r="D133" s="119" t="s">
        <v>922</v>
      </c>
      <c r="E133" s="123"/>
      <c r="F133" s="116" t="s">
        <v>860</v>
      </c>
      <c r="G133" s="116" t="s">
        <v>923</v>
      </c>
      <c r="H133" s="116" t="s">
        <v>921</v>
      </c>
      <c r="I133" s="116"/>
      <c r="J133" s="127"/>
      <c r="K133" s="4"/>
      <c r="L133" s="4"/>
      <c r="M133" s="128"/>
      <c r="N133" s="4"/>
      <c r="O133" s="4"/>
      <c r="P133" s="4"/>
      <c r="Q133" s="4"/>
      <c r="R133" s="4"/>
      <c r="S133" s="4"/>
      <c r="T133" s="4"/>
      <c r="U133" s="4"/>
      <c r="V133" s="4"/>
      <c r="W133" s="4"/>
      <c r="X133" s="4"/>
      <c r="Y133" s="4"/>
      <c r="Z133" s="45"/>
      <c r="AA133" s="45"/>
      <c r="AB133" s="4"/>
    </row>
    <row r="134" spans="1:28" ht="409.6">
      <c r="A134" s="168"/>
      <c r="B134" s="120"/>
      <c r="C134" s="120"/>
      <c r="D134" s="120"/>
      <c r="E134" s="131"/>
      <c r="F134" s="116" t="s">
        <v>863</v>
      </c>
      <c r="G134" s="116" t="s">
        <v>924</v>
      </c>
      <c r="H134" s="116" t="s">
        <v>921</v>
      </c>
      <c r="I134" s="116"/>
      <c r="J134" s="127"/>
      <c r="K134" s="4"/>
      <c r="L134" s="4"/>
      <c r="M134" s="128"/>
      <c r="N134" s="4"/>
      <c r="O134" s="4"/>
      <c r="P134" s="4"/>
      <c r="Q134" s="4"/>
      <c r="R134" s="4"/>
      <c r="S134" s="4"/>
      <c r="T134" s="4"/>
      <c r="U134" s="4"/>
      <c r="V134" s="4"/>
      <c r="W134" s="4"/>
      <c r="X134" s="4"/>
      <c r="Y134" s="4"/>
      <c r="Z134" s="45"/>
      <c r="AA134" s="45"/>
      <c r="AB134" s="4"/>
    </row>
    <row r="135" spans="1:28" ht="409.6">
      <c r="A135" s="168"/>
      <c r="B135" s="120"/>
      <c r="C135" s="120"/>
      <c r="D135" s="120"/>
      <c r="E135" s="131"/>
      <c r="F135" s="116" t="s">
        <v>865</v>
      </c>
      <c r="G135" s="116" t="s">
        <v>925</v>
      </c>
      <c r="H135" s="116" t="s">
        <v>921</v>
      </c>
      <c r="I135" s="116"/>
      <c r="J135" s="127"/>
      <c r="K135" s="4"/>
      <c r="L135" s="4"/>
      <c r="M135" s="128"/>
      <c r="N135" s="4"/>
      <c r="O135" s="4"/>
      <c r="P135" s="4"/>
      <c r="Q135" s="4"/>
      <c r="R135" s="4"/>
      <c r="S135" s="4"/>
      <c r="T135" s="4"/>
      <c r="U135" s="4"/>
      <c r="V135" s="4"/>
      <c r="W135" s="4"/>
      <c r="X135" s="4"/>
      <c r="Y135" s="4"/>
      <c r="Z135" s="45"/>
      <c r="AA135" s="45"/>
      <c r="AB135" s="4"/>
    </row>
    <row r="136" spans="1:28" ht="409.6">
      <c r="A136" s="168"/>
      <c r="B136" s="120"/>
      <c r="C136" s="120"/>
      <c r="D136" s="120"/>
      <c r="E136" s="131"/>
      <c r="F136" s="116" t="s">
        <v>867</v>
      </c>
      <c r="G136" s="116" t="s">
        <v>926</v>
      </c>
      <c r="H136" s="116" t="s">
        <v>921</v>
      </c>
      <c r="I136" s="116"/>
      <c r="J136" s="127"/>
      <c r="K136" s="4"/>
      <c r="L136" s="4"/>
      <c r="M136" s="128"/>
      <c r="N136" s="4"/>
      <c r="O136" s="4"/>
      <c r="P136" s="4"/>
      <c r="Q136" s="4"/>
      <c r="R136" s="4"/>
      <c r="S136" s="4"/>
      <c r="T136" s="4"/>
      <c r="U136" s="4"/>
      <c r="V136" s="4"/>
      <c r="W136" s="4"/>
      <c r="X136" s="4"/>
      <c r="Y136" s="4"/>
      <c r="Z136" s="45"/>
      <c r="AA136" s="45"/>
      <c r="AB136" s="4"/>
    </row>
    <row r="137" spans="1:28" ht="409.6">
      <c r="A137" s="168"/>
      <c r="B137" s="120"/>
      <c r="C137" s="120"/>
      <c r="D137" s="120"/>
      <c r="E137" s="131"/>
      <c r="F137" s="116" t="s">
        <v>895</v>
      </c>
      <c r="G137" s="116" t="s">
        <v>927</v>
      </c>
      <c r="H137" s="116" t="s">
        <v>921</v>
      </c>
      <c r="I137" s="116"/>
      <c r="J137" s="127"/>
      <c r="K137" s="4"/>
      <c r="L137" s="4"/>
      <c r="M137" s="128"/>
      <c r="N137" s="4"/>
      <c r="O137" s="4"/>
      <c r="P137" s="4"/>
      <c r="Q137" s="4"/>
      <c r="R137" s="4"/>
      <c r="S137" s="4"/>
      <c r="T137" s="4"/>
      <c r="U137" s="4"/>
      <c r="V137" s="4"/>
      <c r="W137" s="4"/>
      <c r="X137" s="4"/>
      <c r="Y137" s="4"/>
      <c r="Z137" s="45"/>
      <c r="AA137" s="45"/>
      <c r="AB137" s="4"/>
    </row>
    <row r="138" spans="1:28" ht="409.6">
      <c r="A138" s="168"/>
      <c r="B138" s="120"/>
      <c r="C138" s="120"/>
      <c r="D138" s="120"/>
      <c r="E138" s="131"/>
      <c r="F138" s="116" t="s">
        <v>928</v>
      </c>
      <c r="G138" s="116" t="s">
        <v>929</v>
      </c>
      <c r="H138" s="116" t="s">
        <v>921</v>
      </c>
      <c r="I138" s="116"/>
      <c r="J138" s="127"/>
      <c r="K138" s="4"/>
      <c r="L138" s="4"/>
      <c r="M138" s="128"/>
      <c r="N138" s="4"/>
      <c r="O138" s="4"/>
      <c r="P138" s="4"/>
      <c r="Q138" s="4"/>
      <c r="R138" s="4"/>
      <c r="S138" s="4"/>
      <c r="T138" s="4"/>
      <c r="U138" s="4"/>
      <c r="V138" s="4"/>
      <c r="W138" s="4"/>
      <c r="X138" s="4"/>
      <c r="Y138" s="4"/>
      <c r="Z138" s="45"/>
      <c r="AA138" s="45"/>
      <c r="AB138" s="4"/>
    </row>
    <row r="139" spans="1:28" ht="409.6">
      <c r="A139" s="168"/>
      <c r="B139" s="120"/>
      <c r="C139" s="120"/>
      <c r="D139" s="120"/>
      <c r="E139" s="131"/>
      <c r="F139" s="116" t="s">
        <v>930</v>
      </c>
      <c r="G139" s="116" t="s">
        <v>931</v>
      </c>
      <c r="H139" s="116" t="s">
        <v>921</v>
      </c>
      <c r="I139" s="116"/>
      <c r="J139" s="127"/>
      <c r="K139" s="4"/>
      <c r="L139" s="4"/>
      <c r="M139" s="128"/>
      <c r="N139" s="4"/>
      <c r="O139" s="4"/>
      <c r="P139" s="4"/>
      <c r="Q139" s="4"/>
      <c r="R139" s="4"/>
      <c r="S139" s="4"/>
      <c r="T139" s="4"/>
      <c r="U139" s="4"/>
      <c r="V139" s="4"/>
      <c r="W139" s="4"/>
      <c r="X139" s="4"/>
      <c r="Y139" s="4"/>
      <c r="Z139" s="45"/>
      <c r="AA139" s="45"/>
      <c r="AB139" s="4"/>
    </row>
    <row r="140" spans="1:28" ht="409.6">
      <c r="A140" s="168"/>
      <c r="B140" s="121"/>
      <c r="C140" s="121"/>
      <c r="D140" s="121"/>
      <c r="E140" s="132"/>
      <c r="F140" s="116" t="s">
        <v>932</v>
      </c>
      <c r="G140" s="116" t="s">
        <v>933</v>
      </c>
      <c r="H140" s="116" t="s">
        <v>921</v>
      </c>
      <c r="I140" s="116"/>
      <c r="J140" s="127"/>
      <c r="K140" s="4"/>
      <c r="L140" s="4"/>
      <c r="M140" s="128"/>
      <c r="N140" s="4"/>
      <c r="O140" s="4"/>
      <c r="P140" s="4"/>
      <c r="Q140" s="4"/>
      <c r="R140" s="4"/>
      <c r="S140" s="4"/>
      <c r="T140" s="4"/>
      <c r="U140" s="4"/>
      <c r="V140" s="4"/>
      <c r="W140" s="4"/>
      <c r="X140" s="4"/>
      <c r="Y140" s="4"/>
      <c r="Z140" s="45"/>
      <c r="AA140" s="45"/>
      <c r="AB140" s="4"/>
    </row>
    <row r="141" spans="1:28" ht="45">
      <c r="A141" s="169" t="s">
        <v>934</v>
      </c>
      <c r="B141" s="122" t="s">
        <v>935</v>
      </c>
      <c r="C141" s="119" t="s">
        <v>936</v>
      </c>
      <c r="D141" s="119" t="s">
        <v>937</v>
      </c>
      <c r="E141" s="123"/>
      <c r="F141" s="116" t="s">
        <v>860</v>
      </c>
      <c r="G141" s="116" t="s">
        <v>938</v>
      </c>
      <c r="H141" s="116" t="s">
        <v>939</v>
      </c>
      <c r="I141" s="116"/>
      <c r="J141" s="127"/>
      <c r="K141" s="4"/>
      <c r="L141" s="4"/>
      <c r="M141" s="128"/>
      <c r="N141" s="4"/>
      <c r="O141" s="4"/>
      <c r="P141" s="4"/>
      <c r="Q141" s="4"/>
      <c r="R141" s="4"/>
      <c r="S141" s="4"/>
      <c r="T141" s="4"/>
      <c r="U141" s="4"/>
      <c r="V141" s="4"/>
      <c r="W141" s="4"/>
      <c r="X141" s="4"/>
      <c r="Y141" s="4"/>
      <c r="Z141" s="45"/>
      <c r="AA141" s="45"/>
      <c r="AB141" s="4"/>
    </row>
    <row r="142" spans="1:28" ht="30">
      <c r="A142" s="170"/>
      <c r="B142" s="120"/>
      <c r="C142" s="120"/>
      <c r="D142" s="120"/>
      <c r="E142" s="131"/>
      <c r="F142" s="116" t="s">
        <v>863</v>
      </c>
      <c r="G142" s="116" t="s">
        <v>940</v>
      </c>
      <c r="H142" s="116" t="s">
        <v>941</v>
      </c>
      <c r="I142" s="116"/>
      <c r="J142" s="127"/>
      <c r="K142" s="4"/>
      <c r="L142" s="4"/>
      <c r="M142" s="128"/>
      <c r="N142" s="4"/>
      <c r="O142" s="4"/>
      <c r="P142" s="4"/>
      <c r="Q142" s="4"/>
      <c r="R142" s="4"/>
      <c r="S142" s="4"/>
      <c r="T142" s="4"/>
      <c r="U142" s="4"/>
      <c r="V142" s="4"/>
      <c r="W142" s="4"/>
      <c r="X142" s="4"/>
      <c r="Y142" s="4"/>
      <c r="Z142" s="45"/>
      <c r="AA142" s="45"/>
      <c r="AB142" s="4"/>
    </row>
    <row r="143" spans="1:28" ht="30">
      <c r="A143" s="170"/>
      <c r="B143" s="120"/>
      <c r="C143" s="120"/>
      <c r="D143" s="120"/>
      <c r="E143" s="131"/>
      <c r="F143" s="116" t="s">
        <v>865</v>
      </c>
      <c r="G143" s="116" t="s">
        <v>942</v>
      </c>
      <c r="H143" s="116" t="s">
        <v>943</v>
      </c>
      <c r="I143" s="116"/>
      <c r="J143" s="127"/>
      <c r="K143" s="4"/>
      <c r="L143" s="4"/>
      <c r="M143" s="128"/>
      <c r="N143" s="4"/>
      <c r="O143" s="4"/>
      <c r="P143" s="4"/>
      <c r="Q143" s="4"/>
      <c r="R143" s="4"/>
      <c r="S143" s="4"/>
      <c r="T143" s="4"/>
      <c r="U143" s="4"/>
      <c r="V143" s="4"/>
      <c r="W143" s="4"/>
      <c r="X143" s="4"/>
      <c r="Y143" s="4"/>
      <c r="Z143" s="45"/>
      <c r="AA143" s="45"/>
      <c r="AB143" s="4"/>
    </row>
    <row r="144" spans="1:28" ht="30">
      <c r="A144" s="170"/>
      <c r="B144" s="120"/>
      <c r="C144" s="120"/>
      <c r="D144" s="120"/>
      <c r="E144" s="131"/>
      <c r="F144" s="116" t="s">
        <v>867</v>
      </c>
      <c r="G144" s="116" t="s">
        <v>940</v>
      </c>
      <c r="H144" s="116" t="s">
        <v>941</v>
      </c>
      <c r="I144" s="116"/>
      <c r="J144" s="127"/>
      <c r="K144" s="4"/>
      <c r="L144" s="4"/>
      <c r="M144" s="128"/>
      <c r="N144" s="4"/>
      <c r="O144" s="4"/>
      <c r="P144" s="4"/>
      <c r="Q144" s="4"/>
      <c r="R144" s="4"/>
      <c r="S144" s="4"/>
      <c r="T144" s="4"/>
      <c r="U144" s="4"/>
      <c r="V144" s="4"/>
      <c r="W144" s="4"/>
      <c r="X144" s="4"/>
      <c r="Y144" s="4"/>
      <c r="Z144" s="45"/>
      <c r="AA144" s="45"/>
      <c r="AB144" s="4"/>
    </row>
    <row r="145" spans="1:28" ht="30">
      <c r="A145" s="170"/>
      <c r="B145" s="120"/>
      <c r="C145" s="120"/>
      <c r="D145" s="120"/>
      <c r="E145" s="131"/>
      <c r="F145" s="116" t="s">
        <v>895</v>
      </c>
      <c r="G145" s="116" t="s">
        <v>944</v>
      </c>
      <c r="H145" s="116" t="s">
        <v>945</v>
      </c>
      <c r="I145" s="116"/>
      <c r="J145" s="127"/>
      <c r="K145" s="4"/>
      <c r="L145" s="4"/>
      <c r="M145" s="128"/>
      <c r="N145" s="4"/>
      <c r="O145" s="4"/>
      <c r="P145" s="4"/>
      <c r="Q145" s="4"/>
      <c r="R145" s="4"/>
      <c r="S145" s="4"/>
      <c r="T145" s="4"/>
      <c r="U145" s="4"/>
      <c r="V145" s="4"/>
      <c r="W145" s="4"/>
      <c r="X145" s="4"/>
      <c r="Y145" s="4"/>
      <c r="Z145" s="45"/>
      <c r="AA145" s="45"/>
      <c r="AB145" s="4"/>
    </row>
    <row r="146" spans="1:28" ht="45">
      <c r="A146" s="170"/>
      <c r="B146" s="120"/>
      <c r="C146" s="120"/>
      <c r="D146" s="120"/>
      <c r="E146" s="131"/>
      <c r="F146" s="116" t="s">
        <v>928</v>
      </c>
      <c r="G146" s="116" t="s">
        <v>946</v>
      </c>
      <c r="H146" s="116" t="s">
        <v>939</v>
      </c>
      <c r="I146" s="116"/>
      <c r="J146" s="127"/>
      <c r="K146" s="4"/>
      <c r="L146" s="4"/>
      <c r="M146" s="128"/>
      <c r="N146" s="4"/>
      <c r="O146" s="4"/>
      <c r="P146" s="4"/>
      <c r="Q146" s="4"/>
      <c r="R146" s="4"/>
      <c r="S146" s="4"/>
      <c r="T146" s="4"/>
      <c r="U146" s="4"/>
      <c r="V146" s="4"/>
      <c r="W146" s="4"/>
      <c r="X146" s="4"/>
      <c r="Y146" s="4"/>
      <c r="Z146" s="45"/>
      <c r="AA146" s="45"/>
      <c r="AB146" s="4"/>
    </row>
    <row r="147" spans="1:28" ht="30">
      <c r="A147" s="170"/>
      <c r="B147" s="120"/>
      <c r="C147" s="120"/>
      <c r="D147" s="120"/>
      <c r="E147" s="131"/>
      <c r="F147" s="116" t="s">
        <v>930</v>
      </c>
      <c r="G147" s="116" t="s">
        <v>942</v>
      </c>
      <c r="H147" s="116" t="s">
        <v>943</v>
      </c>
      <c r="I147" s="116"/>
      <c r="J147" s="127"/>
      <c r="K147" s="4"/>
      <c r="L147" s="4"/>
      <c r="M147" s="128"/>
      <c r="N147" s="4"/>
      <c r="O147" s="4"/>
      <c r="P147" s="4"/>
      <c r="Q147" s="4"/>
      <c r="R147" s="4"/>
      <c r="S147" s="4"/>
      <c r="T147" s="4"/>
      <c r="U147" s="4"/>
      <c r="V147" s="4"/>
      <c r="W147" s="4"/>
      <c r="X147" s="4"/>
      <c r="Y147" s="4"/>
      <c r="Z147" s="45"/>
      <c r="AA147" s="45"/>
      <c r="AB147" s="4"/>
    </row>
    <row r="148" spans="1:28" ht="30">
      <c r="A148" s="170"/>
      <c r="B148" s="120"/>
      <c r="C148" s="120"/>
      <c r="D148" s="120"/>
      <c r="E148" s="131"/>
      <c r="F148" s="116" t="s">
        <v>932</v>
      </c>
      <c r="G148" s="116" t="s">
        <v>944</v>
      </c>
      <c r="H148" s="116" t="s">
        <v>945</v>
      </c>
      <c r="I148" s="116"/>
      <c r="J148" s="127"/>
      <c r="K148" s="4"/>
      <c r="L148" s="4"/>
      <c r="M148" s="128"/>
      <c r="N148" s="4"/>
      <c r="O148" s="4"/>
      <c r="P148" s="4"/>
      <c r="Q148" s="4"/>
      <c r="R148" s="4"/>
      <c r="S148" s="4"/>
      <c r="T148" s="4"/>
      <c r="U148" s="4"/>
      <c r="V148" s="4"/>
      <c r="W148" s="4"/>
      <c r="X148" s="4"/>
      <c r="Y148" s="4"/>
      <c r="Z148" s="45"/>
      <c r="AA148" s="45"/>
      <c r="AB148" s="4"/>
    </row>
    <row r="149" spans="1:28" ht="45">
      <c r="A149" s="170"/>
      <c r="B149" s="121"/>
      <c r="C149" s="121"/>
      <c r="D149" s="121"/>
      <c r="E149" s="132"/>
      <c r="F149" s="116" t="s">
        <v>947</v>
      </c>
      <c r="G149" s="116" t="s">
        <v>948</v>
      </c>
      <c r="H149" s="116" t="s">
        <v>939</v>
      </c>
      <c r="I149" s="116"/>
      <c r="J149" s="127"/>
      <c r="K149" s="4"/>
      <c r="L149" s="4"/>
      <c r="M149" s="128"/>
      <c r="N149" s="4"/>
      <c r="O149" s="4"/>
      <c r="P149" s="4"/>
      <c r="Q149" s="4"/>
      <c r="R149" s="4"/>
      <c r="S149" s="4"/>
      <c r="T149" s="4"/>
      <c r="U149" s="4"/>
      <c r="V149" s="4"/>
      <c r="W149" s="4"/>
      <c r="X149" s="4"/>
      <c r="Y149" s="4"/>
      <c r="Z149" s="45"/>
      <c r="AA149" s="45"/>
      <c r="AB149" s="4"/>
    </row>
    <row r="150" spans="1:28" ht="356">
      <c r="A150" s="126" t="s">
        <v>949</v>
      </c>
      <c r="B150" s="116" t="s">
        <v>46</v>
      </c>
      <c r="C150" s="116" t="s">
        <v>950</v>
      </c>
      <c r="D150" s="116" t="s">
        <v>951</v>
      </c>
      <c r="E150" s="116"/>
      <c r="F150" s="116" t="s">
        <v>860</v>
      </c>
      <c r="G150" s="116" t="s">
        <v>952</v>
      </c>
      <c r="H150" s="116" t="s">
        <v>621</v>
      </c>
      <c r="I150" s="116"/>
      <c r="J150" s="127"/>
      <c r="K150" s="4"/>
      <c r="L150" s="4"/>
      <c r="M150" s="128"/>
      <c r="N150" s="4"/>
      <c r="O150" s="4"/>
      <c r="P150" s="4"/>
      <c r="Q150" s="4"/>
      <c r="R150" s="4"/>
      <c r="S150" s="4"/>
      <c r="T150" s="175"/>
      <c r="U150" s="4"/>
      <c r="V150" s="4"/>
      <c r="W150" s="4"/>
      <c r="X150" s="4"/>
      <c r="Y150" s="4"/>
      <c r="Z150" s="45" t="s">
        <v>246</v>
      </c>
      <c r="AA150" s="173"/>
      <c r="AB150" s="4"/>
    </row>
    <row r="151" spans="1:28" ht="105">
      <c r="A151" s="126" t="s">
        <v>953</v>
      </c>
      <c r="B151" s="123" t="s">
        <v>47</v>
      </c>
      <c r="C151" s="123" t="s">
        <v>954</v>
      </c>
      <c r="D151" s="123" t="s">
        <v>955</v>
      </c>
      <c r="E151" s="123"/>
      <c r="F151" s="116" t="s">
        <v>860</v>
      </c>
      <c r="G151" s="116" t="s">
        <v>956</v>
      </c>
      <c r="H151" s="116" t="s">
        <v>957</v>
      </c>
      <c r="I151" s="116"/>
      <c r="J151" s="127"/>
      <c r="K151" s="4"/>
      <c r="L151" s="4"/>
      <c r="M151" s="128"/>
      <c r="N151" s="4"/>
      <c r="O151" s="4"/>
      <c r="P151" s="4"/>
      <c r="Q151" s="4"/>
      <c r="R151" s="4"/>
      <c r="S151" s="4"/>
      <c r="T151" s="175"/>
      <c r="U151" s="4"/>
      <c r="V151" s="4"/>
      <c r="W151" s="4"/>
      <c r="X151" s="4"/>
      <c r="Y151" s="4"/>
      <c r="Z151" s="45" t="s">
        <v>246</v>
      </c>
      <c r="AA151" s="173"/>
      <c r="AB151" s="4"/>
    </row>
    <row r="152" spans="1:28" ht="314">
      <c r="A152" s="126" t="s">
        <v>958</v>
      </c>
      <c r="B152" s="117" t="s">
        <v>959</v>
      </c>
      <c r="C152" s="171" t="s">
        <v>699</v>
      </c>
      <c r="D152" s="124"/>
      <c r="E152" s="124"/>
      <c r="F152" s="116" t="s">
        <v>860</v>
      </c>
      <c r="G152" s="116" t="s">
        <v>709</v>
      </c>
      <c r="H152" s="116" t="s">
        <v>710</v>
      </c>
      <c r="I152" s="116"/>
      <c r="J152" s="127"/>
      <c r="K152" s="4"/>
      <c r="L152" s="4"/>
      <c r="M152" s="128"/>
      <c r="N152" s="4"/>
      <c r="O152" s="4"/>
      <c r="P152" s="4"/>
      <c r="Q152" s="4"/>
      <c r="R152" s="4"/>
      <c r="S152" s="4"/>
      <c r="T152" s="106">
        <v>1</v>
      </c>
      <c r="U152" s="4"/>
      <c r="V152" s="4"/>
      <c r="W152" s="4"/>
      <c r="X152" s="4"/>
      <c r="Y152" s="4"/>
      <c r="Z152" s="45"/>
      <c r="AA152" s="45"/>
      <c r="AB152" s="4"/>
    </row>
    <row r="153" spans="1:28" ht="255">
      <c r="A153" s="126" t="s">
        <v>958</v>
      </c>
      <c r="B153" s="118"/>
      <c r="C153" s="172"/>
      <c r="D153" s="125"/>
      <c r="E153" s="125"/>
      <c r="F153" s="116" t="s">
        <v>863</v>
      </c>
      <c r="G153" s="116" t="s">
        <v>703</v>
      </c>
      <c r="H153" s="116" t="s">
        <v>704</v>
      </c>
      <c r="I153" s="116"/>
      <c r="J153" s="127"/>
      <c r="K153" s="4"/>
      <c r="L153" s="4"/>
      <c r="M153" s="128"/>
      <c r="N153" s="4"/>
      <c r="O153" s="4"/>
      <c r="P153" s="4"/>
      <c r="Q153" s="4"/>
      <c r="R153" s="4"/>
      <c r="S153" s="4"/>
      <c r="T153" s="106"/>
      <c r="U153" s="4"/>
      <c r="V153" s="4"/>
      <c r="W153" s="4"/>
      <c r="X153" s="4"/>
      <c r="Y153" s="4"/>
      <c r="Z153" s="45"/>
      <c r="AA153" s="45"/>
      <c r="AB153" s="4"/>
    </row>
    <row r="154" spans="1:28" ht="328">
      <c r="A154" s="126" t="s">
        <v>960</v>
      </c>
      <c r="B154" s="116" t="s">
        <v>49</v>
      </c>
      <c r="C154" s="116" t="s">
        <v>961</v>
      </c>
      <c r="D154" s="116" t="s">
        <v>962</v>
      </c>
      <c r="E154" s="116"/>
      <c r="F154" s="116" t="s">
        <v>860</v>
      </c>
      <c r="G154" s="116" t="s">
        <v>963</v>
      </c>
      <c r="H154" s="116" t="s">
        <v>716</v>
      </c>
      <c r="I154" s="116"/>
      <c r="J154" s="127"/>
      <c r="K154" s="4"/>
      <c r="L154" s="4"/>
      <c r="M154" s="128"/>
      <c r="N154" s="4"/>
      <c r="O154" s="4"/>
      <c r="P154" s="4"/>
      <c r="Q154" s="4"/>
      <c r="R154" s="4"/>
      <c r="S154" s="4"/>
      <c r="T154" s="175"/>
      <c r="U154" s="4"/>
      <c r="V154" s="4"/>
      <c r="W154" s="4"/>
      <c r="X154" s="4"/>
      <c r="Y154" s="4"/>
      <c r="Z154" s="45" t="s">
        <v>246</v>
      </c>
      <c r="AA154" s="173"/>
      <c r="AB154" s="4"/>
    </row>
    <row r="155" spans="1:28" ht="409.6">
      <c r="A155" s="126" t="s">
        <v>964</v>
      </c>
      <c r="B155" s="116" t="s">
        <v>51</v>
      </c>
      <c r="C155" s="116" t="s">
        <v>965</v>
      </c>
      <c r="D155" s="116" t="s">
        <v>966</v>
      </c>
      <c r="E155" s="116"/>
      <c r="F155" s="116" t="s">
        <v>860</v>
      </c>
      <c r="G155" s="116" t="s">
        <v>966</v>
      </c>
      <c r="H155" s="116" t="s">
        <v>965</v>
      </c>
      <c r="I155" s="116"/>
      <c r="J155" s="127"/>
      <c r="K155" s="4"/>
      <c r="L155" s="4"/>
      <c r="M155" s="128"/>
      <c r="N155" s="4"/>
      <c r="O155" s="4"/>
      <c r="P155" s="4"/>
      <c r="Q155" s="4"/>
      <c r="R155" s="4"/>
      <c r="S155" s="4"/>
      <c r="T155" s="4">
        <v>1</v>
      </c>
      <c r="U155" s="4"/>
      <c r="V155" s="4"/>
      <c r="W155" s="4"/>
      <c r="X155" s="4"/>
      <c r="Y155" s="4"/>
      <c r="Z155" s="45" t="s">
        <v>394</v>
      </c>
      <c r="AA155" s="174" t="s">
        <v>394</v>
      </c>
      <c r="AB155" s="4"/>
    </row>
    <row r="156" spans="1:28" ht="409.6">
      <c r="A156" s="126" t="s">
        <v>967</v>
      </c>
      <c r="B156" s="116" t="s">
        <v>52</v>
      </c>
      <c r="C156" s="116" t="s">
        <v>968</v>
      </c>
      <c r="D156" s="116" t="s">
        <v>969</v>
      </c>
      <c r="E156" s="116"/>
      <c r="F156" s="116" t="s">
        <v>860</v>
      </c>
      <c r="G156" s="116" t="s">
        <v>970</v>
      </c>
      <c r="H156" s="116" t="s">
        <v>971</v>
      </c>
      <c r="I156" s="116"/>
      <c r="J156" s="127"/>
      <c r="K156" s="4"/>
      <c r="L156" s="4"/>
      <c r="M156" s="128"/>
      <c r="N156" s="4"/>
      <c r="O156" s="4"/>
      <c r="P156" s="4"/>
      <c r="Q156" s="4"/>
      <c r="R156" s="4"/>
      <c r="S156" s="4"/>
      <c r="T156" s="175"/>
      <c r="U156" s="4"/>
      <c r="V156" s="4"/>
      <c r="W156" s="4"/>
      <c r="X156" s="4"/>
      <c r="Y156" s="4"/>
      <c r="Z156" s="45" t="s">
        <v>972</v>
      </c>
      <c r="AA156" s="173"/>
      <c r="AB156" s="4"/>
    </row>
    <row r="157" spans="1:28" ht="409.6">
      <c r="A157" s="126" t="s">
        <v>973</v>
      </c>
      <c r="B157" s="116" t="s">
        <v>53</v>
      </c>
      <c r="C157" s="116" t="s">
        <v>974</v>
      </c>
      <c r="D157" s="116" t="s">
        <v>975</v>
      </c>
      <c r="E157" s="116"/>
      <c r="F157" s="116" t="s">
        <v>860</v>
      </c>
      <c r="G157" s="116" t="s">
        <v>976</v>
      </c>
      <c r="H157" s="116" t="s">
        <v>977</v>
      </c>
      <c r="I157" s="116"/>
      <c r="J157" s="127"/>
      <c r="K157" s="4"/>
      <c r="L157" s="4"/>
      <c r="M157" s="128"/>
      <c r="N157" s="4"/>
      <c r="O157" s="4"/>
      <c r="P157" s="4"/>
      <c r="Q157" s="4"/>
      <c r="R157" s="4"/>
      <c r="S157" s="4"/>
      <c r="T157" s="175"/>
      <c r="U157" s="4"/>
      <c r="V157" s="4"/>
      <c r="W157" s="4"/>
      <c r="X157" s="4"/>
      <c r="Y157" s="4"/>
      <c r="Z157" s="45" t="s">
        <v>246</v>
      </c>
      <c r="AA157" s="173"/>
      <c r="AB157" s="4"/>
    </row>
    <row r="158" spans="1:28" ht="409.6">
      <c r="A158" s="126" t="s">
        <v>978</v>
      </c>
      <c r="B158" s="116" t="s">
        <v>54</v>
      </c>
      <c r="C158" s="116" t="s">
        <v>979</v>
      </c>
      <c r="D158" s="116" t="s">
        <v>980</v>
      </c>
      <c r="E158" s="116"/>
      <c r="F158" s="116" t="s">
        <v>860</v>
      </c>
      <c r="G158" s="116" t="s">
        <v>981</v>
      </c>
      <c r="H158" s="116" t="s">
        <v>979</v>
      </c>
      <c r="I158" s="116"/>
      <c r="J158" s="127"/>
      <c r="K158" s="4"/>
      <c r="L158" s="4"/>
      <c r="M158" s="128"/>
      <c r="N158" s="4"/>
      <c r="O158" s="4"/>
      <c r="P158" s="4"/>
      <c r="Q158" s="4"/>
      <c r="R158" s="4"/>
      <c r="S158" s="4"/>
      <c r="T158" s="175"/>
      <c r="U158" s="4"/>
      <c r="V158" s="4"/>
      <c r="W158" s="4"/>
      <c r="X158" s="4"/>
      <c r="Y158" s="4"/>
      <c r="Z158" s="45" t="s">
        <v>982</v>
      </c>
      <c r="AA158" s="173"/>
      <c r="AB158" s="4"/>
    </row>
    <row r="159" spans="1:28" ht="180">
      <c r="A159" s="126" t="s">
        <v>983</v>
      </c>
      <c r="B159" s="116" t="s">
        <v>55</v>
      </c>
      <c r="C159" s="116" t="s">
        <v>764</v>
      </c>
      <c r="D159" s="116" t="s">
        <v>763</v>
      </c>
      <c r="E159" s="116"/>
      <c r="F159" s="116" t="s">
        <v>860</v>
      </c>
      <c r="G159" s="116" t="s">
        <v>984</v>
      </c>
      <c r="H159" s="116" t="s">
        <v>764</v>
      </c>
      <c r="I159" s="116"/>
      <c r="J159" s="127"/>
      <c r="K159" s="4"/>
      <c r="L159" s="4"/>
      <c r="M159" s="128"/>
      <c r="N159" s="4"/>
      <c r="O159" s="4"/>
      <c r="P159" s="4"/>
      <c r="Q159" s="4"/>
      <c r="R159" s="4"/>
      <c r="S159" s="4"/>
      <c r="T159" s="175"/>
      <c r="U159" s="4"/>
      <c r="V159" s="4"/>
      <c r="W159" s="4"/>
      <c r="X159" s="4"/>
      <c r="Y159" s="4"/>
      <c r="Z159" s="45" t="s">
        <v>985</v>
      </c>
      <c r="AA159" s="173"/>
      <c r="AB159" s="4"/>
    </row>
    <row r="160" spans="1:28" ht="180">
      <c r="A160" s="126" t="s">
        <v>986</v>
      </c>
      <c r="B160" s="116" t="s">
        <v>56</v>
      </c>
      <c r="C160" s="116" t="s">
        <v>767</v>
      </c>
      <c r="D160" s="116" t="s">
        <v>766</v>
      </c>
      <c r="E160" s="116"/>
      <c r="F160" s="116" t="s">
        <v>860</v>
      </c>
      <c r="G160" s="116" t="s">
        <v>987</v>
      </c>
      <c r="H160" s="116" t="s">
        <v>767</v>
      </c>
      <c r="I160" s="116"/>
      <c r="J160" s="127"/>
      <c r="K160" s="4"/>
      <c r="L160" s="4"/>
      <c r="M160" s="128"/>
      <c r="N160" s="4"/>
      <c r="O160" s="4"/>
      <c r="P160" s="4"/>
      <c r="Q160" s="4"/>
      <c r="R160" s="4"/>
      <c r="S160" s="4"/>
      <c r="T160" s="4">
        <v>0</v>
      </c>
      <c r="U160" s="4" t="s">
        <v>988</v>
      </c>
      <c r="V160" s="4"/>
      <c r="W160" s="4"/>
      <c r="X160" s="4"/>
      <c r="Y160" s="4"/>
      <c r="Z160" s="45" t="s">
        <v>989</v>
      </c>
      <c r="AA160" s="173"/>
      <c r="AB160" s="4"/>
    </row>
    <row r="161" spans="1:28" ht="60">
      <c r="A161" s="126" t="s">
        <v>990</v>
      </c>
      <c r="B161" s="119" t="s">
        <v>991</v>
      </c>
      <c r="C161" s="119" t="s">
        <v>992</v>
      </c>
      <c r="D161" s="119" t="s">
        <v>993</v>
      </c>
      <c r="E161" s="123"/>
      <c r="F161" s="116" t="s">
        <v>860</v>
      </c>
      <c r="G161" s="116" t="s">
        <v>994</v>
      </c>
      <c r="H161" s="116" t="s">
        <v>995</v>
      </c>
      <c r="I161" s="116"/>
      <c r="J161" s="127"/>
      <c r="K161" s="4"/>
      <c r="L161" s="4"/>
      <c r="M161" s="128"/>
      <c r="N161" s="4"/>
      <c r="O161" s="4"/>
      <c r="P161" s="4"/>
      <c r="Q161" s="4"/>
      <c r="R161" s="4"/>
      <c r="S161" s="4"/>
      <c r="T161" s="4"/>
      <c r="U161" s="4"/>
      <c r="V161" s="4"/>
      <c r="W161" s="4"/>
      <c r="X161" s="4"/>
      <c r="Y161" s="4"/>
      <c r="Z161" s="45"/>
      <c r="AA161" s="45"/>
      <c r="AB161" s="4"/>
    </row>
    <row r="162" spans="1:28" ht="30">
      <c r="A162" s="126" t="s">
        <v>990</v>
      </c>
      <c r="B162" s="121"/>
      <c r="C162" s="121"/>
      <c r="D162" s="121"/>
      <c r="E162" s="132"/>
      <c r="F162" s="116" t="s">
        <v>863</v>
      </c>
      <c r="G162" s="116" t="s">
        <v>996</v>
      </c>
      <c r="H162" s="116" t="s">
        <v>997</v>
      </c>
      <c r="I162" s="116"/>
      <c r="J162" s="127"/>
      <c r="K162" s="4"/>
      <c r="L162" s="4"/>
      <c r="M162" s="128"/>
      <c r="N162" s="4"/>
      <c r="O162" s="4"/>
      <c r="P162" s="4"/>
      <c r="Q162" s="4"/>
      <c r="R162" s="4"/>
      <c r="S162" s="4"/>
      <c r="T162" s="4"/>
      <c r="U162" s="4"/>
      <c r="V162" s="4"/>
      <c r="W162" s="4"/>
      <c r="X162" s="4"/>
      <c r="Y162" s="4"/>
      <c r="Z162" s="45"/>
      <c r="AA162" s="45"/>
      <c r="AB162" s="4"/>
    </row>
    <row r="163" spans="1:28" ht="60">
      <c r="A163" s="126" t="s">
        <v>998</v>
      </c>
      <c r="B163" s="116" t="s">
        <v>57</v>
      </c>
      <c r="C163" s="116" t="s">
        <v>999</v>
      </c>
      <c r="D163" s="116" t="s">
        <v>1000</v>
      </c>
      <c r="E163" s="116"/>
      <c r="F163" s="116" t="s">
        <v>860</v>
      </c>
      <c r="G163" s="116" t="s">
        <v>404</v>
      </c>
      <c r="H163" s="116" t="s">
        <v>405</v>
      </c>
      <c r="I163" s="116"/>
      <c r="J163" s="127"/>
      <c r="K163" s="4"/>
      <c r="L163" s="4"/>
      <c r="M163" s="128"/>
      <c r="N163" s="4"/>
      <c r="O163" s="4"/>
      <c r="P163" s="4"/>
      <c r="Q163" s="4"/>
      <c r="R163" s="4"/>
      <c r="S163" s="4"/>
      <c r="T163" s="175"/>
      <c r="U163" s="4"/>
      <c r="V163" s="4"/>
      <c r="W163" s="4"/>
      <c r="X163" s="4"/>
      <c r="Y163" s="4"/>
      <c r="Z163" s="45" t="s">
        <v>246</v>
      </c>
      <c r="AA163" s="173"/>
      <c r="AB163" s="4"/>
    </row>
    <row r="164" spans="1:28" ht="135">
      <c r="A164" s="126" t="s">
        <v>1001</v>
      </c>
      <c r="B164" s="115" t="s">
        <v>1002</v>
      </c>
      <c r="C164" s="115" t="s">
        <v>1003</v>
      </c>
      <c r="D164" s="116" t="s">
        <v>1004</v>
      </c>
      <c r="E164" s="116"/>
      <c r="F164" s="116" t="s">
        <v>860</v>
      </c>
      <c r="G164" s="116" t="s">
        <v>640</v>
      </c>
      <c r="H164" s="116" t="s">
        <v>641</v>
      </c>
      <c r="I164" s="116"/>
      <c r="J164" s="127"/>
      <c r="K164" s="4"/>
      <c r="L164" s="4"/>
      <c r="M164" s="128"/>
      <c r="N164" s="4"/>
      <c r="O164" s="4"/>
      <c r="P164" s="4"/>
      <c r="Q164" s="4"/>
      <c r="R164" s="4"/>
      <c r="S164" s="4"/>
      <c r="T164" s="4"/>
      <c r="U164" s="4"/>
      <c r="V164" s="4"/>
      <c r="W164" s="4"/>
      <c r="X164" s="4"/>
      <c r="Y164" s="4"/>
      <c r="Z164" s="45"/>
      <c r="AA164" s="45"/>
      <c r="AB164" s="4"/>
    </row>
    <row r="165" spans="1:28" ht="409.6">
      <c r="A165" s="126" t="s">
        <v>1001</v>
      </c>
      <c r="B165" s="118"/>
      <c r="C165" s="118"/>
      <c r="D165" s="116"/>
      <c r="E165" s="116"/>
      <c r="F165" s="116" t="s">
        <v>863</v>
      </c>
      <c r="G165" s="116" t="s">
        <v>646</v>
      </c>
      <c r="H165" s="116" t="s">
        <v>647</v>
      </c>
      <c r="I165" s="116"/>
      <c r="J165" s="127"/>
      <c r="K165" s="4"/>
      <c r="L165" s="4"/>
      <c r="M165" s="128"/>
      <c r="N165" s="4"/>
      <c r="O165" s="4"/>
      <c r="P165" s="4"/>
      <c r="Q165" s="4"/>
      <c r="R165" s="4"/>
      <c r="S165" s="4"/>
      <c r="T165" s="4"/>
      <c r="U165" s="4"/>
      <c r="V165" s="4"/>
      <c r="W165" s="4"/>
      <c r="X165" s="4"/>
      <c r="Y165" s="4"/>
      <c r="Z165" s="45"/>
      <c r="AA165" s="45"/>
      <c r="AB165" s="4"/>
    </row>
    <row r="166" spans="1:28" ht="105">
      <c r="A166" s="126" t="s">
        <v>1005</v>
      </c>
      <c r="B166" s="116" t="s">
        <v>58</v>
      </c>
      <c r="C166" s="116" t="s">
        <v>1006</v>
      </c>
      <c r="D166" s="116" t="s">
        <v>1007</v>
      </c>
      <c r="E166" s="116"/>
      <c r="F166" s="116" t="s">
        <v>860</v>
      </c>
      <c r="G166" s="116" t="s">
        <v>1008</v>
      </c>
      <c r="H166" s="116" t="s">
        <v>1009</v>
      </c>
      <c r="I166" s="116"/>
      <c r="J166" s="127"/>
      <c r="K166" s="4"/>
      <c r="L166" s="4"/>
      <c r="M166" s="128"/>
      <c r="N166" s="4"/>
      <c r="O166" s="4"/>
      <c r="P166" s="4"/>
      <c r="Q166" s="4"/>
      <c r="R166" s="4"/>
      <c r="S166" s="4"/>
      <c r="T166" s="175"/>
      <c r="U166" s="4"/>
      <c r="V166" s="4"/>
      <c r="W166" s="4"/>
      <c r="X166" s="4"/>
      <c r="Y166" s="4"/>
      <c r="Z166" s="45" t="s">
        <v>1010</v>
      </c>
      <c r="AA166" s="173"/>
      <c r="AB166" s="4"/>
    </row>
    <row r="167" spans="1:28" ht="45">
      <c r="A167" s="126" t="s">
        <v>1011</v>
      </c>
      <c r="B167" s="119" t="s">
        <v>1012</v>
      </c>
      <c r="C167" s="119" t="s">
        <v>1013</v>
      </c>
      <c r="D167" s="119" t="s">
        <v>1014</v>
      </c>
      <c r="E167" s="123"/>
      <c r="F167" s="116" t="s">
        <v>860</v>
      </c>
      <c r="G167" s="116" t="s">
        <v>1015</v>
      </c>
      <c r="H167" s="116" t="s">
        <v>1016</v>
      </c>
      <c r="I167" s="116"/>
      <c r="J167" s="127"/>
      <c r="K167" s="4"/>
      <c r="L167" s="4"/>
      <c r="M167" s="128"/>
      <c r="N167" s="4"/>
      <c r="O167" s="4"/>
      <c r="P167" s="4"/>
      <c r="Q167" s="4"/>
      <c r="R167" s="4"/>
      <c r="S167" s="4"/>
      <c r="T167" s="4"/>
      <c r="U167" s="4"/>
      <c r="V167" s="4"/>
      <c r="W167" s="4"/>
      <c r="X167" s="4"/>
      <c r="Y167" s="4"/>
      <c r="Z167" s="45"/>
      <c r="AA167" s="45"/>
      <c r="AB167" s="4"/>
    </row>
    <row r="168" spans="1:28" ht="45">
      <c r="A168" s="126" t="s">
        <v>1011</v>
      </c>
      <c r="B168" s="121"/>
      <c r="C168" s="121"/>
      <c r="D168" s="121"/>
      <c r="E168" s="132"/>
      <c r="F168" s="116" t="s">
        <v>863</v>
      </c>
      <c r="G168" s="116" t="s">
        <v>1017</v>
      </c>
      <c r="H168" s="116" t="s">
        <v>1018</v>
      </c>
      <c r="I168" s="116"/>
      <c r="J168" s="127"/>
      <c r="K168" s="4"/>
      <c r="L168" s="4"/>
      <c r="M168" s="128"/>
      <c r="N168" s="4"/>
      <c r="O168" s="4"/>
      <c r="P168" s="4"/>
      <c r="Q168" s="4"/>
      <c r="R168" s="4"/>
      <c r="S168" s="4"/>
      <c r="T168" s="4"/>
      <c r="U168" s="4"/>
      <c r="V168" s="4"/>
      <c r="W168" s="4"/>
      <c r="X168" s="4"/>
      <c r="Y168" s="4"/>
      <c r="Z168" s="45"/>
      <c r="AA168" s="45"/>
      <c r="AB168" s="4"/>
    </row>
    <row r="169" spans="1:28" ht="60">
      <c r="A169" s="126" t="s">
        <v>1019</v>
      </c>
      <c r="B169" s="119" t="s">
        <v>1020</v>
      </c>
      <c r="C169" s="119" t="s">
        <v>1021</v>
      </c>
      <c r="D169" s="119" t="s">
        <v>1022</v>
      </c>
      <c r="E169" s="123"/>
      <c r="F169" s="116" t="s">
        <v>860</v>
      </c>
      <c r="G169" s="116" t="s">
        <v>257</v>
      </c>
      <c r="H169" s="116" t="s">
        <v>258</v>
      </c>
      <c r="I169" s="116"/>
      <c r="J169" s="127"/>
      <c r="K169" s="4"/>
      <c r="L169" s="4"/>
      <c r="M169" s="128"/>
      <c r="N169" s="4"/>
      <c r="O169" s="4"/>
      <c r="P169" s="4"/>
      <c r="Q169" s="4"/>
      <c r="R169" s="4"/>
      <c r="S169" s="4"/>
      <c r="T169" s="4"/>
      <c r="U169" s="4"/>
      <c r="V169" s="4"/>
      <c r="W169" s="4"/>
      <c r="X169" s="4"/>
      <c r="Y169" s="4"/>
      <c r="Z169" s="45"/>
      <c r="AA169" s="45"/>
      <c r="AB169" s="4"/>
    </row>
    <row r="170" spans="1:28" ht="135">
      <c r="A170" s="126" t="s">
        <v>1019</v>
      </c>
      <c r="B170" s="121"/>
      <c r="C170" s="121"/>
      <c r="D170" s="121"/>
      <c r="E170" s="132"/>
      <c r="F170" s="116" t="s">
        <v>863</v>
      </c>
      <c r="G170" s="116" t="s">
        <v>253</v>
      </c>
      <c r="H170" s="116" t="s">
        <v>254</v>
      </c>
      <c r="I170" s="116"/>
      <c r="J170" s="127"/>
      <c r="K170" s="4"/>
      <c r="L170" s="4"/>
      <c r="M170" s="128"/>
      <c r="N170" s="4"/>
      <c r="O170" s="4"/>
      <c r="P170" s="4"/>
      <c r="Q170" s="4"/>
      <c r="R170" s="4"/>
      <c r="S170" s="4"/>
      <c r="T170" s="4"/>
      <c r="U170" s="4"/>
      <c r="V170" s="4"/>
      <c r="W170" s="4"/>
      <c r="X170" s="4"/>
      <c r="Y170" s="4"/>
      <c r="Z170" s="45"/>
      <c r="AA170" s="45"/>
      <c r="AB170" s="4"/>
    </row>
    <row r="171" spans="1:28" ht="150">
      <c r="A171" s="126" t="s">
        <v>1023</v>
      </c>
      <c r="B171" s="116" t="s">
        <v>1024</v>
      </c>
      <c r="C171" s="116" t="s">
        <v>604</v>
      </c>
      <c r="D171" s="116" t="s">
        <v>603</v>
      </c>
      <c r="E171" s="116"/>
      <c r="F171" s="116" t="s">
        <v>860</v>
      </c>
      <c r="G171" s="116" t="s">
        <v>603</v>
      </c>
      <c r="H171" s="116" t="s">
        <v>604</v>
      </c>
      <c r="I171" s="116"/>
      <c r="J171" s="127"/>
      <c r="K171" s="4"/>
      <c r="L171" s="4"/>
      <c r="M171" s="128"/>
      <c r="N171" s="4"/>
      <c r="O171" s="4"/>
      <c r="P171" s="4"/>
      <c r="Q171" s="4"/>
      <c r="R171" s="4"/>
      <c r="S171" s="4"/>
      <c r="T171" s="4">
        <v>1</v>
      </c>
      <c r="U171" s="4"/>
      <c r="V171" s="4"/>
      <c r="W171" s="4"/>
      <c r="X171" s="4"/>
      <c r="Y171" s="4"/>
      <c r="Z171" s="45"/>
      <c r="AA171" s="45"/>
      <c r="AB171" s="4"/>
    </row>
    <row r="172" spans="1:28" ht="90">
      <c r="A172" s="126" t="s">
        <v>1025</v>
      </c>
      <c r="B172" s="115" t="s">
        <v>1026</v>
      </c>
      <c r="C172" s="115" t="s">
        <v>776</v>
      </c>
      <c r="D172" s="116" t="s">
        <v>1027</v>
      </c>
      <c r="E172" s="116"/>
      <c r="F172" s="116" t="s">
        <v>860</v>
      </c>
      <c r="G172" s="116" t="s">
        <v>772</v>
      </c>
      <c r="H172" s="116" t="s">
        <v>668</v>
      </c>
      <c r="I172" s="116"/>
      <c r="J172" s="127"/>
      <c r="K172" s="4"/>
      <c r="L172" s="4"/>
      <c r="M172" s="128"/>
      <c r="N172" s="4"/>
      <c r="O172" s="4"/>
      <c r="P172" s="4"/>
      <c r="Q172" s="4"/>
      <c r="R172" s="4"/>
      <c r="S172" s="4"/>
      <c r="T172" s="4"/>
      <c r="U172" s="4"/>
      <c r="V172" s="4"/>
      <c r="W172" s="4"/>
      <c r="X172" s="4"/>
      <c r="Y172" s="4"/>
      <c r="Z172" s="45"/>
      <c r="AA172" s="45"/>
      <c r="AB172" s="4"/>
    </row>
    <row r="173" spans="1:28" ht="45">
      <c r="A173" s="126" t="s">
        <v>1025</v>
      </c>
      <c r="B173" s="118"/>
      <c r="C173" s="118"/>
      <c r="D173" s="116"/>
      <c r="E173" s="116"/>
      <c r="F173" s="116" t="s">
        <v>863</v>
      </c>
      <c r="G173" s="116" t="s">
        <v>630</v>
      </c>
      <c r="H173" s="116" t="s">
        <v>631</v>
      </c>
      <c r="I173" s="116"/>
      <c r="J173" s="127"/>
      <c r="K173" s="4"/>
      <c r="L173" s="4"/>
      <c r="M173" s="128"/>
      <c r="N173" s="4"/>
      <c r="O173" s="4"/>
      <c r="P173" s="4"/>
      <c r="Q173" s="4"/>
      <c r="R173" s="4"/>
      <c r="S173" s="4"/>
      <c r="T173" s="4"/>
      <c r="U173" s="4"/>
      <c r="V173" s="4"/>
      <c r="W173" s="4"/>
      <c r="X173" s="4"/>
      <c r="Y173" s="4"/>
      <c r="Z173" s="45"/>
      <c r="AA173" s="45"/>
      <c r="AB173" s="4"/>
    </row>
    <row r="174" spans="1:28" ht="45">
      <c r="A174" s="126" t="s">
        <v>1028</v>
      </c>
      <c r="B174" s="119" t="s">
        <v>1029</v>
      </c>
      <c r="C174" s="119" t="s">
        <v>1030</v>
      </c>
      <c r="D174" s="119" t="s">
        <v>1031</v>
      </c>
      <c r="E174" s="123"/>
      <c r="F174" s="116" t="s">
        <v>860</v>
      </c>
      <c r="G174" s="116" t="s">
        <v>663</v>
      </c>
      <c r="H174" s="116" t="s">
        <v>631</v>
      </c>
      <c r="I174" s="116"/>
      <c r="J174" s="127"/>
      <c r="K174" s="4"/>
      <c r="L174" s="4"/>
      <c r="M174" s="128"/>
      <c r="N174" s="4"/>
      <c r="O174" s="4"/>
      <c r="P174" s="4"/>
      <c r="Q174" s="4"/>
      <c r="R174" s="4"/>
      <c r="S174" s="4"/>
      <c r="T174" s="4"/>
      <c r="U174" s="4"/>
      <c r="V174" s="4"/>
      <c r="W174" s="4"/>
      <c r="X174" s="4"/>
      <c r="Y174" s="4"/>
      <c r="Z174" s="45"/>
      <c r="AA174" s="45"/>
      <c r="AB174" s="4"/>
    </row>
    <row r="175" spans="1:28" ht="75">
      <c r="A175" s="126" t="s">
        <v>1028</v>
      </c>
      <c r="B175" s="121"/>
      <c r="C175" s="121"/>
      <c r="D175" s="121"/>
      <c r="E175" s="132"/>
      <c r="F175" s="116" t="s">
        <v>863</v>
      </c>
      <c r="G175" s="116" t="s">
        <v>667</v>
      </c>
      <c r="H175" s="116" t="s">
        <v>668</v>
      </c>
      <c r="I175" s="116"/>
      <c r="J175" s="127"/>
      <c r="K175" s="4"/>
      <c r="L175" s="4"/>
      <c r="M175" s="128"/>
      <c r="N175" s="4"/>
      <c r="O175" s="4"/>
      <c r="P175" s="4"/>
      <c r="Q175" s="4"/>
      <c r="R175" s="4"/>
      <c r="S175" s="4"/>
      <c r="T175" s="4"/>
      <c r="U175" s="4"/>
      <c r="V175" s="4"/>
      <c r="W175" s="4"/>
      <c r="X175" s="4"/>
      <c r="Y175" s="4"/>
      <c r="Z175" s="45"/>
      <c r="AA175" s="45"/>
      <c r="AB175" s="4"/>
    </row>
    <row r="176" spans="1:28" ht="60">
      <c r="A176" s="126" t="s">
        <v>1032</v>
      </c>
      <c r="B176" s="119" t="s">
        <v>1033</v>
      </c>
      <c r="C176" s="119" t="s">
        <v>1021</v>
      </c>
      <c r="D176" s="119" t="s">
        <v>918</v>
      </c>
      <c r="E176" s="123"/>
      <c r="F176" s="116" t="s">
        <v>860</v>
      </c>
      <c r="G176" s="116" t="s">
        <v>257</v>
      </c>
      <c r="H176" s="116" t="s">
        <v>258</v>
      </c>
      <c r="I176" s="116"/>
      <c r="J176" s="127"/>
      <c r="K176" s="4"/>
      <c r="L176" s="4"/>
      <c r="M176" s="128"/>
      <c r="N176" s="4"/>
      <c r="O176" s="4"/>
      <c r="P176" s="4"/>
      <c r="Q176" s="4"/>
      <c r="R176" s="4"/>
      <c r="S176" s="4"/>
      <c r="T176" s="4"/>
      <c r="U176" s="4"/>
      <c r="V176" s="4"/>
      <c r="W176" s="4"/>
      <c r="X176" s="4"/>
      <c r="Y176" s="4"/>
      <c r="Z176" s="45"/>
      <c r="AA176" s="45"/>
      <c r="AB176" s="4"/>
    </row>
    <row r="177" spans="1:28" ht="135">
      <c r="A177" s="126" t="s">
        <v>1032</v>
      </c>
      <c r="B177" s="121"/>
      <c r="C177" s="121"/>
      <c r="D177" s="121"/>
      <c r="E177" s="132"/>
      <c r="F177" s="116" t="s">
        <v>863</v>
      </c>
      <c r="G177" s="116" t="s">
        <v>253</v>
      </c>
      <c r="H177" s="116" t="s">
        <v>254</v>
      </c>
      <c r="I177" s="116"/>
      <c r="J177" s="127"/>
      <c r="K177" s="4"/>
      <c r="L177" s="4"/>
      <c r="M177" s="128"/>
      <c r="N177" s="4"/>
      <c r="O177" s="4"/>
      <c r="P177" s="4"/>
      <c r="Q177" s="4"/>
      <c r="R177" s="4"/>
      <c r="S177" s="4"/>
      <c r="T177" s="4"/>
      <c r="U177" s="4"/>
      <c r="V177" s="4"/>
      <c r="W177" s="4"/>
      <c r="X177" s="4"/>
      <c r="Y177" s="4"/>
      <c r="Z177" s="45"/>
      <c r="AA177" s="45"/>
      <c r="AB177" s="4"/>
    </row>
    <row r="178" spans="1:28" ht="45">
      <c r="A178" s="126" t="s">
        <v>1034</v>
      </c>
      <c r="B178" s="119" t="s">
        <v>1035</v>
      </c>
      <c r="C178" s="119" t="s">
        <v>626</v>
      </c>
      <c r="D178" s="119" t="s">
        <v>1036</v>
      </c>
      <c r="E178" s="123"/>
      <c r="F178" s="116" t="s">
        <v>860</v>
      </c>
      <c r="G178" s="116" t="s">
        <v>663</v>
      </c>
      <c r="H178" s="116" t="s">
        <v>631</v>
      </c>
      <c r="I178" s="116"/>
      <c r="J178" s="127"/>
      <c r="K178" s="4"/>
      <c r="L178" s="4"/>
      <c r="M178" s="128"/>
      <c r="N178" s="4"/>
      <c r="O178" s="4"/>
      <c r="P178" s="4"/>
      <c r="Q178" s="4"/>
      <c r="R178" s="4"/>
      <c r="S178" s="4"/>
      <c r="T178" s="4"/>
      <c r="U178" s="4"/>
      <c r="V178" s="4"/>
      <c r="W178" s="4"/>
      <c r="X178" s="4"/>
      <c r="Y178" s="4"/>
      <c r="Z178" s="45"/>
      <c r="AA178" s="45"/>
      <c r="AB178" s="4"/>
    </row>
    <row r="179" spans="1:28" ht="75">
      <c r="A179" s="126" t="s">
        <v>1034</v>
      </c>
      <c r="B179" s="121"/>
      <c r="C179" s="121"/>
      <c r="D179" s="121"/>
      <c r="E179" s="132"/>
      <c r="F179" s="116" t="s">
        <v>863</v>
      </c>
      <c r="G179" s="116" t="s">
        <v>667</v>
      </c>
      <c r="H179" s="116" t="s">
        <v>668</v>
      </c>
      <c r="I179" s="116"/>
      <c r="J179" s="127"/>
      <c r="K179" s="4"/>
      <c r="L179" s="4"/>
      <c r="M179" s="128"/>
      <c r="N179" s="4"/>
      <c r="O179" s="4"/>
      <c r="P179" s="4"/>
      <c r="Q179" s="4"/>
      <c r="R179" s="4"/>
      <c r="S179" s="4"/>
      <c r="T179" s="4"/>
      <c r="U179" s="4"/>
      <c r="V179" s="4"/>
      <c r="W179" s="4"/>
      <c r="X179" s="4"/>
      <c r="Y179" s="4"/>
      <c r="Z179" s="45"/>
      <c r="AA179" s="45"/>
      <c r="AB179" s="4"/>
    </row>
    <row r="180" spans="1:28" ht="270">
      <c r="A180" s="126" t="s">
        <v>1037</v>
      </c>
      <c r="B180" s="119" t="s">
        <v>1038</v>
      </c>
      <c r="C180" s="119" t="s">
        <v>1039</v>
      </c>
      <c r="D180" s="119" t="s">
        <v>1040</v>
      </c>
      <c r="E180" s="123"/>
      <c r="F180" s="116" t="s">
        <v>860</v>
      </c>
      <c r="G180" s="116" t="s">
        <v>1041</v>
      </c>
      <c r="H180" s="116" t="s">
        <v>1039</v>
      </c>
      <c r="I180" s="116"/>
      <c r="J180" s="127"/>
      <c r="K180" s="4"/>
      <c r="L180" s="4"/>
      <c r="M180" s="128"/>
      <c r="N180" s="4"/>
      <c r="O180" s="4"/>
      <c r="P180" s="4"/>
      <c r="Q180" s="4"/>
      <c r="R180" s="4"/>
      <c r="S180" s="4"/>
      <c r="T180" s="4"/>
      <c r="U180" s="4"/>
      <c r="V180" s="4"/>
      <c r="W180" s="4"/>
      <c r="X180" s="4"/>
      <c r="Y180" s="4"/>
      <c r="Z180" s="45"/>
      <c r="AA180" s="45"/>
      <c r="AB180" s="4"/>
    </row>
    <row r="181" spans="1:28" ht="328">
      <c r="A181" s="126" t="s">
        <v>1037</v>
      </c>
      <c r="B181" s="120"/>
      <c r="C181" s="120"/>
      <c r="D181" s="120"/>
      <c r="E181" s="131"/>
      <c r="F181" s="116" t="s">
        <v>863</v>
      </c>
      <c r="G181" s="116" t="s">
        <v>1042</v>
      </c>
      <c r="H181" s="116" t="s">
        <v>1039</v>
      </c>
      <c r="I181" s="116"/>
      <c r="J181" s="127"/>
      <c r="K181" s="4"/>
      <c r="L181" s="4"/>
      <c r="M181" s="128"/>
      <c r="N181" s="4"/>
      <c r="O181" s="4"/>
      <c r="P181" s="4"/>
      <c r="Q181" s="4"/>
      <c r="R181" s="4"/>
      <c r="S181" s="4"/>
      <c r="T181" s="4"/>
      <c r="U181" s="4"/>
      <c r="V181" s="4"/>
      <c r="W181" s="4"/>
      <c r="X181" s="4"/>
      <c r="Y181" s="4"/>
      <c r="Z181" s="45"/>
      <c r="AA181" s="45"/>
      <c r="AB181" s="4"/>
    </row>
    <row r="182" spans="1:28" ht="285">
      <c r="A182" s="126" t="s">
        <v>1037</v>
      </c>
      <c r="B182" s="121"/>
      <c r="C182" s="121"/>
      <c r="D182" s="121"/>
      <c r="E182" s="132"/>
      <c r="F182" s="116" t="s">
        <v>865</v>
      </c>
      <c r="G182" s="116" t="s">
        <v>1043</v>
      </c>
      <c r="H182" s="116" t="s">
        <v>1039</v>
      </c>
      <c r="I182" s="116"/>
      <c r="J182" s="127"/>
      <c r="K182" s="4"/>
      <c r="L182" s="4"/>
      <c r="M182" s="128"/>
      <c r="N182" s="4"/>
      <c r="O182" s="4"/>
      <c r="P182" s="4"/>
      <c r="Q182" s="4"/>
      <c r="R182" s="4"/>
      <c r="S182" s="4"/>
      <c r="T182" s="4"/>
      <c r="U182" s="4"/>
      <c r="V182" s="4"/>
      <c r="W182" s="4"/>
      <c r="X182" s="4"/>
      <c r="Y182" s="4"/>
      <c r="Z182" s="45"/>
      <c r="AA182" s="45"/>
      <c r="AB182" s="4"/>
    </row>
    <row r="183" spans="1:28" ht="60">
      <c r="A183" s="168" t="s">
        <v>1044</v>
      </c>
      <c r="B183" s="119" t="s">
        <v>1045</v>
      </c>
      <c r="C183" s="119" t="s">
        <v>1046</v>
      </c>
      <c r="D183" s="119" t="s">
        <v>1047</v>
      </c>
      <c r="E183" s="123"/>
      <c r="F183" s="116" t="s">
        <v>860</v>
      </c>
      <c r="G183" s="116" t="s">
        <v>603</v>
      </c>
      <c r="H183" s="116" t="s">
        <v>604</v>
      </c>
      <c r="I183" s="116"/>
      <c r="J183" s="127"/>
      <c r="K183" s="4"/>
      <c r="L183" s="4"/>
      <c r="M183" s="128"/>
      <c r="N183" s="4"/>
      <c r="O183" s="4"/>
      <c r="P183" s="4"/>
      <c r="Q183" s="4"/>
      <c r="R183" s="4"/>
      <c r="S183" s="4"/>
      <c r="T183" s="106">
        <v>0.75</v>
      </c>
      <c r="U183" s="4" t="s">
        <v>1048</v>
      </c>
      <c r="V183" s="4"/>
      <c r="W183" s="4"/>
      <c r="X183" s="4"/>
      <c r="Y183" s="4"/>
      <c r="Z183" s="45"/>
      <c r="AA183" s="45"/>
      <c r="AB183" s="4"/>
    </row>
    <row r="184" spans="1:28" ht="90">
      <c r="A184" s="168"/>
      <c r="B184" s="121"/>
      <c r="C184" s="121"/>
      <c r="D184" s="121"/>
      <c r="E184" s="132"/>
      <c r="F184" s="116" t="s">
        <v>863</v>
      </c>
      <c r="G184" s="116" t="s">
        <v>441</v>
      </c>
      <c r="H184" s="116" t="s">
        <v>442</v>
      </c>
      <c r="I184" s="116"/>
      <c r="J184" s="127"/>
      <c r="K184" s="4"/>
      <c r="L184" s="4"/>
      <c r="M184" s="128"/>
      <c r="N184" s="4"/>
      <c r="O184" s="4"/>
      <c r="P184" s="4"/>
      <c r="Q184" s="4"/>
      <c r="R184" s="4"/>
      <c r="S184" s="4"/>
      <c r="T184" s="106"/>
      <c r="U184" s="4"/>
      <c r="V184" s="4"/>
      <c r="W184" s="4"/>
      <c r="X184" s="4"/>
      <c r="Y184" s="4"/>
      <c r="Z184" s="45"/>
      <c r="AA184" s="45"/>
      <c r="AB184" s="4"/>
    </row>
    <row r="185" spans="1:28" ht="45">
      <c r="A185" s="168" t="s">
        <v>1049</v>
      </c>
      <c r="B185" s="115" t="s">
        <v>1050</v>
      </c>
      <c r="C185" s="115" t="s">
        <v>1030</v>
      </c>
      <c r="D185" s="119" t="s">
        <v>1031</v>
      </c>
      <c r="E185" s="123"/>
      <c r="F185" s="116" t="s">
        <v>860</v>
      </c>
      <c r="G185" s="116" t="s">
        <v>663</v>
      </c>
      <c r="H185" s="116" t="s">
        <v>631</v>
      </c>
      <c r="I185" s="116"/>
      <c r="J185" s="127"/>
      <c r="K185" s="4"/>
      <c r="L185" s="4"/>
      <c r="M185" s="128"/>
      <c r="N185" s="4"/>
      <c r="O185" s="4"/>
      <c r="P185" s="4"/>
      <c r="Q185" s="4"/>
      <c r="R185" s="4"/>
      <c r="S185" s="4"/>
      <c r="T185" s="4"/>
      <c r="U185" s="4"/>
      <c r="V185" s="4"/>
      <c r="W185" s="4"/>
      <c r="X185" s="4"/>
      <c r="Y185" s="4"/>
      <c r="Z185" s="45"/>
      <c r="AA185" s="45"/>
      <c r="AB185" s="4"/>
    </row>
    <row r="186" spans="1:28" ht="75">
      <c r="A186" s="168"/>
      <c r="B186" s="118"/>
      <c r="C186" s="118"/>
      <c r="D186" s="121"/>
      <c r="E186" s="132"/>
      <c r="F186" s="116" t="s">
        <v>863</v>
      </c>
      <c r="G186" s="116" t="s">
        <v>667</v>
      </c>
      <c r="H186" s="116" t="s">
        <v>668</v>
      </c>
      <c r="I186" s="116"/>
      <c r="J186" s="127"/>
      <c r="K186" s="4"/>
      <c r="L186" s="4"/>
      <c r="M186" s="128"/>
      <c r="N186" s="4"/>
      <c r="O186" s="4"/>
      <c r="P186" s="4"/>
      <c r="Q186" s="4"/>
      <c r="R186" s="4"/>
      <c r="S186" s="4"/>
      <c r="T186" s="4"/>
      <c r="U186" s="4"/>
      <c r="V186" s="4"/>
      <c r="W186" s="4"/>
      <c r="X186" s="4"/>
      <c r="Y186" s="4"/>
      <c r="Z186" s="45"/>
      <c r="AA186" s="45"/>
      <c r="AB186" s="4"/>
    </row>
    <row r="187" spans="1:28" ht="60">
      <c r="A187" s="168" t="s">
        <v>1051</v>
      </c>
      <c r="B187" s="115" t="s">
        <v>1052</v>
      </c>
      <c r="C187" s="119" t="s">
        <v>1053</v>
      </c>
      <c r="D187" s="119" t="s">
        <v>1054</v>
      </c>
      <c r="E187" s="123"/>
      <c r="F187" s="116" t="s">
        <v>860</v>
      </c>
      <c r="G187" s="116" t="s">
        <v>1055</v>
      </c>
      <c r="H187" s="116" t="s">
        <v>1056</v>
      </c>
      <c r="I187" s="116"/>
      <c r="J187" s="127"/>
      <c r="K187" s="4"/>
      <c r="L187" s="4"/>
      <c r="M187" s="128"/>
      <c r="N187" s="4"/>
      <c r="O187" s="4"/>
      <c r="P187" s="4"/>
      <c r="Q187" s="4"/>
      <c r="R187" s="4"/>
      <c r="S187" s="4"/>
      <c r="T187" s="4"/>
      <c r="U187" s="4"/>
      <c r="V187" s="4"/>
      <c r="W187" s="4"/>
      <c r="X187" s="4"/>
      <c r="Y187" s="4"/>
      <c r="Z187" s="45"/>
      <c r="AA187" s="45"/>
      <c r="AB187" s="4"/>
    </row>
    <row r="188" spans="1:28" ht="75">
      <c r="A188" s="168"/>
      <c r="B188" s="118"/>
      <c r="C188" s="121"/>
      <c r="D188" s="121"/>
      <c r="E188" s="132"/>
      <c r="F188" s="116" t="s">
        <v>863</v>
      </c>
      <c r="G188" s="116" t="s">
        <v>1057</v>
      </c>
      <c r="H188" s="116" t="s">
        <v>1058</v>
      </c>
      <c r="I188" s="116"/>
      <c r="J188" s="127"/>
      <c r="K188" s="4"/>
      <c r="L188" s="4"/>
      <c r="M188" s="128"/>
      <c r="N188" s="4"/>
      <c r="O188" s="4"/>
      <c r="P188" s="4"/>
      <c r="Q188" s="4"/>
      <c r="R188" s="4"/>
      <c r="S188" s="4"/>
      <c r="T188" s="4"/>
      <c r="U188" s="4"/>
      <c r="V188" s="4"/>
      <c r="W188" s="4"/>
      <c r="X188" s="4"/>
      <c r="Y188" s="4"/>
      <c r="Z188" s="45"/>
      <c r="AA188" s="45"/>
      <c r="AB188" s="4"/>
    </row>
    <row r="189" spans="1:28" ht="90">
      <c r="A189" s="168" t="s">
        <v>1059</v>
      </c>
      <c r="B189" s="119" t="s">
        <v>1060</v>
      </c>
      <c r="C189" s="119" t="s">
        <v>770</v>
      </c>
      <c r="D189" s="119" t="s">
        <v>771</v>
      </c>
      <c r="E189" s="123"/>
      <c r="F189" s="116" t="s">
        <v>860</v>
      </c>
      <c r="G189" s="116" t="s">
        <v>772</v>
      </c>
      <c r="H189" s="116" t="s">
        <v>668</v>
      </c>
      <c r="I189" s="116"/>
      <c r="J189" s="127"/>
      <c r="K189" s="4"/>
      <c r="L189" s="4"/>
      <c r="M189" s="128"/>
      <c r="N189" s="4"/>
      <c r="O189" s="4"/>
      <c r="P189" s="4"/>
      <c r="Q189" s="4"/>
      <c r="R189" s="4"/>
      <c r="S189" s="4"/>
      <c r="T189" s="4"/>
      <c r="U189" s="4"/>
      <c r="V189" s="4"/>
      <c r="W189" s="4"/>
      <c r="X189" s="4"/>
      <c r="Y189" s="4"/>
      <c r="Z189" s="45"/>
      <c r="AA189" s="45"/>
      <c r="AB189" s="4"/>
    </row>
    <row r="190" spans="1:28" ht="45">
      <c r="A190" s="168"/>
      <c r="B190" s="121"/>
      <c r="C190" s="121"/>
      <c r="D190" s="121"/>
      <c r="E190" s="132"/>
      <c r="F190" s="116" t="s">
        <v>863</v>
      </c>
      <c r="G190" s="116" t="s">
        <v>630</v>
      </c>
      <c r="H190" s="116" t="s">
        <v>631</v>
      </c>
      <c r="I190" s="116"/>
      <c r="J190" s="127"/>
      <c r="K190" s="4"/>
      <c r="L190" s="4"/>
      <c r="M190" s="128"/>
      <c r="N190" s="4"/>
      <c r="O190" s="4"/>
      <c r="P190" s="4"/>
      <c r="Q190" s="4"/>
      <c r="R190" s="4"/>
      <c r="S190" s="4"/>
      <c r="T190" s="4"/>
      <c r="U190" s="4"/>
      <c r="V190" s="4"/>
      <c r="W190" s="4"/>
      <c r="X190" s="4"/>
      <c r="Y190" s="4"/>
      <c r="Z190" s="45"/>
      <c r="AA190" s="45"/>
      <c r="AB190" s="4"/>
    </row>
    <row r="191" spans="1:28" ht="75">
      <c r="A191" s="126" t="s">
        <v>1061</v>
      </c>
      <c r="B191" s="116" t="s">
        <v>1062</v>
      </c>
      <c r="C191" s="116" t="s">
        <v>1063</v>
      </c>
      <c r="D191" s="116" t="s">
        <v>1064</v>
      </c>
      <c r="E191" s="116"/>
      <c r="F191" s="116" t="s">
        <v>860</v>
      </c>
      <c r="G191" s="116" t="s">
        <v>1065</v>
      </c>
      <c r="H191" s="116" t="s">
        <v>1066</v>
      </c>
      <c r="I191" s="116"/>
      <c r="J191" s="127"/>
      <c r="K191" s="4"/>
      <c r="L191" s="4"/>
      <c r="M191" s="128"/>
      <c r="N191" s="4"/>
      <c r="O191" s="4"/>
      <c r="P191" s="4"/>
      <c r="Q191" s="4"/>
      <c r="R191" s="4"/>
      <c r="S191" s="4"/>
      <c r="T191" s="4"/>
      <c r="U191" s="4"/>
      <c r="V191" s="4"/>
      <c r="W191" s="4"/>
      <c r="X191" s="4"/>
      <c r="Y191" s="4"/>
      <c r="Z191" s="45"/>
      <c r="AA191" s="45"/>
      <c r="AB191" s="4"/>
    </row>
    <row r="192" spans="1:28" ht="370">
      <c r="A192" s="168" t="s">
        <v>1067</v>
      </c>
      <c r="B192" s="115" t="s">
        <v>1068</v>
      </c>
      <c r="C192" s="119" t="s">
        <v>1069</v>
      </c>
      <c r="D192" s="119" t="s">
        <v>1070</v>
      </c>
      <c r="E192" s="123"/>
      <c r="F192" s="116" t="s">
        <v>860</v>
      </c>
      <c r="G192" s="116" t="s">
        <v>363</v>
      </c>
      <c r="H192" s="116" t="s">
        <v>364</v>
      </c>
      <c r="I192" s="116"/>
      <c r="J192" s="127"/>
      <c r="K192" s="4"/>
      <c r="L192" s="4"/>
      <c r="M192" s="128"/>
      <c r="N192" s="4"/>
      <c r="O192" s="4"/>
      <c r="P192" s="4"/>
      <c r="Q192" s="4"/>
      <c r="R192" s="4"/>
      <c r="S192" s="4"/>
      <c r="T192" s="4"/>
      <c r="U192" s="4"/>
      <c r="V192" s="4"/>
      <c r="W192" s="4"/>
      <c r="X192" s="4"/>
      <c r="Y192" s="4"/>
      <c r="Z192" s="45"/>
      <c r="AA192" s="45"/>
      <c r="AB192" s="4"/>
    </row>
    <row r="193" spans="1:28" ht="409.6">
      <c r="A193" s="168"/>
      <c r="B193" s="118"/>
      <c r="C193" s="121"/>
      <c r="D193" s="121"/>
      <c r="E193" s="132"/>
      <c r="F193" s="116" t="s">
        <v>863</v>
      </c>
      <c r="G193" s="116" t="s">
        <v>356</v>
      </c>
      <c r="H193" s="116" t="s">
        <v>357</v>
      </c>
      <c r="I193" s="116"/>
      <c r="J193" s="127"/>
      <c r="K193" s="4"/>
      <c r="L193" s="4"/>
      <c r="M193" s="128"/>
      <c r="N193" s="4"/>
      <c r="O193" s="4"/>
      <c r="P193" s="4"/>
      <c r="Q193" s="4"/>
      <c r="R193" s="4"/>
      <c r="S193" s="4"/>
      <c r="T193" s="4"/>
      <c r="U193" s="4"/>
      <c r="V193" s="4"/>
      <c r="W193" s="4"/>
      <c r="X193" s="4"/>
      <c r="Y193" s="4"/>
      <c r="Z193" s="45"/>
      <c r="AA193" s="45"/>
      <c r="AB193" s="4"/>
    </row>
    <row r="194" spans="1:28" ht="105">
      <c r="A194" s="168" t="s">
        <v>1071</v>
      </c>
      <c r="B194" s="119" t="s">
        <v>1072</v>
      </c>
      <c r="C194" s="119" t="s">
        <v>1073</v>
      </c>
      <c r="D194" s="119" t="s">
        <v>1074</v>
      </c>
      <c r="E194" s="123"/>
      <c r="F194" s="116" t="s">
        <v>860</v>
      </c>
      <c r="G194" s="116" t="s">
        <v>811</v>
      </c>
      <c r="H194" s="116" t="s">
        <v>812</v>
      </c>
      <c r="I194" s="116"/>
      <c r="J194" s="127"/>
      <c r="K194" s="4"/>
      <c r="L194" s="4"/>
      <c r="M194" s="128"/>
      <c r="N194" s="4"/>
      <c r="O194" s="4"/>
      <c r="P194" s="4"/>
      <c r="Q194" s="4"/>
      <c r="R194" s="4"/>
      <c r="S194" s="4"/>
      <c r="T194" s="4"/>
      <c r="U194" s="4"/>
      <c r="V194" s="4"/>
      <c r="W194" s="4"/>
      <c r="X194" s="4"/>
      <c r="Y194" s="4"/>
      <c r="Z194" s="45"/>
      <c r="AA194" s="45"/>
      <c r="AB194" s="4"/>
    </row>
    <row r="195" spans="1:28" ht="30">
      <c r="A195" s="168"/>
      <c r="B195" s="121"/>
      <c r="C195" s="121"/>
      <c r="D195" s="121"/>
      <c r="E195" s="132"/>
      <c r="F195" s="116" t="s">
        <v>863</v>
      </c>
      <c r="G195" s="116" t="s">
        <v>807</v>
      </c>
      <c r="H195" s="116" t="s">
        <v>808</v>
      </c>
      <c r="I195" s="116"/>
      <c r="J195" s="127"/>
      <c r="K195" s="4"/>
      <c r="L195" s="4"/>
      <c r="M195" s="128"/>
      <c r="N195" s="4"/>
      <c r="O195" s="4"/>
      <c r="P195" s="4"/>
      <c r="Q195" s="4"/>
      <c r="R195" s="4"/>
      <c r="S195" s="4"/>
      <c r="T195" s="4"/>
      <c r="U195" s="4"/>
      <c r="V195" s="4"/>
      <c r="W195" s="4"/>
      <c r="X195" s="4"/>
      <c r="Y195" s="4"/>
      <c r="Z195" s="45"/>
      <c r="AA195" s="45"/>
      <c r="AB195" s="4"/>
    </row>
    <row r="196" spans="1:28" ht="45">
      <c r="A196" s="168" t="s">
        <v>1075</v>
      </c>
      <c r="B196" s="115" t="s">
        <v>1076</v>
      </c>
      <c r="C196" s="115" t="s">
        <v>1077</v>
      </c>
      <c r="D196" s="115" t="s">
        <v>1078</v>
      </c>
      <c r="E196" s="116"/>
      <c r="F196" s="116" t="s">
        <v>860</v>
      </c>
      <c r="G196" s="116" t="s">
        <v>1079</v>
      </c>
      <c r="H196" s="116" t="s">
        <v>1080</v>
      </c>
      <c r="I196" s="116"/>
      <c r="J196" s="127"/>
      <c r="K196" s="4"/>
      <c r="L196" s="4"/>
      <c r="M196" s="128"/>
      <c r="N196" s="4"/>
      <c r="O196" s="4"/>
      <c r="P196" s="4"/>
      <c r="Q196" s="4"/>
      <c r="R196" s="4"/>
      <c r="S196" s="4"/>
      <c r="T196" s="106">
        <v>1</v>
      </c>
      <c r="U196" s="4"/>
      <c r="V196" s="4"/>
      <c r="W196" s="4"/>
      <c r="X196" s="4"/>
      <c r="Y196" s="4"/>
      <c r="Z196" s="45"/>
      <c r="AA196" s="45"/>
      <c r="AB196" s="4"/>
    </row>
    <row r="197" spans="1:28" ht="45">
      <c r="A197" s="168"/>
      <c r="B197" s="118"/>
      <c r="C197" s="118"/>
      <c r="D197" s="118"/>
      <c r="E197" s="116"/>
      <c r="F197" s="116" t="s">
        <v>863</v>
      </c>
      <c r="G197" s="116" t="s">
        <v>1081</v>
      </c>
      <c r="H197" s="116" t="s">
        <v>1080</v>
      </c>
      <c r="I197" s="116"/>
      <c r="J197" s="127"/>
      <c r="K197" s="4"/>
      <c r="L197" s="4"/>
      <c r="M197" s="128"/>
      <c r="N197" s="4"/>
      <c r="O197" s="4"/>
      <c r="P197" s="4"/>
      <c r="Q197" s="4"/>
      <c r="R197" s="4"/>
      <c r="S197" s="4"/>
      <c r="T197" s="106"/>
      <c r="U197" s="4"/>
      <c r="V197" s="4"/>
      <c r="W197" s="4"/>
      <c r="X197" s="4"/>
      <c r="Y197" s="4"/>
      <c r="Z197" s="45"/>
      <c r="AA197" s="45"/>
      <c r="AB197" s="4"/>
    </row>
    <row r="198" spans="1:28" ht="75">
      <c r="A198" s="126" t="s">
        <v>1082</v>
      </c>
      <c r="B198" s="115" t="s">
        <v>1083</v>
      </c>
      <c r="C198" s="115" t="s">
        <v>1084</v>
      </c>
      <c r="D198" s="115" t="s">
        <v>1085</v>
      </c>
      <c r="E198" s="116"/>
      <c r="F198" s="116" t="s">
        <v>860</v>
      </c>
      <c r="G198" s="116" t="s">
        <v>667</v>
      </c>
      <c r="H198" s="116" t="s">
        <v>668</v>
      </c>
      <c r="I198" s="116"/>
      <c r="J198" s="127"/>
      <c r="K198" s="4"/>
      <c r="L198" s="4"/>
      <c r="M198" s="128"/>
      <c r="N198" s="4"/>
      <c r="O198" s="4"/>
      <c r="P198" s="4"/>
      <c r="Q198" s="4"/>
      <c r="R198" s="4"/>
      <c r="S198" s="4"/>
      <c r="T198" s="4"/>
      <c r="U198" s="4"/>
      <c r="V198" s="4"/>
      <c r="W198" s="4"/>
      <c r="X198" s="4"/>
      <c r="Y198" s="4"/>
      <c r="Z198" s="45"/>
      <c r="AA198" s="45"/>
      <c r="AB198" s="4"/>
    </row>
    <row r="199" spans="1:28" ht="45">
      <c r="A199" s="126" t="s">
        <v>1082</v>
      </c>
      <c r="B199" s="118"/>
      <c r="C199" s="118"/>
      <c r="D199" s="118"/>
      <c r="E199" s="116"/>
      <c r="F199" s="116" t="s">
        <v>863</v>
      </c>
      <c r="G199" s="116" t="s">
        <v>663</v>
      </c>
      <c r="H199" s="116" t="s">
        <v>631</v>
      </c>
      <c r="I199" s="116"/>
      <c r="J199" s="127"/>
      <c r="K199" s="4"/>
      <c r="L199" s="4"/>
      <c r="M199" s="128"/>
      <c r="N199" s="4"/>
      <c r="O199" s="4"/>
      <c r="P199" s="4"/>
      <c r="Q199" s="4"/>
      <c r="R199" s="4"/>
      <c r="S199" s="4"/>
      <c r="T199" s="4"/>
      <c r="U199" s="4"/>
      <c r="V199" s="4"/>
      <c r="W199" s="4"/>
      <c r="X199" s="4"/>
      <c r="Y199" s="4"/>
      <c r="Z199" s="45"/>
      <c r="AA199" s="45"/>
      <c r="AB199" s="4"/>
    </row>
    <row r="200" spans="1:28" ht="90">
      <c r="A200" s="126" t="s">
        <v>1086</v>
      </c>
      <c r="B200" s="115" t="s">
        <v>1087</v>
      </c>
      <c r="C200" s="115" t="s">
        <v>1088</v>
      </c>
      <c r="D200" s="115" t="s">
        <v>1089</v>
      </c>
      <c r="E200" s="116"/>
      <c r="F200" s="116" t="s">
        <v>860</v>
      </c>
      <c r="G200" s="116" t="s">
        <v>772</v>
      </c>
      <c r="H200" s="116" t="s">
        <v>668</v>
      </c>
      <c r="I200" s="116"/>
      <c r="J200" s="127"/>
      <c r="K200" s="4"/>
      <c r="L200" s="4"/>
      <c r="M200" s="128"/>
      <c r="N200" s="4"/>
      <c r="O200" s="4"/>
      <c r="P200" s="4"/>
      <c r="Q200" s="4"/>
      <c r="R200" s="4"/>
      <c r="S200" s="4"/>
      <c r="T200" s="4"/>
      <c r="U200" s="4"/>
      <c r="V200" s="4"/>
      <c r="W200" s="4"/>
      <c r="X200" s="4"/>
      <c r="Y200" s="4"/>
      <c r="Z200" s="45"/>
      <c r="AA200" s="45"/>
      <c r="AB200" s="4"/>
    </row>
    <row r="201" spans="1:28" ht="45">
      <c r="A201" s="126" t="s">
        <v>1086</v>
      </c>
      <c r="B201" s="118"/>
      <c r="C201" s="118"/>
      <c r="D201" s="118"/>
      <c r="E201" s="116"/>
      <c r="F201" s="116" t="s">
        <v>863</v>
      </c>
      <c r="G201" s="116" t="s">
        <v>630</v>
      </c>
      <c r="H201" s="116" t="s">
        <v>631</v>
      </c>
      <c r="I201" s="116"/>
      <c r="J201" s="127"/>
      <c r="K201" s="4"/>
      <c r="L201" s="4"/>
      <c r="M201" s="128"/>
      <c r="N201" s="4"/>
      <c r="O201" s="4"/>
      <c r="P201" s="4"/>
      <c r="Q201" s="4"/>
      <c r="R201" s="4"/>
      <c r="S201" s="4"/>
      <c r="T201" s="4"/>
      <c r="U201" s="4"/>
      <c r="V201" s="4"/>
      <c r="W201" s="4"/>
      <c r="X201" s="4"/>
      <c r="Y201" s="4"/>
      <c r="Z201" s="45"/>
      <c r="AA201" s="45"/>
      <c r="AB201" s="4"/>
    </row>
    <row r="202" spans="1:28" ht="45">
      <c r="A202" s="126" t="s">
        <v>1090</v>
      </c>
      <c r="B202" s="115" t="s">
        <v>1091</v>
      </c>
      <c r="C202" s="115" t="s">
        <v>1092</v>
      </c>
      <c r="D202" s="115" t="s">
        <v>1093</v>
      </c>
      <c r="E202" s="116"/>
      <c r="F202" s="116" t="s">
        <v>860</v>
      </c>
      <c r="G202" s="116" t="s">
        <v>1094</v>
      </c>
      <c r="H202" s="116" t="s">
        <v>1095</v>
      </c>
      <c r="I202" s="116"/>
      <c r="J202" s="127"/>
      <c r="K202" s="4"/>
      <c r="L202" s="4"/>
      <c r="M202" s="128"/>
      <c r="N202" s="4"/>
      <c r="O202" s="4"/>
      <c r="P202" s="4"/>
      <c r="Q202" s="4"/>
      <c r="R202" s="4"/>
      <c r="S202" s="4"/>
      <c r="T202" s="106">
        <v>1</v>
      </c>
      <c r="U202" s="4"/>
      <c r="V202" s="4"/>
      <c r="W202" s="4"/>
      <c r="X202" s="4"/>
      <c r="Y202" s="4"/>
      <c r="Z202" s="45"/>
      <c r="AA202" s="45"/>
      <c r="AB202" s="4"/>
    </row>
    <row r="203" spans="1:28" ht="30">
      <c r="A203" s="126" t="s">
        <v>1090</v>
      </c>
      <c r="B203" s="118"/>
      <c r="C203" s="118"/>
      <c r="D203" s="118"/>
      <c r="E203" s="116"/>
      <c r="F203" s="116" t="s">
        <v>863</v>
      </c>
      <c r="G203" s="116" t="s">
        <v>1096</v>
      </c>
      <c r="H203" s="116" t="s">
        <v>1097</v>
      </c>
      <c r="I203" s="116"/>
      <c r="J203" s="127"/>
      <c r="K203" s="4"/>
      <c r="L203" s="4"/>
      <c r="M203" s="128"/>
      <c r="N203" s="4"/>
      <c r="O203" s="4"/>
      <c r="P203" s="4"/>
      <c r="Q203" s="4"/>
      <c r="R203" s="4"/>
      <c r="S203" s="4"/>
      <c r="T203" s="106"/>
      <c r="U203" s="4"/>
      <c r="V203" s="4"/>
      <c r="W203" s="4"/>
      <c r="X203" s="4"/>
      <c r="Y203" s="4"/>
      <c r="Z203" s="45"/>
      <c r="AA203" s="45"/>
      <c r="AB203" s="4"/>
    </row>
    <row r="204" spans="1:28" ht="45">
      <c r="A204" s="126" t="s">
        <v>1098</v>
      </c>
      <c r="B204" s="115" t="s">
        <v>1099</v>
      </c>
      <c r="C204" s="115" t="s">
        <v>1030</v>
      </c>
      <c r="D204" s="115" t="s">
        <v>1031</v>
      </c>
      <c r="E204" s="116"/>
      <c r="F204" s="116" t="s">
        <v>860</v>
      </c>
      <c r="G204" s="116" t="s">
        <v>663</v>
      </c>
      <c r="H204" s="116" t="s">
        <v>631</v>
      </c>
      <c r="I204" s="116"/>
      <c r="J204" s="127"/>
      <c r="K204" s="4"/>
      <c r="L204" s="4"/>
      <c r="M204" s="128"/>
      <c r="N204" s="4"/>
      <c r="O204" s="4"/>
      <c r="P204" s="4"/>
      <c r="Q204" s="4"/>
      <c r="R204" s="4"/>
      <c r="S204" s="4"/>
      <c r="T204" s="4"/>
      <c r="U204" s="4"/>
      <c r="V204" s="4"/>
      <c r="W204" s="4"/>
      <c r="X204" s="4"/>
      <c r="Y204" s="4"/>
      <c r="Z204" s="45"/>
      <c r="AA204" s="45"/>
      <c r="AB204" s="4"/>
    </row>
    <row r="205" spans="1:28" ht="75">
      <c r="A205" s="126" t="s">
        <v>1098</v>
      </c>
      <c r="B205" s="118"/>
      <c r="C205" s="118"/>
      <c r="D205" s="118"/>
      <c r="E205" s="116"/>
      <c r="F205" s="116" t="s">
        <v>863</v>
      </c>
      <c r="G205" s="116" t="s">
        <v>667</v>
      </c>
      <c r="H205" s="116" t="s">
        <v>668</v>
      </c>
      <c r="I205" s="116"/>
      <c r="J205" s="127"/>
      <c r="K205" s="4"/>
      <c r="L205" s="4"/>
      <c r="M205" s="128"/>
      <c r="N205" s="4"/>
      <c r="O205" s="4"/>
      <c r="P205" s="4"/>
      <c r="Q205" s="4"/>
      <c r="R205" s="4"/>
      <c r="S205" s="4"/>
      <c r="T205" s="4"/>
      <c r="U205" s="4"/>
      <c r="V205" s="4"/>
      <c r="W205" s="4"/>
      <c r="X205" s="4"/>
      <c r="Y205" s="4"/>
      <c r="Z205" s="45"/>
      <c r="AA205" s="45"/>
      <c r="AB205" s="4"/>
    </row>
    <row r="206" spans="1:28" ht="135">
      <c r="A206" s="126" t="s">
        <v>1100</v>
      </c>
      <c r="B206" s="115" t="s">
        <v>1101</v>
      </c>
      <c r="C206" s="115" t="s">
        <v>1102</v>
      </c>
      <c r="D206" s="115" t="s">
        <v>1103</v>
      </c>
      <c r="E206" s="116"/>
      <c r="F206" s="116" t="s">
        <v>860</v>
      </c>
      <c r="G206" s="116" t="s">
        <v>253</v>
      </c>
      <c r="H206" s="116" t="s">
        <v>254</v>
      </c>
      <c r="I206" s="116"/>
      <c r="J206" s="127"/>
      <c r="K206" s="4"/>
      <c r="L206" s="4"/>
      <c r="M206" s="128"/>
      <c r="N206" s="4"/>
      <c r="O206" s="4"/>
      <c r="P206" s="4"/>
      <c r="Q206" s="4"/>
      <c r="R206" s="4"/>
      <c r="S206" s="4"/>
      <c r="T206" s="4"/>
      <c r="U206" s="4"/>
      <c r="V206" s="4"/>
      <c r="W206" s="4"/>
      <c r="X206" s="4"/>
      <c r="Y206" s="4"/>
      <c r="Z206" s="45"/>
      <c r="AA206" s="45"/>
      <c r="AB206" s="4"/>
    </row>
    <row r="207" spans="1:28" ht="60">
      <c r="A207" s="126" t="s">
        <v>1100</v>
      </c>
      <c r="B207" s="118"/>
      <c r="C207" s="118"/>
      <c r="D207" s="118"/>
      <c r="E207" s="116"/>
      <c r="F207" s="116" t="s">
        <v>863</v>
      </c>
      <c r="G207" s="116" t="s">
        <v>257</v>
      </c>
      <c r="H207" s="116" t="s">
        <v>258</v>
      </c>
      <c r="I207" s="116"/>
      <c r="J207" s="127"/>
      <c r="K207" s="4"/>
      <c r="L207" s="4"/>
      <c r="M207" s="128"/>
      <c r="N207" s="4"/>
      <c r="O207" s="4"/>
      <c r="P207" s="4"/>
      <c r="Q207" s="4"/>
      <c r="R207" s="4"/>
      <c r="S207" s="4"/>
      <c r="T207" s="4"/>
      <c r="U207" s="4"/>
      <c r="V207" s="4"/>
      <c r="W207" s="4"/>
      <c r="X207" s="4"/>
      <c r="Y207" s="4"/>
      <c r="Z207" s="45"/>
      <c r="AA207" s="45"/>
      <c r="AB207" s="4"/>
    </row>
    <row r="208" spans="1:28" ht="255">
      <c r="A208" s="126" t="s">
        <v>1104</v>
      </c>
      <c r="B208" s="115" t="s">
        <v>1105</v>
      </c>
      <c r="C208" s="115" t="s">
        <v>1106</v>
      </c>
      <c r="D208" s="115" t="s">
        <v>1107</v>
      </c>
      <c r="E208" s="116"/>
      <c r="F208" s="116" t="s">
        <v>860</v>
      </c>
      <c r="G208" s="116" t="s">
        <v>1108</v>
      </c>
      <c r="H208" s="116" t="s">
        <v>1109</v>
      </c>
      <c r="I208" s="116"/>
      <c r="J208" s="127"/>
      <c r="K208" s="4"/>
      <c r="L208" s="4"/>
      <c r="M208" s="128"/>
      <c r="N208" s="4"/>
      <c r="O208" s="4"/>
      <c r="P208" s="4"/>
      <c r="Q208" s="4"/>
      <c r="R208" s="4"/>
      <c r="S208" s="4"/>
      <c r="T208" s="4"/>
      <c r="U208" s="4"/>
      <c r="V208" s="4"/>
      <c r="W208" s="4"/>
      <c r="X208" s="4"/>
      <c r="Y208" s="4"/>
      <c r="Z208" s="45"/>
      <c r="AA208" s="45"/>
      <c r="AB208" s="4"/>
    </row>
    <row r="209" spans="1:28" ht="60">
      <c r="A209" s="126" t="s">
        <v>1104</v>
      </c>
      <c r="B209" s="118"/>
      <c r="C209" s="118"/>
      <c r="D209" s="118"/>
      <c r="E209" s="116"/>
      <c r="F209" s="116" t="s">
        <v>863</v>
      </c>
      <c r="G209" s="116" t="s">
        <v>1110</v>
      </c>
      <c r="H209" s="116" t="s">
        <v>1111</v>
      </c>
      <c r="I209" s="116"/>
      <c r="J209" s="127"/>
      <c r="K209" s="4"/>
      <c r="L209" s="4"/>
      <c r="M209" s="128"/>
      <c r="N209" s="4"/>
      <c r="O209" s="4"/>
      <c r="P209" s="4"/>
      <c r="Q209" s="4"/>
      <c r="R209" s="4"/>
      <c r="S209" s="4"/>
      <c r="T209" s="4"/>
      <c r="U209" s="4"/>
      <c r="V209" s="4"/>
      <c r="W209" s="4"/>
      <c r="X209" s="4"/>
      <c r="Y209" s="4"/>
      <c r="Z209" s="45"/>
      <c r="AA209" s="45"/>
      <c r="AB209" s="4"/>
    </row>
    <row r="210" spans="1:28" ht="30">
      <c r="A210" s="126" t="s">
        <v>1112</v>
      </c>
      <c r="B210" s="115" t="s">
        <v>1113</v>
      </c>
      <c r="C210" s="115" t="s">
        <v>1114</v>
      </c>
      <c r="D210" s="115" t="s">
        <v>1115</v>
      </c>
      <c r="E210" s="116"/>
      <c r="F210" s="116" t="s">
        <v>860</v>
      </c>
      <c r="G210" s="116" t="s">
        <v>1096</v>
      </c>
      <c r="H210" s="116" t="s">
        <v>1116</v>
      </c>
      <c r="I210" s="116"/>
      <c r="J210" s="127"/>
      <c r="K210" s="4"/>
      <c r="L210" s="4"/>
      <c r="M210" s="128"/>
      <c r="N210" s="4"/>
      <c r="O210" s="4"/>
      <c r="P210" s="4"/>
      <c r="Q210" s="4"/>
      <c r="R210" s="4"/>
      <c r="S210" s="4"/>
      <c r="T210" s="4"/>
      <c r="U210" s="4"/>
      <c r="V210" s="4"/>
      <c r="W210" s="4"/>
      <c r="X210" s="4"/>
      <c r="Y210" s="4"/>
      <c r="Z210" s="45"/>
      <c r="AA210" s="45"/>
      <c r="AB210" s="4"/>
    </row>
    <row r="211" spans="1:28" ht="45">
      <c r="A211" s="126" t="s">
        <v>1112</v>
      </c>
      <c r="B211" s="118"/>
      <c r="C211" s="118"/>
      <c r="D211" s="118"/>
      <c r="E211" s="116"/>
      <c r="F211" s="116" t="s">
        <v>863</v>
      </c>
      <c r="G211" s="116" t="s">
        <v>1117</v>
      </c>
      <c r="H211" s="116" t="s">
        <v>1095</v>
      </c>
      <c r="I211" s="116"/>
      <c r="J211" s="127"/>
      <c r="K211" s="4"/>
      <c r="L211" s="4"/>
      <c r="M211" s="128"/>
      <c r="N211" s="4"/>
      <c r="O211" s="4"/>
      <c r="P211" s="4"/>
      <c r="Q211" s="4"/>
      <c r="R211" s="4"/>
      <c r="S211" s="4"/>
      <c r="T211" s="4"/>
      <c r="U211" s="4"/>
      <c r="V211" s="4"/>
      <c r="W211" s="4"/>
      <c r="X211" s="4"/>
      <c r="Y211" s="4"/>
      <c r="Z211" s="45"/>
      <c r="AA211" s="45"/>
      <c r="AB211" s="4"/>
    </row>
    <row r="212" spans="1:28" ht="240">
      <c r="A212" s="126" t="s">
        <v>1118</v>
      </c>
      <c r="B212" s="115" t="s">
        <v>1119</v>
      </c>
      <c r="C212" s="115" t="s">
        <v>1039</v>
      </c>
      <c r="D212" s="115" t="s">
        <v>1120</v>
      </c>
      <c r="E212" s="116"/>
      <c r="F212" s="116" t="s">
        <v>860</v>
      </c>
      <c r="G212" s="116" t="s">
        <v>1121</v>
      </c>
      <c r="H212" s="116" t="s">
        <v>1039</v>
      </c>
      <c r="I212" s="116"/>
      <c r="J212" s="127"/>
      <c r="K212" s="4"/>
      <c r="L212" s="4"/>
      <c r="M212" s="128"/>
      <c r="N212" s="4"/>
      <c r="O212" s="4"/>
      <c r="P212" s="4"/>
      <c r="Q212" s="4"/>
      <c r="R212" s="4"/>
      <c r="S212" s="4"/>
      <c r="T212" s="4"/>
      <c r="U212" s="4"/>
      <c r="V212" s="4"/>
      <c r="W212" s="4"/>
      <c r="X212" s="4"/>
      <c r="Y212" s="4"/>
      <c r="Z212" s="45"/>
      <c r="AA212" s="45"/>
      <c r="AB212" s="4"/>
    </row>
    <row r="213" spans="1:28" ht="356">
      <c r="A213" s="126" t="s">
        <v>1118</v>
      </c>
      <c r="B213" s="117"/>
      <c r="C213" s="117"/>
      <c r="D213" s="117"/>
      <c r="E213" s="116"/>
      <c r="F213" s="116" t="s">
        <v>863</v>
      </c>
      <c r="G213" s="116" t="s">
        <v>1122</v>
      </c>
      <c r="H213" s="116" t="s">
        <v>1039</v>
      </c>
      <c r="I213" s="116"/>
      <c r="J213" s="127"/>
      <c r="K213" s="4"/>
      <c r="L213" s="4"/>
      <c r="M213" s="128"/>
      <c r="N213" s="4"/>
      <c r="O213" s="4"/>
      <c r="P213" s="4"/>
      <c r="Q213" s="4"/>
      <c r="R213" s="4"/>
      <c r="S213" s="4"/>
      <c r="T213" s="4"/>
      <c r="U213" s="4"/>
      <c r="V213" s="4"/>
      <c r="W213" s="4"/>
      <c r="X213" s="4"/>
      <c r="Y213" s="4"/>
      <c r="Z213" s="45"/>
      <c r="AA213" s="45"/>
      <c r="AB213" s="4"/>
    </row>
    <row r="214" spans="1:28" ht="255">
      <c r="A214" s="126" t="s">
        <v>1118</v>
      </c>
      <c r="B214" s="118"/>
      <c r="C214" s="118"/>
      <c r="D214" s="118"/>
      <c r="E214" s="116"/>
      <c r="F214" s="116" t="s">
        <v>865</v>
      </c>
      <c r="G214" s="116" t="s">
        <v>1123</v>
      </c>
      <c r="H214" s="116" t="s">
        <v>1039</v>
      </c>
      <c r="I214" s="116"/>
      <c r="J214" s="127"/>
      <c r="K214" s="4"/>
      <c r="L214" s="4"/>
      <c r="M214" s="128"/>
      <c r="N214" s="4"/>
      <c r="O214" s="4"/>
      <c r="P214" s="4"/>
      <c r="Q214" s="4"/>
      <c r="R214" s="4"/>
      <c r="S214" s="4"/>
      <c r="T214" s="4"/>
      <c r="U214" s="4"/>
      <c r="V214" s="4"/>
      <c r="W214" s="4"/>
      <c r="X214" s="4"/>
      <c r="Y214" s="4"/>
      <c r="Z214" s="45"/>
      <c r="AA214" s="45"/>
      <c r="AB214" s="4"/>
    </row>
    <row r="215" spans="1:28" ht="165">
      <c r="A215" s="126" t="s">
        <v>1124</v>
      </c>
      <c r="B215" s="115" t="s">
        <v>1125</v>
      </c>
      <c r="C215" s="115" t="s">
        <v>1126</v>
      </c>
      <c r="D215" s="116" t="s">
        <v>1127</v>
      </c>
      <c r="E215" s="116"/>
      <c r="F215" s="116" t="s">
        <v>860</v>
      </c>
      <c r="G215" s="116" t="s">
        <v>663</v>
      </c>
      <c r="H215" s="116" t="s">
        <v>631</v>
      </c>
      <c r="I215" s="116"/>
      <c r="J215" s="127"/>
      <c r="K215" s="4"/>
      <c r="L215" s="4"/>
      <c r="M215" s="128"/>
      <c r="N215" s="4"/>
      <c r="O215" s="4"/>
      <c r="P215" s="4"/>
      <c r="Q215" s="4"/>
      <c r="R215" s="4"/>
      <c r="S215" s="4"/>
      <c r="T215" s="4"/>
      <c r="U215" s="4"/>
      <c r="V215" s="4"/>
      <c r="W215" s="4"/>
      <c r="X215" s="4"/>
      <c r="Y215" s="4"/>
      <c r="Z215" s="45"/>
      <c r="AA215" s="45"/>
      <c r="AB215" s="4"/>
    </row>
    <row r="216" spans="1:28" ht="75">
      <c r="A216" s="126" t="s">
        <v>1124</v>
      </c>
      <c r="B216" s="118"/>
      <c r="C216" s="118"/>
      <c r="D216" s="116"/>
      <c r="E216" s="116"/>
      <c r="F216" s="116" t="s">
        <v>863</v>
      </c>
      <c r="G216" s="116" t="s">
        <v>667</v>
      </c>
      <c r="H216" s="116" t="s">
        <v>668</v>
      </c>
      <c r="I216" s="116"/>
      <c r="J216" s="127"/>
      <c r="K216" s="4"/>
      <c r="L216" s="4"/>
      <c r="M216" s="128"/>
      <c r="N216" s="4"/>
      <c r="O216" s="4"/>
      <c r="P216" s="4"/>
      <c r="Q216" s="4"/>
      <c r="R216" s="4"/>
      <c r="S216" s="4"/>
      <c r="T216" s="4"/>
      <c r="U216" s="4"/>
      <c r="V216" s="4"/>
      <c r="W216" s="4"/>
      <c r="X216" s="4"/>
      <c r="Y216" s="4"/>
      <c r="Z216" s="45"/>
      <c r="AA216" s="45"/>
      <c r="AB216" s="4"/>
    </row>
    <row r="217" spans="1:28" ht="60">
      <c r="A217" s="126" t="s">
        <v>1128</v>
      </c>
      <c r="B217" s="115" t="s">
        <v>1129</v>
      </c>
      <c r="C217" s="115" t="s">
        <v>1130</v>
      </c>
      <c r="D217" s="115" t="s">
        <v>1131</v>
      </c>
      <c r="E217" s="116"/>
      <c r="F217" s="116" t="s">
        <v>860</v>
      </c>
      <c r="G217" s="116" t="s">
        <v>1132</v>
      </c>
      <c r="H217" s="116" t="s">
        <v>1133</v>
      </c>
      <c r="I217" s="116"/>
      <c r="J217" s="127"/>
      <c r="K217" s="4"/>
      <c r="L217" s="4"/>
      <c r="M217" s="128"/>
      <c r="N217" s="4"/>
      <c r="O217" s="4"/>
      <c r="P217" s="4"/>
      <c r="Q217" s="4"/>
      <c r="R217" s="4"/>
      <c r="S217" s="4"/>
      <c r="T217" s="4"/>
      <c r="U217" s="4"/>
      <c r="V217" s="4"/>
      <c r="W217" s="4"/>
      <c r="X217" s="4"/>
      <c r="Y217" s="4"/>
      <c r="Z217" s="45"/>
      <c r="AA217" s="45"/>
      <c r="AB217" s="4"/>
    </row>
    <row r="218" spans="1:28" ht="90">
      <c r="A218" s="126" t="s">
        <v>1128</v>
      </c>
      <c r="B218" s="118"/>
      <c r="C218" s="118"/>
      <c r="D218" s="118"/>
      <c r="E218" s="116"/>
      <c r="F218" s="116" t="s">
        <v>863</v>
      </c>
      <c r="G218" s="116" t="s">
        <v>772</v>
      </c>
      <c r="H218" s="116" t="s">
        <v>668</v>
      </c>
      <c r="I218" s="116"/>
      <c r="J218" s="127"/>
      <c r="K218" s="4"/>
      <c r="L218" s="4"/>
      <c r="M218" s="128"/>
      <c r="N218" s="4"/>
      <c r="O218" s="4"/>
      <c r="P218" s="4"/>
      <c r="Q218" s="4"/>
      <c r="R218" s="4"/>
      <c r="S218" s="4"/>
      <c r="T218" s="4"/>
      <c r="U218" s="4"/>
      <c r="V218" s="4"/>
      <c r="W218" s="4"/>
      <c r="X218" s="4"/>
      <c r="Y218" s="4"/>
      <c r="Z218" s="45"/>
      <c r="AA218" s="45"/>
      <c r="AB218" s="4"/>
    </row>
    <row r="219" spans="1:28" ht="75">
      <c r="A219" s="126" t="s">
        <v>1134</v>
      </c>
      <c r="B219" s="115" t="s">
        <v>1135</v>
      </c>
      <c r="C219" s="115" t="s">
        <v>1084</v>
      </c>
      <c r="D219" s="115" t="s">
        <v>1085</v>
      </c>
      <c r="E219" s="116"/>
      <c r="F219" s="116" t="s">
        <v>860</v>
      </c>
      <c r="G219" s="116" t="s">
        <v>667</v>
      </c>
      <c r="H219" s="116" t="s">
        <v>668</v>
      </c>
      <c r="I219" s="116"/>
      <c r="J219" s="127"/>
      <c r="K219" s="4"/>
      <c r="L219" s="4"/>
      <c r="M219" s="128"/>
      <c r="N219" s="4"/>
      <c r="O219" s="4"/>
      <c r="P219" s="4"/>
      <c r="Q219" s="4"/>
      <c r="R219" s="4"/>
      <c r="S219" s="4"/>
      <c r="T219" s="4"/>
      <c r="U219" s="4"/>
      <c r="V219" s="4"/>
      <c r="W219" s="4"/>
      <c r="X219" s="4"/>
      <c r="Y219" s="4"/>
      <c r="Z219" s="45"/>
      <c r="AA219" s="45"/>
      <c r="AB219" s="4"/>
    </row>
    <row r="220" spans="1:28" ht="45">
      <c r="A220" s="126" t="s">
        <v>1134</v>
      </c>
      <c r="B220" s="118"/>
      <c r="C220" s="118"/>
      <c r="D220" s="118"/>
      <c r="E220" s="116"/>
      <c r="F220" s="116" t="s">
        <v>863</v>
      </c>
      <c r="G220" s="116" t="s">
        <v>663</v>
      </c>
      <c r="H220" s="116" t="s">
        <v>631</v>
      </c>
      <c r="I220" s="116"/>
      <c r="J220" s="127"/>
      <c r="K220" s="4"/>
      <c r="L220" s="4"/>
      <c r="M220" s="128"/>
      <c r="N220" s="4"/>
      <c r="O220" s="4"/>
      <c r="P220" s="4"/>
      <c r="Q220" s="4"/>
      <c r="R220" s="4"/>
      <c r="S220" s="4"/>
      <c r="T220" s="4"/>
      <c r="U220" s="4"/>
      <c r="V220" s="4"/>
      <c r="W220" s="4"/>
      <c r="X220" s="4"/>
      <c r="Y220" s="4"/>
      <c r="Z220" s="45"/>
      <c r="AA220" s="45"/>
      <c r="AB220" s="4"/>
    </row>
    <row r="221" spans="1:28" ht="60">
      <c r="A221" s="126" t="s">
        <v>1136</v>
      </c>
      <c r="B221" s="115" t="s">
        <v>1137</v>
      </c>
      <c r="C221" s="115" t="s">
        <v>1138</v>
      </c>
      <c r="D221" s="115" t="s">
        <v>1139</v>
      </c>
      <c r="E221" s="116"/>
      <c r="F221" s="116" t="s">
        <v>860</v>
      </c>
      <c r="G221" s="116" t="s">
        <v>766</v>
      </c>
      <c r="H221" s="116" t="s">
        <v>767</v>
      </c>
      <c r="I221" s="116"/>
      <c r="J221" s="127"/>
      <c r="K221" s="4"/>
      <c r="L221" s="4"/>
      <c r="M221" s="128"/>
      <c r="N221" s="4"/>
      <c r="O221" s="4"/>
      <c r="P221" s="4"/>
      <c r="Q221" s="4"/>
      <c r="R221" s="4"/>
      <c r="S221" s="4"/>
      <c r="T221" s="4"/>
      <c r="U221" s="4"/>
      <c r="V221" s="4"/>
      <c r="W221" s="4"/>
      <c r="X221" s="4"/>
      <c r="Y221" s="4"/>
      <c r="Z221" s="45"/>
      <c r="AA221" s="45"/>
      <c r="AB221" s="4"/>
    </row>
    <row r="222" spans="1:28" ht="75">
      <c r="A222" s="126" t="s">
        <v>1136</v>
      </c>
      <c r="B222" s="118"/>
      <c r="C222" s="118"/>
      <c r="D222" s="118"/>
      <c r="E222" s="116"/>
      <c r="F222" s="116" t="s">
        <v>863</v>
      </c>
      <c r="G222" s="116" t="s">
        <v>763</v>
      </c>
      <c r="H222" s="116" t="s">
        <v>764</v>
      </c>
      <c r="I222" s="116"/>
      <c r="J222" s="127"/>
      <c r="K222" s="4"/>
      <c r="L222" s="4"/>
      <c r="M222" s="128"/>
      <c r="N222" s="4"/>
      <c r="O222" s="4"/>
      <c r="P222" s="4"/>
      <c r="Q222" s="4"/>
      <c r="R222" s="4"/>
      <c r="S222" s="4"/>
      <c r="T222" s="4"/>
      <c r="U222" s="4"/>
      <c r="V222" s="4"/>
      <c r="W222" s="4"/>
      <c r="X222" s="4"/>
      <c r="Y222" s="4"/>
      <c r="Z222" s="45"/>
      <c r="AA222" s="45"/>
      <c r="AB222" s="4"/>
    </row>
    <row r="223" spans="1:28" ht="45">
      <c r="A223" s="126" t="s">
        <v>1140</v>
      </c>
      <c r="B223" s="115" t="s">
        <v>1141</v>
      </c>
      <c r="C223" s="115" t="s">
        <v>1084</v>
      </c>
      <c r="D223" s="115" t="s">
        <v>1085</v>
      </c>
      <c r="E223" s="116"/>
      <c r="F223" s="116" t="s">
        <v>860</v>
      </c>
      <c r="G223" s="116" t="s">
        <v>663</v>
      </c>
      <c r="H223" s="116" t="s">
        <v>631</v>
      </c>
      <c r="I223" s="116"/>
      <c r="J223" s="127"/>
      <c r="K223" s="4"/>
      <c r="L223" s="4"/>
      <c r="M223" s="128"/>
      <c r="N223" s="4"/>
      <c r="O223" s="4"/>
      <c r="P223" s="4"/>
      <c r="Q223" s="4"/>
      <c r="R223" s="4"/>
      <c r="S223" s="4"/>
      <c r="T223" s="4"/>
      <c r="U223" s="4"/>
      <c r="V223" s="4"/>
      <c r="W223" s="4"/>
      <c r="X223" s="4"/>
      <c r="Y223" s="4"/>
      <c r="Z223" s="45"/>
      <c r="AA223" s="45"/>
      <c r="AB223" s="4"/>
    </row>
    <row r="224" spans="1:28" ht="75">
      <c r="A224" s="126" t="s">
        <v>1140</v>
      </c>
      <c r="B224" s="118"/>
      <c r="C224" s="118"/>
      <c r="D224" s="118"/>
      <c r="E224" s="116"/>
      <c r="F224" s="116" t="s">
        <v>863</v>
      </c>
      <c r="G224" s="116" t="s">
        <v>667</v>
      </c>
      <c r="H224" s="116" t="s">
        <v>668</v>
      </c>
      <c r="I224" s="116"/>
      <c r="J224" s="127"/>
      <c r="K224" s="4"/>
      <c r="L224" s="4"/>
      <c r="M224" s="128"/>
      <c r="N224" s="4"/>
      <c r="O224" s="4"/>
      <c r="P224" s="4"/>
      <c r="Q224" s="4"/>
      <c r="R224" s="4"/>
      <c r="S224" s="4"/>
      <c r="T224" s="4"/>
      <c r="U224" s="4"/>
      <c r="V224" s="4"/>
      <c r="W224" s="4"/>
      <c r="X224" s="4"/>
      <c r="Y224" s="4"/>
      <c r="Z224" s="45"/>
      <c r="AA224" s="45"/>
      <c r="AB224" s="4"/>
    </row>
    <row r="225" spans="1:28" ht="285">
      <c r="A225" s="126" t="s">
        <v>1142</v>
      </c>
      <c r="B225" s="115" t="s">
        <v>1143</v>
      </c>
      <c r="C225" s="115" t="s">
        <v>1144</v>
      </c>
      <c r="D225" s="115" t="s">
        <v>1145</v>
      </c>
      <c r="E225" s="116"/>
      <c r="F225" s="116" t="s">
        <v>860</v>
      </c>
      <c r="G225" s="116" t="s">
        <v>1146</v>
      </c>
      <c r="H225" s="116" t="s">
        <v>1147</v>
      </c>
      <c r="I225" s="116"/>
      <c r="J225" s="127"/>
      <c r="K225" s="4"/>
      <c r="L225" s="4"/>
      <c r="M225" s="128"/>
      <c r="N225" s="4"/>
      <c r="O225" s="4"/>
      <c r="P225" s="4"/>
      <c r="Q225" s="4"/>
      <c r="R225" s="4"/>
      <c r="S225" s="4"/>
      <c r="T225" s="4"/>
      <c r="U225" s="4"/>
      <c r="V225" s="4"/>
      <c r="W225" s="4"/>
      <c r="X225" s="4"/>
      <c r="Y225" s="4"/>
      <c r="Z225" s="45"/>
      <c r="AA225" s="45"/>
      <c r="AB225" s="4"/>
    </row>
    <row r="226" spans="1:28" ht="225">
      <c r="A226" s="126" t="s">
        <v>1142</v>
      </c>
      <c r="B226" s="118"/>
      <c r="C226" s="118"/>
      <c r="D226" s="118"/>
      <c r="E226" s="116"/>
      <c r="F226" s="116" t="s">
        <v>863</v>
      </c>
      <c r="G226" s="116" t="s">
        <v>1148</v>
      </c>
      <c r="H226" s="116" t="s">
        <v>1149</v>
      </c>
      <c r="I226" s="116"/>
      <c r="J226" s="127"/>
      <c r="K226" s="4"/>
      <c r="L226" s="4"/>
      <c r="M226" s="128"/>
      <c r="N226" s="4"/>
      <c r="O226" s="4"/>
      <c r="P226" s="4"/>
      <c r="Q226" s="4"/>
      <c r="R226" s="4"/>
      <c r="S226" s="4"/>
      <c r="T226" s="4"/>
      <c r="U226" s="4"/>
      <c r="V226" s="4"/>
      <c r="W226" s="4"/>
      <c r="X226" s="4"/>
      <c r="Y226" s="4"/>
      <c r="Z226" s="45"/>
      <c r="AA226" s="45"/>
      <c r="AB226" s="4"/>
    </row>
    <row r="227" spans="1:28" ht="409.6">
      <c r="A227" s="126" t="s">
        <v>1150</v>
      </c>
      <c r="B227" s="115" t="s">
        <v>1151</v>
      </c>
      <c r="C227" s="115" t="s">
        <v>1152</v>
      </c>
      <c r="D227" s="115" t="s">
        <v>1153</v>
      </c>
      <c r="E227" s="116"/>
      <c r="F227" s="116" t="s">
        <v>860</v>
      </c>
      <c r="G227" s="116" t="s">
        <v>1154</v>
      </c>
      <c r="H227" s="116" t="s">
        <v>1155</v>
      </c>
      <c r="I227" s="116"/>
      <c r="J227" s="127"/>
      <c r="K227" s="4"/>
      <c r="L227" s="4"/>
      <c r="M227" s="128"/>
      <c r="N227" s="4"/>
      <c r="O227" s="4"/>
      <c r="P227" s="4"/>
      <c r="Q227" s="4"/>
      <c r="R227" s="4"/>
      <c r="S227" s="4"/>
      <c r="T227" s="4"/>
      <c r="U227" s="4"/>
      <c r="V227" s="4"/>
      <c r="W227" s="4"/>
      <c r="X227" s="4"/>
      <c r="Y227" s="4"/>
      <c r="Z227" s="45"/>
      <c r="AA227" s="45"/>
      <c r="AB227" s="4"/>
    </row>
    <row r="228" spans="1:28" ht="30">
      <c r="A228" s="126" t="s">
        <v>1150</v>
      </c>
      <c r="B228" s="117"/>
      <c r="C228" s="117"/>
      <c r="D228" s="117"/>
      <c r="E228" s="116"/>
      <c r="F228" s="116" t="s">
        <v>863</v>
      </c>
      <c r="G228" s="116" t="s">
        <v>1156</v>
      </c>
      <c r="H228" s="116" t="s">
        <v>1157</v>
      </c>
      <c r="I228" s="116"/>
      <c r="J228" s="127"/>
      <c r="K228" s="4"/>
      <c r="L228" s="4"/>
      <c r="M228" s="128"/>
      <c r="N228" s="4"/>
      <c r="O228" s="4"/>
      <c r="P228" s="4"/>
      <c r="Q228" s="4"/>
      <c r="R228" s="4"/>
      <c r="S228" s="4"/>
      <c r="T228" s="4"/>
      <c r="U228" s="4"/>
      <c r="V228" s="4"/>
      <c r="W228" s="4"/>
      <c r="X228" s="4"/>
      <c r="Y228" s="4"/>
      <c r="Z228" s="45"/>
      <c r="AA228" s="45"/>
      <c r="AB228" s="4"/>
    </row>
    <row r="229" spans="1:28" ht="45">
      <c r="A229" s="126" t="s">
        <v>1150</v>
      </c>
      <c r="B229" s="118"/>
      <c r="C229" s="118"/>
      <c r="D229" s="118"/>
      <c r="E229" s="116"/>
      <c r="F229" s="116" t="s">
        <v>865</v>
      </c>
      <c r="G229" s="116" t="s">
        <v>1158</v>
      </c>
      <c r="H229" s="116" t="s">
        <v>1159</v>
      </c>
      <c r="I229" s="116"/>
      <c r="J229" s="127"/>
      <c r="K229" s="4"/>
      <c r="L229" s="4"/>
      <c r="M229" s="128"/>
      <c r="N229" s="4"/>
      <c r="O229" s="4"/>
      <c r="P229" s="4"/>
      <c r="Q229" s="4"/>
      <c r="R229" s="4"/>
      <c r="S229" s="4"/>
      <c r="T229" s="4"/>
      <c r="U229" s="4"/>
      <c r="V229" s="4"/>
      <c r="W229" s="4"/>
      <c r="X229" s="4"/>
      <c r="Y229" s="4"/>
      <c r="Z229" s="45"/>
      <c r="AA229" s="45"/>
      <c r="AB229" s="4"/>
    </row>
    <row r="230" spans="1:28" ht="285">
      <c r="A230" s="168" t="s">
        <v>1160</v>
      </c>
      <c r="B230" s="115" t="s">
        <v>1161</v>
      </c>
      <c r="C230" s="115" t="s">
        <v>1162</v>
      </c>
      <c r="D230" s="115" t="s">
        <v>1163</v>
      </c>
      <c r="E230" s="116"/>
      <c r="F230" s="116" t="s">
        <v>860</v>
      </c>
      <c r="G230" s="116" t="s">
        <v>1146</v>
      </c>
      <c r="H230" s="116" t="s">
        <v>1147</v>
      </c>
      <c r="I230" s="116"/>
      <c r="J230" s="127"/>
      <c r="K230" s="4"/>
      <c r="L230" s="4"/>
      <c r="M230" s="128"/>
      <c r="N230" s="4"/>
      <c r="O230" s="4"/>
      <c r="P230" s="4"/>
      <c r="Q230" s="4"/>
      <c r="R230" s="4"/>
      <c r="S230" s="4"/>
      <c r="T230" s="4"/>
      <c r="U230" s="4"/>
      <c r="V230" s="4"/>
      <c r="W230" s="4"/>
      <c r="X230" s="4"/>
      <c r="Y230" s="4"/>
      <c r="Z230" s="45"/>
      <c r="AA230" s="45"/>
      <c r="AB230" s="4"/>
    </row>
    <row r="231" spans="1:28" ht="225">
      <c r="A231" s="168"/>
      <c r="B231" s="118"/>
      <c r="C231" s="118"/>
      <c r="D231" s="118"/>
      <c r="E231" s="116"/>
      <c r="F231" s="116" t="s">
        <v>863</v>
      </c>
      <c r="G231" s="116" t="s">
        <v>1148</v>
      </c>
      <c r="H231" s="116" t="s">
        <v>1149</v>
      </c>
      <c r="I231" s="116"/>
      <c r="J231" s="127"/>
      <c r="K231" s="4"/>
      <c r="L231" s="4"/>
      <c r="M231" s="128"/>
      <c r="N231" s="4"/>
      <c r="O231" s="4"/>
      <c r="P231" s="4"/>
      <c r="Q231" s="4"/>
      <c r="R231" s="4"/>
      <c r="S231" s="4"/>
      <c r="T231" s="4"/>
      <c r="U231" s="4"/>
      <c r="V231" s="4"/>
      <c r="W231" s="4"/>
      <c r="X231" s="4"/>
      <c r="Y231" s="4"/>
      <c r="Z231" s="45"/>
      <c r="AA231" s="45"/>
      <c r="AB231" s="4"/>
    </row>
    <row r="232" spans="1:28" ht="45">
      <c r="A232" s="126" t="s">
        <v>1164</v>
      </c>
      <c r="B232" s="115" t="s">
        <v>1165</v>
      </c>
      <c r="C232" s="115" t="s">
        <v>1166</v>
      </c>
      <c r="D232" s="115" t="s">
        <v>1167</v>
      </c>
      <c r="E232" s="116"/>
      <c r="F232" s="116" t="s">
        <v>860</v>
      </c>
      <c r="G232" s="116" t="s">
        <v>630</v>
      </c>
      <c r="H232" s="116" t="s">
        <v>631</v>
      </c>
      <c r="I232" s="116"/>
      <c r="J232" s="127"/>
      <c r="K232" s="4"/>
      <c r="L232" s="4"/>
      <c r="M232" s="128"/>
      <c r="N232" s="4"/>
      <c r="O232" s="4"/>
      <c r="P232" s="4"/>
      <c r="Q232" s="4"/>
      <c r="R232" s="4"/>
      <c r="S232" s="4"/>
      <c r="T232" s="4"/>
      <c r="U232" s="4"/>
      <c r="V232" s="4"/>
      <c r="W232" s="4"/>
      <c r="X232" s="4"/>
      <c r="Y232" s="4"/>
      <c r="Z232" s="45"/>
      <c r="AA232" s="45"/>
      <c r="AB232" s="4"/>
    </row>
    <row r="233" spans="1:28" ht="90">
      <c r="A233" s="126" t="s">
        <v>1164</v>
      </c>
      <c r="B233" s="118"/>
      <c r="C233" s="118"/>
      <c r="D233" s="118"/>
      <c r="E233" s="116"/>
      <c r="F233" s="116" t="s">
        <v>863</v>
      </c>
      <c r="G233" s="116" t="s">
        <v>772</v>
      </c>
      <c r="H233" s="116" t="s">
        <v>668</v>
      </c>
      <c r="I233" s="116"/>
      <c r="J233" s="127"/>
      <c r="K233" s="4"/>
      <c r="L233" s="4"/>
      <c r="M233" s="128"/>
      <c r="N233" s="4"/>
      <c r="O233" s="4"/>
      <c r="P233" s="4"/>
      <c r="Q233" s="4"/>
      <c r="R233" s="4"/>
      <c r="S233" s="4"/>
      <c r="T233" s="4"/>
      <c r="U233" s="4"/>
      <c r="V233" s="4"/>
      <c r="W233" s="4"/>
      <c r="X233" s="4"/>
      <c r="Y233" s="4"/>
      <c r="Z233" s="45"/>
      <c r="AA233" s="45"/>
      <c r="AB233" s="4"/>
    </row>
    <row r="234" spans="1:28" ht="30">
      <c r="A234" s="126" t="s">
        <v>1168</v>
      </c>
      <c r="B234" s="115" t="s">
        <v>1169</v>
      </c>
      <c r="C234" s="115" t="s">
        <v>1073</v>
      </c>
      <c r="D234" s="115" t="s">
        <v>1074</v>
      </c>
      <c r="E234" s="116"/>
      <c r="F234" s="116" t="s">
        <v>860</v>
      </c>
      <c r="G234" s="116" t="s">
        <v>807</v>
      </c>
      <c r="H234" s="116" t="s">
        <v>808</v>
      </c>
      <c r="I234" s="116"/>
      <c r="J234" s="127"/>
      <c r="K234" s="4"/>
      <c r="L234" s="4"/>
      <c r="M234" s="128"/>
      <c r="N234" s="4"/>
      <c r="O234" s="4"/>
      <c r="P234" s="4"/>
      <c r="Q234" s="4"/>
      <c r="R234" s="4"/>
      <c r="S234" s="4"/>
      <c r="T234" s="4"/>
      <c r="U234" s="4"/>
      <c r="V234" s="4"/>
      <c r="W234" s="4"/>
      <c r="X234" s="4"/>
      <c r="Y234" s="4"/>
      <c r="Z234" s="45"/>
      <c r="AA234" s="45"/>
      <c r="AB234" s="4"/>
    </row>
    <row r="235" spans="1:28" ht="105">
      <c r="A235" s="126" t="s">
        <v>1168</v>
      </c>
      <c r="B235" s="118"/>
      <c r="C235" s="118"/>
      <c r="D235" s="118"/>
      <c r="E235" s="116"/>
      <c r="F235" s="116" t="s">
        <v>863</v>
      </c>
      <c r="G235" s="116" t="s">
        <v>811</v>
      </c>
      <c r="H235" s="116" t="s">
        <v>812</v>
      </c>
      <c r="I235" s="116"/>
      <c r="J235" s="127"/>
      <c r="K235" s="4"/>
      <c r="L235" s="4"/>
      <c r="M235" s="128"/>
      <c r="N235" s="4"/>
      <c r="O235" s="4"/>
      <c r="P235" s="4"/>
      <c r="Q235" s="4"/>
      <c r="R235" s="4"/>
      <c r="S235" s="4"/>
      <c r="T235" s="4"/>
      <c r="U235" s="4"/>
      <c r="V235" s="4"/>
      <c r="W235" s="4"/>
      <c r="X235" s="4"/>
      <c r="Y235" s="4"/>
      <c r="Z235" s="45"/>
      <c r="AA235" s="45"/>
      <c r="AB235" s="4"/>
    </row>
    <row r="236" spans="1:28" ht="195">
      <c r="A236" s="168" t="s">
        <v>1170</v>
      </c>
      <c r="B236" s="115" t="s">
        <v>1171</v>
      </c>
      <c r="C236" s="115" t="s">
        <v>1172</v>
      </c>
      <c r="D236" s="115" t="s">
        <v>1173</v>
      </c>
      <c r="E236" s="116"/>
      <c r="F236" s="116" t="s">
        <v>860</v>
      </c>
      <c r="G236" s="116" t="s">
        <v>1174</v>
      </c>
      <c r="H236" s="116" t="s">
        <v>1172</v>
      </c>
      <c r="I236" s="116"/>
      <c r="J236" s="127"/>
      <c r="K236" s="4"/>
      <c r="L236" s="4"/>
      <c r="M236" s="128"/>
      <c r="N236" s="4"/>
      <c r="O236" s="4"/>
      <c r="P236" s="4"/>
      <c r="Q236" s="4"/>
      <c r="R236" s="4"/>
      <c r="S236" s="4"/>
      <c r="T236" s="106">
        <v>1</v>
      </c>
      <c r="U236" s="4"/>
      <c r="V236" s="4"/>
      <c r="W236" s="4"/>
      <c r="X236" s="4"/>
      <c r="Y236" s="4"/>
      <c r="Z236" s="45"/>
      <c r="AA236" s="45"/>
      <c r="AB236" s="4"/>
    </row>
    <row r="237" spans="1:28" ht="120">
      <c r="A237" s="168"/>
      <c r="B237" s="117"/>
      <c r="C237" s="117"/>
      <c r="D237" s="117"/>
      <c r="E237" s="116"/>
      <c r="F237" s="116" t="s">
        <v>863</v>
      </c>
      <c r="G237" s="116" t="s">
        <v>1173</v>
      </c>
      <c r="H237" s="116" t="s">
        <v>1172</v>
      </c>
      <c r="I237" s="116"/>
      <c r="J237" s="127"/>
      <c r="K237" s="4"/>
      <c r="L237" s="4"/>
      <c r="M237" s="128"/>
      <c r="N237" s="4"/>
      <c r="O237" s="4"/>
      <c r="P237" s="4"/>
      <c r="Q237" s="4"/>
      <c r="R237" s="4"/>
      <c r="S237" s="4"/>
      <c r="T237" s="106"/>
      <c r="U237" s="4"/>
      <c r="V237" s="4"/>
      <c r="W237" s="4"/>
      <c r="X237" s="4"/>
      <c r="Y237" s="4"/>
      <c r="Z237" s="45"/>
      <c r="AA237" s="45"/>
      <c r="AB237" s="4"/>
    </row>
    <row r="238" spans="1:28" ht="120">
      <c r="A238" s="168"/>
      <c r="B238" s="118"/>
      <c r="C238" s="118"/>
      <c r="D238" s="118"/>
      <c r="E238" s="116"/>
      <c r="F238" s="116" t="s">
        <v>865</v>
      </c>
      <c r="G238" s="116" t="s">
        <v>1175</v>
      </c>
      <c r="H238" s="116" t="s">
        <v>1172</v>
      </c>
      <c r="I238" s="116"/>
      <c r="J238" s="127"/>
      <c r="K238" s="4"/>
      <c r="L238" s="4"/>
      <c r="M238" s="128"/>
      <c r="N238" s="4"/>
      <c r="O238" s="4"/>
      <c r="P238" s="4"/>
      <c r="Q238" s="4"/>
      <c r="R238" s="4"/>
      <c r="S238" s="4"/>
      <c r="T238" s="106"/>
      <c r="U238" s="4"/>
      <c r="V238" s="4"/>
      <c r="W238" s="4"/>
      <c r="X238" s="4"/>
      <c r="Y238" s="4"/>
      <c r="Z238" s="45"/>
      <c r="AA238" s="45"/>
      <c r="AB238" s="4"/>
    </row>
    <row r="239" spans="1:28" ht="135">
      <c r="A239" s="168" t="s">
        <v>1176</v>
      </c>
      <c r="B239" s="115" t="s">
        <v>1177</v>
      </c>
      <c r="C239" s="115" t="s">
        <v>1021</v>
      </c>
      <c r="D239" s="115" t="s">
        <v>1022</v>
      </c>
      <c r="E239" s="116"/>
      <c r="F239" s="116" t="s">
        <v>860</v>
      </c>
      <c r="G239" s="116" t="s">
        <v>253</v>
      </c>
      <c r="H239" s="116" t="s">
        <v>254</v>
      </c>
      <c r="I239" s="116"/>
      <c r="J239" s="127"/>
      <c r="K239" s="4"/>
      <c r="L239" s="4"/>
      <c r="M239" s="128"/>
      <c r="N239" s="4"/>
      <c r="O239" s="4"/>
      <c r="P239" s="4"/>
      <c r="Q239" s="4"/>
      <c r="R239" s="4"/>
      <c r="S239" s="4"/>
      <c r="T239" s="4"/>
      <c r="U239" s="4"/>
      <c r="V239" s="4"/>
      <c r="W239" s="4"/>
      <c r="X239" s="4"/>
      <c r="Y239" s="4"/>
      <c r="Z239" s="45"/>
      <c r="AA239" s="45"/>
      <c r="AB239" s="4"/>
    </row>
    <row r="240" spans="1:28" ht="60">
      <c r="A240" s="168"/>
      <c r="B240" s="118"/>
      <c r="C240" s="118"/>
      <c r="D240" s="118"/>
      <c r="E240" s="116"/>
      <c r="F240" s="116" t="s">
        <v>863</v>
      </c>
      <c r="G240" s="116" t="s">
        <v>257</v>
      </c>
      <c r="H240" s="116" t="s">
        <v>258</v>
      </c>
      <c r="I240" s="116"/>
      <c r="J240" s="127"/>
      <c r="K240" s="4"/>
      <c r="L240" s="4"/>
      <c r="M240" s="128"/>
      <c r="N240" s="4"/>
      <c r="O240" s="4"/>
      <c r="P240" s="4"/>
      <c r="Q240" s="4"/>
      <c r="R240" s="4"/>
      <c r="S240" s="4"/>
      <c r="T240" s="4"/>
      <c r="U240" s="4"/>
      <c r="V240" s="4"/>
      <c r="W240" s="4"/>
      <c r="X240" s="4"/>
      <c r="Y240" s="4"/>
      <c r="Z240" s="45"/>
      <c r="AA240" s="45"/>
      <c r="AB240" s="4"/>
    </row>
    <row r="241" spans="1:28" ht="30">
      <c r="A241" s="168" t="s">
        <v>1178</v>
      </c>
      <c r="B241" s="115" t="s">
        <v>1179</v>
      </c>
      <c r="C241" s="115" t="s">
        <v>1180</v>
      </c>
      <c r="D241" s="115" t="s">
        <v>1181</v>
      </c>
      <c r="E241" s="116"/>
      <c r="F241" s="116" t="s">
        <v>860</v>
      </c>
      <c r="G241" s="116" t="s">
        <v>807</v>
      </c>
      <c r="H241" s="116" t="s">
        <v>808</v>
      </c>
      <c r="I241" s="116"/>
      <c r="J241" s="127"/>
      <c r="K241" s="4"/>
      <c r="L241" s="4"/>
      <c r="M241" s="128"/>
      <c r="N241" s="4"/>
      <c r="O241" s="4"/>
      <c r="P241" s="4"/>
      <c r="Q241" s="4"/>
      <c r="R241" s="4"/>
      <c r="S241" s="4"/>
      <c r="T241" s="4"/>
      <c r="U241" s="4"/>
      <c r="V241" s="4"/>
      <c r="W241" s="4"/>
      <c r="X241" s="4"/>
      <c r="Y241" s="4"/>
      <c r="Z241" s="45"/>
      <c r="AA241" s="45"/>
      <c r="AB241" s="4"/>
    </row>
    <row r="242" spans="1:28" ht="105">
      <c r="A242" s="168"/>
      <c r="B242" s="118"/>
      <c r="C242" s="118"/>
      <c r="D242" s="118"/>
      <c r="E242" s="116"/>
      <c r="F242" s="116" t="s">
        <v>863</v>
      </c>
      <c r="G242" s="116" t="s">
        <v>811</v>
      </c>
      <c r="H242" s="116" t="s">
        <v>812</v>
      </c>
      <c r="I242" s="116"/>
      <c r="J242" s="127"/>
      <c r="K242" s="4"/>
      <c r="L242" s="4"/>
      <c r="M242" s="128"/>
      <c r="N242" s="4"/>
      <c r="O242" s="4"/>
      <c r="P242" s="4"/>
      <c r="Q242" s="4"/>
      <c r="R242" s="4"/>
      <c r="S242" s="4"/>
      <c r="T242" s="4"/>
      <c r="U242" s="4"/>
      <c r="V242" s="4"/>
      <c r="W242" s="4"/>
      <c r="X242" s="4"/>
      <c r="Y242" s="4"/>
      <c r="Z242" s="45"/>
      <c r="AA242" s="45"/>
      <c r="AB242" s="4"/>
    </row>
    <row r="243" spans="1:28" ht="60">
      <c r="A243" s="168" t="s">
        <v>1182</v>
      </c>
      <c r="B243" s="115" t="s">
        <v>1183</v>
      </c>
      <c r="C243" s="115" t="s">
        <v>1184</v>
      </c>
      <c r="D243" s="115" t="s">
        <v>1185</v>
      </c>
      <c r="E243" s="116"/>
      <c r="F243" s="116" t="s">
        <v>860</v>
      </c>
      <c r="G243" s="116" t="s">
        <v>1186</v>
      </c>
      <c r="H243" s="116" t="s">
        <v>1111</v>
      </c>
      <c r="I243" s="116"/>
      <c r="J243" s="127"/>
      <c r="K243" s="4"/>
      <c r="L243" s="4"/>
      <c r="M243" s="128"/>
      <c r="N243" s="4"/>
      <c r="O243" s="4"/>
      <c r="P243" s="4"/>
      <c r="Q243" s="4"/>
      <c r="R243" s="4"/>
      <c r="S243" s="4"/>
      <c r="T243" s="4"/>
      <c r="U243" s="4"/>
      <c r="V243" s="4"/>
      <c r="W243" s="4"/>
      <c r="X243" s="4"/>
      <c r="Y243" s="4"/>
      <c r="Z243" s="45"/>
      <c r="AA243" s="45"/>
      <c r="AB243" s="4"/>
    </row>
    <row r="244" spans="1:28" ht="255">
      <c r="A244" s="168"/>
      <c r="B244" s="118"/>
      <c r="C244" s="118"/>
      <c r="D244" s="118"/>
      <c r="E244" s="116"/>
      <c r="F244" s="116" t="s">
        <v>863</v>
      </c>
      <c r="G244" s="116" t="s">
        <v>1108</v>
      </c>
      <c r="H244" s="116" t="s">
        <v>1109</v>
      </c>
      <c r="I244" s="116"/>
      <c r="J244" s="127"/>
      <c r="K244" s="4"/>
      <c r="L244" s="4"/>
      <c r="M244" s="128"/>
      <c r="N244" s="4"/>
      <c r="O244" s="4"/>
      <c r="P244" s="4"/>
      <c r="Q244" s="4"/>
      <c r="R244" s="4"/>
      <c r="S244" s="4"/>
      <c r="T244" s="4"/>
      <c r="U244" s="4"/>
      <c r="V244" s="4"/>
      <c r="W244" s="4"/>
      <c r="X244" s="4"/>
      <c r="Y244" s="4"/>
      <c r="Z244" s="45"/>
      <c r="AA244" s="45"/>
      <c r="AB244" s="4"/>
    </row>
    <row r="245" spans="1:28" ht="240">
      <c r="A245" s="168" t="s">
        <v>1187</v>
      </c>
      <c r="B245" s="115" t="s">
        <v>1188</v>
      </c>
      <c r="C245" s="115" t="s">
        <v>1189</v>
      </c>
      <c r="D245" s="115" t="s">
        <v>1190</v>
      </c>
      <c r="E245" s="116"/>
      <c r="F245" s="116" t="s">
        <v>860</v>
      </c>
      <c r="G245" s="116" t="s">
        <v>1191</v>
      </c>
      <c r="H245" s="116" t="s">
        <v>1192</v>
      </c>
      <c r="I245" s="116"/>
      <c r="J245" s="127"/>
      <c r="K245" s="4"/>
      <c r="L245" s="4"/>
      <c r="M245" s="128"/>
      <c r="N245" s="4"/>
      <c r="O245" s="4"/>
      <c r="P245" s="4"/>
      <c r="Q245" s="4"/>
      <c r="R245" s="4"/>
      <c r="S245" s="4"/>
      <c r="T245" s="4"/>
      <c r="U245" s="4"/>
      <c r="V245" s="4"/>
      <c r="W245" s="4"/>
      <c r="X245" s="4"/>
      <c r="Y245" s="4"/>
      <c r="Z245" s="45"/>
      <c r="AA245" s="45"/>
      <c r="AB245" s="4"/>
    </row>
    <row r="246" spans="1:28" ht="210">
      <c r="A246" s="168"/>
      <c r="B246" s="118"/>
      <c r="C246" s="118"/>
      <c r="D246" s="118"/>
      <c r="E246" s="116"/>
      <c r="F246" s="116" t="s">
        <v>863</v>
      </c>
      <c r="G246" s="116" t="s">
        <v>1193</v>
      </c>
      <c r="H246" s="116" t="s">
        <v>1194</v>
      </c>
      <c r="I246" s="116"/>
      <c r="J246" s="127"/>
      <c r="K246" s="4"/>
      <c r="L246" s="4"/>
      <c r="M246" s="128"/>
      <c r="N246" s="4"/>
      <c r="O246" s="4"/>
      <c r="P246" s="4"/>
      <c r="Q246" s="4"/>
      <c r="R246" s="4"/>
      <c r="S246" s="4"/>
      <c r="T246" s="4"/>
      <c r="U246" s="4"/>
      <c r="V246" s="4"/>
      <c r="W246" s="4"/>
      <c r="X246" s="4"/>
      <c r="Y246" s="4"/>
      <c r="Z246" s="45"/>
      <c r="AA246" s="45"/>
      <c r="AB246" s="4"/>
    </row>
    <row r="247" spans="1:28" ht="90">
      <c r="A247" s="126" t="s">
        <v>1195</v>
      </c>
      <c r="B247" s="116" t="s">
        <v>1196</v>
      </c>
      <c r="C247" s="116" t="s">
        <v>1197</v>
      </c>
      <c r="D247" s="116" t="s">
        <v>1198</v>
      </c>
      <c r="E247" s="116"/>
      <c r="F247" s="116" t="s">
        <v>860</v>
      </c>
      <c r="G247" s="116" t="s">
        <v>422</v>
      </c>
      <c r="H247" s="116" t="s">
        <v>423</v>
      </c>
      <c r="I247" s="116"/>
      <c r="J247" s="127"/>
      <c r="K247" s="4"/>
      <c r="L247" s="4"/>
      <c r="M247" s="128"/>
      <c r="N247" s="4"/>
      <c r="O247" s="4"/>
      <c r="P247" s="4"/>
      <c r="Q247" s="4"/>
      <c r="R247" s="4"/>
      <c r="S247" s="4"/>
      <c r="T247" s="4"/>
      <c r="U247" s="4"/>
      <c r="V247" s="4"/>
      <c r="W247" s="4"/>
      <c r="X247" s="4"/>
      <c r="Y247" s="4"/>
      <c r="Z247" s="45"/>
      <c r="AA247" s="45"/>
      <c r="AB247" s="4"/>
    </row>
    <row r="248" spans="1:28" ht="180">
      <c r="A248" s="126" t="s">
        <v>1199</v>
      </c>
      <c r="B248" s="115" t="s">
        <v>1200</v>
      </c>
      <c r="C248" s="115" t="s">
        <v>1201</v>
      </c>
      <c r="D248" s="115" t="s">
        <v>1202</v>
      </c>
      <c r="E248" s="116"/>
      <c r="F248" s="116" t="s">
        <v>860</v>
      </c>
      <c r="G248" s="116" t="s">
        <v>1203</v>
      </c>
      <c r="H248" s="116" t="s">
        <v>1201</v>
      </c>
      <c r="I248" s="116"/>
      <c r="J248" s="127"/>
      <c r="K248" s="4"/>
      <c r="L248" s="4"/>
      <c r="M248" s="128"/>
      <c r="N248" s="4"/>
      <c r="O248" s="4"/>
      <c r="P248" s="4"/>
      <c r="Q248" s="4"/>
      <c r="R248" s="4"/>
      <c r="S248" s="4"/>
      <c r="T248" s="106">
        <v>1</v>
      </c>
      <c r="U248" s="4"/>
      <c r="V248" s="4"/>
      <c r="W248" s="4"/>
      <c r="X248" s="4"/>
      <c r="Y248" s="4"/>
      <c r="Z248" s="45"/>
      <c r="AA248" s="45"/>
      <c r="AB248" s="4"/>
    </row>
    <row r="249" spans="1:28" ht="180">
      <c r="A249" s="126" t="s">
        <v>1199</v>
      </c>
      <c r="B249" s="117"/>
      <c r="C249" s="117"/>
      <c r="D249" s="117"/>
      <c r="E249" s="116"/>
      <c r="F249" s="116" t="s">
        <v>863</v>
      </c>
      <c r="G249" s="116" t="s">
        <v>1204</v>
      </c>
      <c r="H249" s="116" t="s">
        <v>1201</v>
      </c>
      <c r="I249" s="116"/>
      <c r="J249" s="127"/>
      <c r="K249" s="4"/>
      <c r="L249" s="4"/>
      <c r="M249" s="128"/>
      <c r="N249" s="4"/>
      <c r="O249" s="4"/>
      <c r="P249" s="4"/>
      <c r="Q249" s="4"/>
      <c r="R249" s="4"/>
      <c r="S249" s="4"/>
      <c r="T249" s="106"/>
      <c r="U249" s="4"/>
      <c r="V249" s="4"/>
      <c r="W249" s="4"/>
      <c r="X249" s="4"/>
      <c r="Y249" s="4"/>
      <c r="Z249" s="45"/>
      <c r="AA249" s="45"/>
      <c r="AB249" s="4"/>
    </row>
    <row r="250" spans="1:28" ht="180">
      <c r="A250" s="126" t="s">
        <v>1199</v>
      </c>
      <c r="B250" s="118"/>
      <c r="C250" s="118"/>
      <c r="D250" s="118"/>
      <c r="E250" s="116"/>
      <c r="F250" s="116" t="s">
        <v>865</v>
      </c>
      <c r="G250" s="116" t="s">
        <v>1202</v>
      </c>
      <c r="H250" s="116" t="s">
        <v>1201</v>
      </c>
      <c r="I250" s="116"/>
      <c r="J250" s="127"/>
      <c r="K250" s="4"/>
      <c r="L250" s="4"/>
      <c r="M250" s="128"/>
      <c r="N250" s="4"/>
      <c r="O250" s="4"/>
      <c r="P250" s="4"/>
      <c r="Q250" s="4"/>
      <c r="R250" s="4"/>
      <c r="S250" s="4"/>
      <c r="T250" s="106"/>
      <c r="U250" s="4"/>
      <c r="V250" s="4"/>
      <c r="W250" s="4"/>
      <c r="X250" s="4"/>
      <c r="Y250" s="4"/>
      <c r="Z250" s="45"/>
      <c r="AA250" s="45"/>
      <c r="AB250" s="4"/>
    </row>
    <row r="251" spans="1:28" ht="30">
      <c r="A251" s="126" t="s">
        <v>1205</v>
      </c>
      <c r="B251" s="115" t="s">
        <v>1206</v>
      </c>
      <c r="C251" s="115" t="s">
        <v>1207</v>
      </c>
      <c r="D251" s="115" t="s">
        <v>1208</v>
      </c>
      <c r="E251" s="116"/>
      <c r="F251" s="116" t="s">
        <v>860</v>
      </c>
      <c r="G251" s="116" t="s">
        <v>1209</v>
      </c>
      <c r="H251" s="116" t="s">
        <v>1210</v>
      </c>
      <c r="I251" s="116"/>
      <c r="J251" s="127"/>
      <c r="K251" s="4"/>
      <c r="L251" s="4"/>
      <c r="M251" s="128"/>
      <c r="N251" s="4"/>
      <c r="O251" s="4"/>
      <c r="P251" s="4"/>
      <c r="Q251" s="4"/>
      <c r="R251" s="4"/>
      <c r="S251" s="4"/>
      <c r="T251" s="4"/>
      <c r="U251" s="4"/>
      <c r="V251" s="4"/>
      <c r="W251" s="4"/>
      <c r="X251" s="4"/>
      <c r="Y251" s="4"/>
      <c r="Z251" s="45"/>
      <c r="AA251" s="45"/>
      <c r="AB251" s="4"/>
    </row>
    <row r="252" spans="1:28" ht="384">
      <c r="A252" s="126" t="s">
        <v>1205</v>
      </c>
      <c r="B252" s="118"/>
      <c r="C252" s="118"/>
      <c r="D252" s="118"/>
      <c r="E252" s="116"/>
      <c r="F252" s="116" t="s">
        <v>863</v>
      </c>
      <c r="G252" s="116" t="s">
        <v>1211</v>
      </c>
      <c r="H252" s="116" t="s">
        <v>1212</v>
      </c>
      <c r="I252" s="116"/>
      <c r="J252" s="127"/>
      <c r="K252" s="4"/>
      <c r="L252" s="4"/>
      <c r="M252" s="128"/>
      <c r="N252" s="4"/>
      <c r="O252" s="4"/>
      <c r="P252" s="4"/>
      <c r="Q252" s="4"/>
      <c r="R252" s="4"/>
      <c r="S252" s="4"/>
      <c r="T252" s="4"/>
      <c r="U252" s="4"/>
      <c r="V252" s="4"/>
      <c r="W252" s="4"/>
      <c r="X252" s="4"/>
      <c r="Y252" s="4"/>
      <c r="Z252" s="45"/>
      <c r="AA252" s="45"/>
      <c r="AB252" s="4"/>
    </row>
    <row r="253" spans="1:28" ht="30">
      <c r="A253" s="126" t="s">
        <v>1213</v>
      </c>
      <c r="B253" s="115" t="s">
        <v>1214</v>
      </c>
      <c r="C253" s="115" t="s">
        <v>1073</v>
      </c>
      <c r="D253" s="115" t="s">
        <v>1074</v>
      </c>
      <c r="E253" s="116"/>
      <c r="F253" s="116" t="s">
        <v>860</v>
      </c>
      <c r="G253" s="116" t="s">
        <v>807</v>
      </c>
      <c r="H253" s="116" t="s">
        <v>808</v>
      </c>
      <c r="I253" s="116"/>
      <c r="J253" s="127"/>
      <c r="K253" s="4"/>
      <c r="L253" s="4"/>
      <c r="M253" s="128"/>
      <c r="N253" s="4"/>
      <c r="O253" s="4"/>
      <c r="P253" s="4"/>
      <c r="Q253" s="4"/>
      <c r="R253" s="4"/>
      <c r="S253" s="4"/>
      <c r="T253" s="4"/>
      <c r="U253" s="4"/>
      <c r="V253" s="4"/>
      <c r="W253" s="4"/>
      <c r="X253" s="4"/>
      <c r="Y253" s="4"/>
      <c r="Z253" s="45"/>
      <c r="AA253" s="45"/>
      <c r="AB253" s="4"/>
    </row>
    <row r="254" spans="1:28" ht="105">
      <c r="A254" s="126" t="s">
        <v>1213</v>
      </c>
      <c r="B254" s="118"/>
      <c r="C254" s="118"/>
      <c r="D254" s="118"/>
      <c r="E254" s="116"/>
      <c r="F254" s="116" t="s">
        <v>863</v>
      </c>
      <c r="G254" s="116" t="s">
        <v>811</v>
      </c>
      <c r="H254" s="116" t="s">
        <v>812</v>
      </c>
      <c r="I254" s="116"/>
      <c r="J254" s="127"/>
      <c r="K254" s="4"/>
      <c r="L254" s="4"/>
      <c r="M254" s="128"/>
      <c r="N254" s="4"/>
      <c r="O254" s="4"/>
      <c r="P254" s="4"/>
      <c r="Q254" s="4"/>
      <c r="R254" s="4"/>
      <c r="S254" s="4"/>
      <c r="T254" s="4"/>
      <c r="U254" s="4"/>
      <c r="V254" s="4"/>
      <c r="W254" s="4"/>
      <c r="X254" s="4"/>
      <c r="Y254" s="4"/>
      <c r="Z254" s="45"/>
      <c r="AA254" s="45"/>
      <c r="AB254" s="4"/>
    </row>
    <row r="255" spans="1:28" ht="135">
      <c r="A255" s="126" t="s">
        <v>1215</v>
      </c>
      <c r="B255" s="115" t="s">
        <v>1216</v>
      </c>
      <c r="C255" s="115" t="s">
        <v>1217</v>
      </c>
      <c r="D255" s="115" t="s">
        <v>1218</v>
      </c>
      <c r="E255" s="116"/>
      <c r="F255" s="116" t="s">
        <v>860</v>
      </c>
      <c r="G255" s="116" t="s">
        <v>1219</v>
      </c>
      <c r="H255" s="116" t="s">
        <v>509</v>
      </c>
      <c r="I255" s="116"/>
      <c r="J255" s="127"/>
      <c r="K255" s="4"/>
      <c r="L255" s="4"/>
      <c r="M255" s="128"/>
      <c r="N255" s="4"/>
      <c r="O255" s="4"/>
      <c r="P255" s="4"/>
      <c r="Q255" s="4"/>
      <c r="R255" s="4"/>
      <c r="S255" s="4"/>
      <c r="T255" s="4"/>
      <c r="U255" s="4"/>
      <c r="V255" s="4"/>
      <c r="W255" s="4"/>
      <c r="X255" s="4"/>
      <c r="Y255" s="4"/>
      <c r="Z255" s="45"/>
      <c r="AA255" s="45"/>
      <c r="AB255" s="4"/>
    </row>
    <row r="256" spans="1:28" ht="75">
      <c r="A256" s="126" t="s">
        <v>1215</v>
      </c>
      <c r="B256" s="118"/>
      <c r="C256" s="118"/>
      <c r="D256" s="118"/>
      <c r="E256" s="116"/>
      <c r="F256" s="116" t="s">
        <v>863</v>
      </c>
      <c r="G256" s="116" t="s">
        <v>1220</v>
      </c>
      <c r="H256" s="116" t="s">
        <v>1221</v>
      </c>
      <c r="I256" s="116"/>
      <c r="J256" s="127"/>
      <c r="K256" s="4"/>
      <c r="L256" s="4"/>
      <c r="M256" s="128"/>
      <c r="N256" s="4"/>
      <c r="O256" s="4"/>
      <c r="P256" s="4"/>
      <c r="Q256" s="4"/>
      <c r="R256" s="4"/>
      <c r="S256" s="4"/>
      <c r="T256" s="4"/>
      <c r="U256" s="4"/>
      <c r="V256" s="4"/>
      <c r="W256" s="4"/>
      <c r="X256" s="4"/>
      <c r="Y256" s="4"/>
      <c r="Z256" s="45"/>
      <c r="AA256" s="45"/>
      <c r="AB256" s="4"/>
    </row>
    <row r="257" spans="1:28" ht="45">
      <c r="A257" s="126" t="s">
        <v>1222</v>
      </c>
      <c r="B257" s="115" t="s">
        <v>1223</v>
      </c>
      <c r="C257" s="115" t="s">
        <v>1084</v>
      </c>
      <c r="D257" s="115" t="s">
        <v>1085</v>
      </c>
      <c r="E257" s="116"/>
      <c r="F257" s="116" t="s">
        <v>860</v>
      </c>
      <c r="G257" s="116" t="s">
        <v>663</v>
      </c>
      <c r="H257" s="116" t="s">
        <v>631</v>
      </c>
      <c r="I257" s="116"/>
      <c r="J257" s="127"/>
      <c r="K257" s="4"/>
      <c r="L257" s="4"/>
      <c r="M257" s="128"/>
      <c r="N257" s="4"/>
      <c r="O257" s="4"/>
      <c r="P257" s="4"/>
      <c r="Q257" s="4"/>
      <c r="R257" s="4"/>
      <c r="S257" s="4"/>
      <c r="T257" s="4"/>
      <c r="U257" s="4"/>
      <c r="V257" s="4"/>
      <c r="W257" s="4"/>
      <c r="X257" s="4"/>
      <c r="Y257" s="4"/>
      <c r="Z257" s="45"/>
      <c r="AA257" s="45"/>
      <c r="AB257" s="4"/>
    </row>
    <row r="258" spans="1:28" ht="75">
      <c r="A258" s="126" t="s">
        <v>1222</v>
      </c>
      <c r="B258" s="118"/>
      <c r="C258" s="118"/>
      <c r="D258" s="118"/>
      <c r="E258" s="116"/>
      <c r="F258" s="116" t="s">
        <v>863</v>
      </c>
      <c r="G258" s="116" t="s">
        <v>667</v>
      </c>
      <c r="H258" s="116" t="s">
        <v>668</v>
      </c>
      <c r="I258" s="116"/>
      <c r="J258" s="127"/>
      <c r="K258" s="4"/>
      <c r="L258" s="4"/>
      <c r="M258" s="128"/>
      <c r="N258" s="4"/>
      <c r="O258" s="4"/>
      <c r="P258" s="4"/>
      <c r="Q258" s="4"/>
      <c r="R258" s="4"/>
      <c r="S258" s="4"/>
      <c r="T258" s="4"/>
      <c r="U258" s="4"/>
      <c r="V258" s="4"/>
      <c r="W258" s="4"/>
      <c r="X258" s="4"/>
      <c r="Y258" s="4"/>
      <c r="Z258" s="45"/>
      <c r="AA258" s="45"/>
      <c r="AB258" s="4"/>
    </row>
    <row r="259" spans="1:28" ht="384">
      <c r="A259" s="168" t="s">
        <v>1224</v>
      </c>
      <c r="B259" s="115" t="s">
        <v>1225</v>
      </c>
      <c r="C259" s="115" t="s">
        <v>1226</v>
      </c>
      <c r="D259" s="115" t="s">
        <v>1227</v>
      </c>
      <c r="E259" s="116"/>
      <c r="F259" s="116" t="s">
        <v>860</v>
      </c>
      <c r="G259" s="116" t="s">
        <v>1211</v>
      </c>
      <c r="H259" s="116" t="s">
        <v>1212</v>
      </c>
      <c r="I259" s="116"/>
      <c r="J259" s="127"/>
      <c r="K259" s="4"/>
      <c r="L259" s="4"/>
      <c r="M259" s="128"/>
      <c r="N259" s="4"/>
      <c r="O259" s="4"/>
      <c r="P259" s="4"/>
      <c r="Q259" s="4"/>
      <c r="R259" s="4"/>
      <c r="S259" s="4"/>
      <c r="T259" s="4"/>
      <c r="U259" s="4"/>
      <c r="V259" s="4"/>
      <c r="W259" s="4"/>
      <c r="X259" s="4"/>
      <c r="Y259" s="4"/>
      <c r="Z259" s="45"/>
      <c r="AA259" s="45"/>
      <c r="AB259" s="4"/>
    </row>
    <row r="260" spans="1:28" ht="30">
      <c r="A260" s="168"/>
      <c r="B260" s="118"/>
      <c r="C260" s="118"/>
      <c r="D260" s="118"/>
      <c r="E260" s="116"/>
      <c r="F260" s="116" t="s">
        <v>863</v>
      </c>
      <c r="G260" s="116" t="s">
        <v>1209</v>
      </c>
      <c r="H260" s="116" t="s">
        <v>1210</v>
      </c>
      <c r="I260" s="116"/>
      <c r="J260" s="127"/>
      <c r="K260" s="4"/>
      <c r="L260" s="4"/>
      <c r="M260" s="128"/>
      <c r="N260" s="4"/>
      <c r="O260" s="4"/>
      <c r="P260" s="4"/>
      <c r="Q260" s="4"/>
      <c r="R260" s="4"/>
      <c r="S260" s="4"/>
      <c r="T260" s="4"/>
      <c r="U260" s="4"/>
      <c r="V260" s="4"/>
      <c r="W260" s="4"/>
      <c r="X260" s="4"/>
      <c r="Y260" s="4"/>
      <c r="Z260" s="45"/>
      <c r="AA260" s="45"/>
      <c r="AB260" s="4"/>
    </row>
    <row r="261" spans="1:28" ht="105">
      <c r="A261" s="126" t="s">
        <v>1228</v>
      </c>
      <c r="B261" s="115" t="s">
        <v>1229</v>
      </c>
      <c r="C261" s="115" t="s">
        <v>1073</v>
      </c>
      <c r="D261" s="115" t="s">
        <v>1074</v>
      </c>
      <c r="E261" s="116"/>
      <c r="F261" s="116" t="s">
        <v>860</v>
      </c>
      <c r="G261" s="116" t="s">
        <v>811</v>
      </c>
      <c r="H261" s="116" t="s">
        <v>812</v>
      </c>
      <c r="I261" s="116"/>
      <c r="J261" s="127"/>
      <c r="K261" s="4"/>
      <c r="L261" s="4"/>
      <c r="M261" s="128"/>
      <c r="N261" s="4"/>
      <c r="O261" s="4"/>
      <c r="P261" s="4"/>
      <c r="Q261" s="4"/>
      <c r="R261" s="4"/>
      <c r="S261" s="4"/>
      <c r="T261" s="4"/>
      <c r="U261" s="4"/>
      <c r="V261" s="4"/>
      <c r="W261" s="4"/>
      <c r="X261" s="4"/>
      <c r="Y261" s="4"/>
      <c r="Z261" s="45"/>
      <c r="AA261" s="45"/>
      <c r="AB261" s="4"/>
    </row>
    <row r="262" spans="1:28" ht="30">
      <c r="A262" s="126" t="s">
        <v>1228</v>
      </c>
      <c r="B262" s="118"/>
      <c r="C262" s="118"/>
      <c r="D262" s="118"/>
      <c r="E262" s="116"/>
      <c r="F262" s="116" t="s">
        <v>863</v>
      </c>
      <c r="G262" s="116" t="s">
        <v>807</v>
      </c>
      <c r="H262" s="116" t="s">
        <v>808</v>
      </c>
      <c r="I262" s="116"/>
      <c r="J262" s="127"/>
      <c r="K262" s="4"/>
      <c r="L262" s="4"/>
      <c r="M262" s="128"/>
      <c r="N262" s="4"/>
      <c r="O262" s="4"/>
      <c r="P262" s="4"/>
      <c r="Q262" s="4"/>
      <c r="R262" s="4"/>
      <c r="S262" s="4"/>
      <c r="T262" s="4"/>
      <c r="U262" s="4"/>
      <c r="V262" s="4"/>
      <c r="W262" s="4"/>
      <c r="X262" s="4"/>
      <c r="Y262" s="4"/>
      <c r="Z262" s="45"/>
      <c r="AA262" s="45"/>
      <c r="AB262" s="4"/>
    </row>
    <row r="263" spans="1:28" ht="285">
      <c r="A263" s="126" t="s">
        <v>1230</v>
      </c>
      <c r="B263" s="115" t="s">
        <v>1231</v>
      </c>
      <c r="C263" s="115" t="s">
        <v>1039</v>
      </c>
      <c r="D263" s="115" t="s">
        <v>1040</v>
      </c>
      <c r="E263" s="116"/>
      <c r="F263" s="116" t="s">
        <v>860</v>
      </c>
      <c r="G263" s="116" t="s">
        <v>1043</v>
      </c>
      <c r="H263" s="116" t="s">
        <v>1039</v>
      </c>
      <c r="I263" s="116"/>
      <c r="J263" s="127"/>
      <c r="K263" s="4"/>
      <c r="L263" s="4"/>
      <c r="M263" s="128"/>
      <c r="N263" s="4"/>
      <c r="O263" s="4"/>
      <c r="P263" s="4"/>
      <c r="Q263" s="4"/>
      <c r="R263" s="4"/>
      <c r="S263" s="4"/>
      <c r="T263" s="4"/>
      <c r="U263" s="4"/>
      <c r="V263" s="4"/>
      <c r="W263" s="4"/>
      <c r="X263" s="4"/>
      <c r="Y263" s="4"/>
      <c r="Z263" s="45"/>
      <c r="AA263" s="45"/>
      <c r="AB263" s="4"/>
    </row>
    <row r="264" spans="1:28" ht="270">
      <c r="A264" s="126" t="s">
        <v>1230</v>
      </c>
      <c r="B264" s="117"/>
      <c r="C264" s="117"/>
      <c r="D264" s="117"/>
      <c r="E264" s="116"/>
      <c r="F264" s="116" t="s">
        <v>863</v>
      </c>
      <c r="G264" s="116" t="s">
        <v>1041</v>
      </c>
      <c r="H264" s="116" t="s">
        <v>1039</v>
      </c>
      <c r="I264" s="116"/>
      <c r="J264" s="127"/>
      <c r="K264" s="4"/>
      <c r="L264" s="4"/>
      <c r="M264" s="128"/>
      <c r="N264" s="4"/>
      <c r="O264" s="4"/>
      <c r="P264" s="4"/>
      <c r="Q264" s="4"/>
      <c r="R264" s="4"/>
      <c r="S264" s="4"/>
      <c r="T264" s="4"/>
      <c r="U264" s="4"/>
      <c r="V264" s="4"/>
      <c r="W264" s="4"/>
      <c r="X264" s="4"/>
      <c r="Y264" s="4"/>
      <c r="Z264" s="45"/>
      <c r="AA264" s="45"/>
      <c r="AB264" s="4"/>
    </row>
    <row r="265" spans="1:28" ht="328">
      <c r="A265" s="126" t="s">
        <v>1230</v>
      </c>
      <c r="B265" s="118"/>
      <c r="C265" s="118"/>
      <c r="D265" s="118"/>
      <c r="E265" s="116"/>
      <c r="F265" s="116" t="s">
        <v>865</v>
      </c>
      <c r="G265" s="116" t="s">
        <v>1042</v>
      </c>
      <c r="H265" s="116" t="s">
        <v>1039</v>
      </c>
      <c r="I265" s="116"/>
      <c r="J265" s="127"/>
      <c r="K265" s="4"/>
      <c r="L265" s="4"/>
      <c r="M265" s="128"/>
      <c r="N265" s="4"/>
      <c r="O265" s="4"/>
      <c r="P265" s="4"/>
      <c r="Q265" s="4"/>
      <c r="R265" s="4"/>
      <c r="S265" s="4"/>
      <c r="T265" s="4"/>
      <c r="U265" s="4"/>
      <c r="V265" s="4"/>
      <c r="W265" s="4"/>
      <c r="X265" s="4"/>
      <c r="Y265" s="4"/>
      <c r="Z265" s="45"/>
      <c r="AA265" s="45"/>
      <c r="AB265" s="4"/>
    </row>
    <row r="266" spans="1:28" ht="45">
      <c r="A266" s="168" t="s">
        <v>1232</v>
      </c>
      <c r="B266" s="115" t="s">
        <v>1233</v>
      </c>
      <c r="C266" s="115" t="s">
        <v>1234</v>
      </c>
      <c r="D266" s="115" t="s">
        <v>1235</v>
      </c>
      <c r="E266" s="116"/>
      <c r="F266" s="116" t="s">
        <v>860</v>
      </c>
      <c r="G266" s="116" t="s">
        <v>1236</v>
      </c>
      <c r="H266" s="116" t="s">
        <v>1237</v>
      </c>
      <c r="I266" s="116"/>
      <c r="J266" s="127"/>
      <c r="K266" s="4"/>
      <c r="L266" s="4"/>
      <c r="M266" s="128"/>
      <c r="N266" s="4"/>
      <c r="O266" s="4"/>
      <c r="P266" s="4"/>
      <c r="Q266" s="4"/>
      <c r="R266" s="4"/>
      <c r="S266" s="4"/>
      <c r="T266" s="4"/>
      <c r="U266" s="4"/>
      <c r="V266" s="4"/>
      <c r="W266" s="4"/>
      <c r="X266" s="4"/>
      <c r="Y266" s="4"/>
      <c r="Z266" s="45"/>
      <c r="AA266" s="45"/>
      <c r="AB266" s="4"/>
    </row>
    <row r="267" spans="1:28" ht="165">
      <c r="A267" s="168"/>
      <c r="B267" s="117"/>
      <c r="C267" s="117"/>
      <c r="D267" s="117"/>
      <c r="E267" s="116"/>
      <c r="F267" s="116" t="s">
        <v>863</v>
      </c>
      <c r="G267" s="116" t="s">
        <v>281</v>
      </c>
      <c r="H267" s="116" t="s">
        <v>282</v>
      </c>
      <c r="I267" s="116"/>
      <c r="J267" s="127"/>
      <c r="K267" s="4"/>
      <c r="L267" s="4"/>
      <c r="M267" s="128"/>
      <c r="N267" s="4"/>
      <c r="O267" s="4"/>
      <c r="P267" s="4"/>
      <c r="Q267" s="4"/>
      <c r="R267" s="4"/>
      <c r="S267" s="4"/>
      <c r="T267" s="4"/>
      <c r="U267" s="4"/>
      <c r="V267" s="4"/>
      <c r="W267" s="4"/>
      <c r="X267" s="4"/>
      <c r="Y267" s="4"/>
      <c r="Z267" s="45"/>
      <c r="AA267" s="45"/>
      <c r="AB267" s="4"/>
    </row>
    <row r="268" spans="1:28" ht="45">
      <c r="A268" s="168"/>
      <c r="B268" s="118"/>
      <c r="C268" s="118"/>
      <c r="D268" s="118"/>
      <c r="E268" s="116"/>
      <c r="F268" s="116" t="s">
        <v>865</v>
      </c>
      <c r="G268" s="116" t="s">
        <v>284</v>
      </c>
      <c r="H268" s="116" t="s">
        <v>285</v>
      </c>
      <c r="I268" s="116"/>
      <c r="J268" s="127"/>
      <c r="K268" s="4"/>
      <c r="L268" s="4"/>
      <c r="M268" s="128"/>
      <c r="N268" s="4"/>
      <c r="O268" s="4"/>
      <c r="P268" s="4"/>
      <c r="Q268" s="4"/>
      <c r="R268" s="4"/>
      <c r="S268" s="4"/>
      <c r="T268" s="4"/>
      <c r="U268" s="4"/>
      <c r="V268" s="4"/>
      <c r="W268" s="4"/>
      <c r="X268" s="4"/>
      <c r="Y268" s="4"/>
      <c r="Z268" s="45"/>
      <c r="AA268" s="45"/>
      <c r="AB268" s="4"/>
    </row>
    <row r="269" spans="1:28" ht="30">
      <c r="A269" s="168" t="s">
        <v>1238</v>
      </c>
      <c r="B269" s="115" t="s">
        <v>1239</v>
      </c>
      <c r="C269" s="115" t="s">
        <v>1226</v>
      </c>
      <c r="D269" s="115" t="s">
        <v>1227</v>
      </c>
      <c r="E269" s="116"/>
      <c r="F269" s="116" t="s">
        <v>860</v>
      </c>
      <c r="G269" s="116" t="s">
        <v>1209</v>
      </c>
      <c r="H269" s="116" t="s">
        <v>1210</v>
      </c>
      <c r="I269" s="116"/>
      <c r="J269" s="127"/>
      <c r="K269" s="4"/>
      <c r="L269" s="4"/>
      <c r="M269" s="128"/>
      <c r="N269" s="4"/>
      <c r="O269" s="4"/>
      <c r="P269" s="4"/>
      <c r="Q269" s="4"/>
      <c r="R269" s="4"/>
      <c r="S269" s="4"/>
      <c r="T269" s="4"/>
      <c r="U269" s="4"/>
      <c r="V269" s="4"/>
      <c r="W269" s="4"/>
      <c r="X269" s="4"/>
      <c r="Y269" s="4"/>
      <c r="Z269" s="45"/>
      <c r="AA269" s="45"/>
      <c r="AB269" s="4"/>
    </row>
    <row r="270" spans="1:28" ht="384">
      <c r="A270" s="168"/>
      <c r="B270" s="118"/>
      <c r="C270" s="118"/>
      <c r="D270" s="118"/>
      <c r="E270" s="116"/>
      <c r="F270" s="116" t="s">
        <v>863</v>
      </c>
      <c r="G270" s="116" t="s">
        <v>1211</v>
      </c>
      <c r="H270" s="116" t="s">
        <v>1212</v>
      </c>
      <c r="I270" s="116"/>
      <c r="J270" s="127"/>
      <c r="K270" s="4"/>
      <c r="L270" s="4"/>
      <c r="M270" s="128"/>
      <c r="N270" s="4"/>
      <c r="O270" s="4"/>
      <c r="P270" s="4"/>
      <c r="Q270" s="4"/>
      <c r="R270" s="4"/>
      <c r="S270" s="4"/>
      <c r="T270" s="4"/>
      <c r="U270" s="4"/>
      <c r="V270" s="4"/>
      <c r="W270" s="4"/>
      <c r="X270" s="4"/>
      <c r="Y270" s="4"/>
      <c r="Z270" s="45"/>
      <c r="AA270" s="45"/>
      <c r="AB270" s="4"/>
    </row>
    <row r="271" spans="1:28" ht="60">
      <c r="A271" s="168" t="s">
        <v>1240</v>
      </c>
      <c r="B271" s="115" t="s">
        <v>1241</v>
      </c>
      <c r="C271" s="115" t="s">
        <v>1242</v>
      </c>
      <c r="D271" s="115" t="s">
        <v>1243</v>
      </c>
      <c r="E271" s="116"/>
      <c r="F271" s="116" t="s">
        <v>860</v>
      </c>
      <c r="G271" s="116" t="s">
        <v>1244</v>
      </c>
      <c r="H271" s="116" t="s">
        <v>604</v>
      </c>
      <c r="I271" s="116"/>
      <c r="J271" s="127"/>
      <c r="K271" s="4"/>
      <c r="L271" s="4"/>
      <c r="M271" s="128"/>
      <c r="N271" s="4"/>
      <c r="O271" s="4"/>
      <c r="P271" s="4"/>
      <c r="Q271" s="4"/>
      <c r="R271" s="4"/>
      <c r="S271" s="4"/>
      <c r="T271" s="4"/>
      <c r="U271" s="4"/>
      <c r="V271" s="4"/>
      <c r="W271" s="4"/>
      <c r="X271" s="4"/>
      <c r="Y271" s="4"/>
      <c r="Z271" s="45"/>
      <c r="AA271" s="45"/>
      <c r="AB271" s="4"/>
    </row>
    <row r="272" spans="1:28" ht="90">
      <c r="A272" s="168"/>
      <c r="B272" s="118"/>
      <c r="C272" s="118"/>
      <c r="D272" s="118"/>
      <c r="E272" s="116"/>
      <c r="F272" s="116" t="s">
        <v>863</v>
      </c>
      <c r="G272" s="116" t="s">
        <v>441</v>
      </c>
      <c r="H272" s="116" t="s">
        <v>442</v>
      </c>
      <c r="I272" s="116"/>
      <c r="J272" s="127"/>
      <c r="K272" s="4"/>
      <c r="L272" s="4"/>
      <c r="M272" s="128"/>
      <c r="N272" s="4"/>
      <c r="O272" s="4"/>
      <c r="P272" s="4"/>
      <c r="Q272" s="4"/>
      <c r="R272" s="4"/>
      <c r="S272" s="4"/>
      <c r="T272" s="4"/>
      <c r="U272" s="4"/>
      <c r="V272" s="4"/>
      <c r="W272" s="4"/>
      <c r="X272" s="4"/>
      <c r="Y272" s="4"/>
      <c r="Z272" s="45"/>
      <c r="AA272" s="45"/>
      <c r="AB272" s="4"/>
    </row>
    <row r="273" spans="1:28" ht="90">
      <c r="A273" s="168" t="s">
        <v>1245</v>
      </c>
      <c r="B273" s="115" t="s">
        <v>1246</v>
      </c>
      <c r="C273" s="115" t="s">
        <v>1126</v>
      </c>
      <c r="D273" s="115" t="s">
        <v>1247</v>
      </c>
      <c r="E273" s="116"/>
      <c r="F273" s="116" t="s">
        <v>860</v>
      </c>
      <c r="G273" s="116" t="s">
        <v>772</v>
      </c>
      <c r="H273" s="116" t="s">
        <v>668</v>
      </c>
      <c r="I273" s="116"/>
      <c r="J273" s="127"/>
      <c r="K273" s="4"/>
      <c r="L273" s="4"/>
      <c r="M273" s="128"/>
      <c r="N273" s="4"/>
      <c r="O273" s="4"/>
      <c r="P273" s="4"/>
      <c r="Q273" s="4"/>
      <c r="R273" s="4"/>
      <c r="S273" s="4"/>
      <c r="T273" s="4"/>
      <c r="U273" s="4"/>
      <c r="V273" s="4"/>
      <c r="W273" s="4"/>
      <c r="X273" s="4"/>
      <c r="Y273" s="4"/>
      <c r="Z273" s="45"/>
      <c r="AA273" s="45"/>
      <c r="AB273" s="4"/>
    </row>
    <row r="274" spans="1:28" ht="45">
      <c r="A274" s="168"/>
      <c r="B274" s="118"/>
      <c r="C274" s="118"/>
      <c r="D274" s="118"/>
      <c r="E274" s="116"/>
      <c r="F274" s="116" t="s">
        <v>863</v>
      </c>
      <c r="G274" s="116" t="s">
        <v>630</v>
      </c>
      <c r="H274" s="116" t="s">
        <v>631</v>
      </c>
      <c r="I274" s="116"/>
      <c r="J274" s="127"/>
      <c r="K274" s="4"/>
      <c r="L274" s="4"/>
      <c r="M274" s="128"/>
      <c r="N274" s="4"/>
      <c r="O274" s="4"/>
      <c r="P274" s="4"/>
      <c r="Q274" s="4"/>
      <c r="R274" s="4"/>
      <c r="S274" s="4"/>
      <c r="T274" s="4"/>
      <c r="U274" s="4"/>
      <c r="V274" s="4"/>
      <c r="W274" s="4"/>
      <c r="X274" s="4"/>
      <c r="Y274" s="4"/>
      <c r="Z274" s="45"/>
      <c r="AA274" s="45"/>
      <c r="AB274" s="4"/>
    </row>
    <row r="275" spans="1:28" ht="45">
      <c r="A275" s="168" t="s">
        <v>1248</v>
      </c>
      <c r="B275" s="115" t="s">
        <v>1249</v>
      </c>
      <c r="C275" s="115" t="s">
        <v>1092</v>
      </c>
      <c r="D275" s="115" t="s">
        <v>1093</v>
      </c>
      <c r="E275" s="116"/>
      <c r="F275" s="116" t="s">
        <v>860</v>
      </c>
      <c r="G275" s="116" t="s">
        <v>1094</v>
      </c>
      <c r="H275" s="116" t="s">
        <v>1095</v>
      </c>
      <c r="I275" s="116"/>
      <c r="J275" s="127"/>
      <c r="K275" s="4"/>
      <c r="L275" s="4"/>
      <c r="M275" s="128"/>
      <c r="N275" s="4"/>
      <c r="O275" s="4"/>
      <c r="P275" s="4"/>
      <c r="Q275" s="4"/>
      <c r="R275" s="4"/>
      <c r="S275" s="4"/>
      <c r="T275" s="106">
        <v>1</v>
      </c>
      <c r="U275" s="4"/>
      <c r="V275" s="4"/>
      <c r="W275" s="4"/>
      <c r="X275" s="4"/>
      <c r="Y275" s="4"/>
      <c r="Z275" s="45"/>
      <c r="AA275" s="45"/>
      <c r="AB275" s="4"/>
    </row>
    <row r="276" spans="1:28" ht="30">
      <c r="A276" s="168"/>
      <c r="B276" s="118"/>
      <c r="C276" s="118"/>
      <c r="D276" s="118"/>
      <c r="E276" s="116"/>
      <c r="F276" s="116" t="s">
        <v>863</v>
      </c>
      <c r="G276" s="116" t="s">
        <v>1096</v>
      </c>
      <c r="H276" s="116" t="s">
        <v>1097</v>
      </c>
      <c r="I276" s="116"/>
      <c r="J276" s="127"/>
      <c r="K276" s="4"/>
      <c r="L276" s="4"/>
      <c r="M276" s="128"/>
      <c r="N276" s="4"/>
      <c r="O276" s="4"/>
      <c r="P276" s="4"/>
      <c r="Q276" s="4"/>
      <c r="R276" s="4"/>
      <c r="S276" s="4"/>
      <c r="T276" s="106"/>
      <c r="U276" s="4"/>
      <c r="V276" s="4"/>
      <c r="W276" s="4"/>
      <c r="X276" s="4"/>
      <c r="Y276" s="4"/>
      <c r="Z276" s="45"/>
      <c r="AA276" s="45"/>
      <c r="AB276" s="4"/>
    </row>
    <row r="277" spans="1:28" ht="75">
      <c r="A277" s="168" t="s">
        <v>1250</v>
      </c>
      <c r="B277" s="115" t="s">
        <v>1251</v>
      </c>
      <c r="C277" s="115" t="s">
        <v>1252</v>
      </c>
      <c r="D277" s="115" t="s">
        <v>1253</v>
      </c>
      <c r="E277" s="116"/>
      <c r="F277" s="116" t="s">
        <v>860</v>
      </c>
      <c r="G277" s="116" t="s">
        <v>667</v>
      </c>
      <c r="H277" s="116" t="s">
        <v>668</v>
      </c>
      <c r="I277" s="116"/>
      <c r="J277" s="127"/>
      <c r="K277" s="4"/>
      <c r="L277" s="4"/>
      <c r="M277" s="128"/>
      <c r="N277" s="4"/>
      <c r="O277" s="4"/>
      <c r="P277" s="4"/>
      <c r="Q277" s="4"/>
      <c r="R277" s="4"/>
      <c r="S277" s="4"/>
      <c r="T277" s="4"/>
      <c r="U277" s="4"/>
      <c r="V277" s="4"/>
      <c r="W277" s="4"/>
      <c r="X277" s="4"/>
      <c r="Y277" s="4"/>
      <c r="Z277" s="45"/>
      <c r="AA277" s="45"/>
      <c r="AB277" s="4"/>
    </row>
    <row r="278" spans="1:28" ht="45">
      <c r="A278" s="168"/>
      <c r="B278" s="118"/>
      <c r="C278" s="118"/>
      <c r="D278" s="118"/>
      <c r="E278" s="116"/>
      <c r="F278" s="116" t="s">
        <v>863</v>
      </c>
      <c r="G278" s="116" t="s">
        <v>663</v>
      </c>
      <c r="H278" s="116" t="s">
        <v>631</v>
      </c>
      <c r="I278" s="116"/>
      <c r="J278" s="127"/>
      <c r="K278" s="4"/>
      <c r="L278" s="4"/>
      <c r="M278" s="128"/>
      <c r="N278" s="4"/>
      <c r="O278" s="4"/>
      <c r="P278" s="4"/>
      <c r="Q278" s="4"/>
      <c r="R278" s="4"/>
      <c r="S278" s="4"/>
      <c r="T278" s="4"/>
      <c r="U278" s="4"/>
      <c r="V278" s="4"/>
      <c r="W278" s="4"/>
      <c r="X278" s="4"/>
      <c r="Y278" s="4"/>
      <c r="Z278" s="45"/>
      <c r="AA278" s="45"/>
      <c r="AB278" s="4"/>
    </row>
    <row r="279" spans="1:28" ht="90">
      <c r="A279" s="168" t="s">
        <v>1254</v>
      </c>
      <c r="B279" s="115" t="s">
        <v>1255</v>
      </c>
      <c r="C279" s="115" t="s">
        <v>1256</v>
      </c>
      <c r="D279" s="115" t="s">
        <v>1257</v>
      </c>
      <c r="E279" s="116"/>
      <c r="F279" s="116" t="s">
        <v>860</v>
      </c>
      <c r="G279" s="116" t="s">
        <v>795</v>
      </c>
      <c r="H279" s="116" t="s">
        <v>796</v>
      </c>
      <c r="I279" s="116"/>
      <c r="J279" s="127"/>
      <c r="K279" s="4"/>
      <c r="L279" s="4"/>
      <c r="M279" s="128"/>
      <c r="N279" s="4"/>
      <c r="O279" s="4"/>
      <c r="P279" s="4"/>
      <c r="Q279" s="4"/>
      <c r="R279" s="4"/>
      <c r="S279" s="4"/>
      <c r="T279" s="106">
        <v>1</v>
      </c>
      <c r="U279" s="4"/>
      <c r="V279" s="4"/>
      <c r="W279" s="4"/>
      <c r="X279" s="4"/>
      <c r="Y279" s="4"/>
      <c r="Z279" s="45"/>
      <c r="AA279" s="45"/>
      <c r="AB279" s="4"/>
    </row>
    <row r="280" spans="1:28" ht="60">
      <c r="A280" s="168"/>
      <c r="B280" s="117"/>
      <c r="C280" s="117"/>
      <c r="D280" s="117"/>
      <c r="E280" s="116"/>
      <c r="F280" s="116" t="s">
        <v>863</v>
      </c>
      <c r="G280" s="116" t="s">
        <v>790</v>
      </c>
      <c r="H280" s="116" t="s">
        <v>791</v>
      </c>
      <c r="I280" s="116"/>
      <c r="J280" s="127"/>
      <c r="K280" s="4"/>
      <c r="L280" s="4"/>
      <c r="M280" s="128"/>
      <c r="N280" s="4"/>
      <c r="O280" s="4"/>
      <c r="P280" s="4"/>
      <c r="Q280" s="4"/>
      <c r="R280" s="4"/>
      <c r="S280" s="4"/>
      <c r="T280" s="106"/>
      <c r="U280" s="4"/>
      <c r="V280" s="4"/>
      <c r="W280" s="4"/>
      <c r="X280" s="4"/>
      <c r="Y280" s="4"/>
      <c r="Z280" s="45"/>
      <c r="AA280" s="45"/>
      <c r="AB280" s="4"/>
    </row>
    <row r="281" spans="1:28" ht="60">
      <c r="A281" s="168"/>
      <c r="B281" s="118"/>
      <c r="C281" s="118"/>
      <c r="D281" s="118"/>
      <c r="E281" s="116"/>
      <c r="F281" s="116" t="s">
        <v>865</v>
      </c>
      <c r="G281" s="116" t="s">
        <v>1258</v>
      </c>
      <c r="H281" s="116" t="s">
        <v>793</v>
      </c>
      <c r="I281" s="116"/>
      <c r="J281" s="127"/>
      <c r="K281" s="4"/>
      <c r="L281" s="4"/>
      <c r="M281" s="128"/>
      <c r="N281" s="4"/>
      <c r="O281" s="4"/>
      <c r="P281" s="4"/>
      <c r="Q281" s="4"/>
      <c r="R281" s="4"/>
      <c r="S281" s="4"/>
      <c r="T281" s="106"/>
      <c r="U281" s="4"/>
      <c r="V281" s="4"/>
      <c r="W281" s="4"/>
      <c r="X281" s="4"/>
      <c r="Y281" s="4"/>
      <c r="Z281" s="45"/>
      <c r="AA281" s="45"/>
      <c r="AB281" s="4"/>
    </row>
    <row r="282" spans="1:28" ht="409.6">
      <c r="A282" s="126" t="s">
        <v>1259</v>
      </c>
      <c r="B282" s="115" t="s">
        <v>1260</v>
      </c>
      <c r="C282" s="115" t="s">
        <v>1261</v>
      </c>
      <c r="D282" s="116" t="s">
        <v>1262</v>
      </c>
      <c r="E282" s="116"/>
      <c r="F282" s="116" t="s">
        <v>860</v>
      </c>
      <c r="G282" s="116" t="s">
        <v>356</v>
      </c>
      <c r="H282" s="116" t="s">
        <v>357</v>
      </c>
      <c r="I282" s="116"/>
      <c r="J282" s="127"/>
      <c r="K282" s="4"/>
      <c r="L282" s="4"/>
      <c r="M282" s="128"/>
      <c r="N282" s="4"/>
      <c r="O282" s="4"/>
      <c r="P282" s="4"/>
      <c r="Q282" s="4"/>
      <c r="R282" s="4"/>
      <c r="S282" s="4"/>
      <c r="T282" s="4"/>
      <c r="U282" s="4"/>
      <c r="V282" s="4"/>
      <c r="W282" s="4"/>
      <c r="X282" s="4"/>
      <c r="Y282" s="4"/>
      <c r="Z282" s="45"/>
      <c r="AA282" s="45"/>
      <c r="AB282" s="4"/>
    </row>
    <row r="283" spans="1:28" ht="370">
      <c r="A283" s="126" t="s">
        <v>1259</v>
      </c>
      <c r="B283" s="118"/>
      <c r="C283" s="117"/>
      <c r="D283" s="116"/>
      <c r="E283" s="116"/>
      <c r="F283" s="116" t="s">
        <v>863</v>
      </c>
      <c r="G283" s="116" t="s">
        <v>363</v>
      </c>
      <c r="H283" s="116" t="s">
        <v>364</v>
      </c>
      <c r="I283" s="116"/>
      <c r="J283" s="127"/>
      <c r="K283" s="4"/>
      <c r="L283" s="4"/>
      <c r="M283" s="128"/>
      <c r="N283" s="4"/>
      <c r="O283" s="4"/>
      <c r="P283" s="4"/>
      <c r="Q283" s="4"/>
      <c r="R283" s="4"/>
      <c r="S283" s="4"/>
      <c r="T283" s="4"/>
      <c r="U283" s="4"/>
      <c r="V283" s="4"/>
      <c r="W283" s="4"/>
      <c r="X283" s="4"/>
      <c r="Y283" s="4"/>
      <c r="Z283" s="45"/>
      <c r="AA283" s="45"/>
      <c r="AB283" s="4"/>
    </row>
    <row r="284" spans="1:28" ht="409.6">
      <c r="A284" s="126" t="s">
        <v>1263</v>
      </c>
      <c r="B284" s="115" t="s">
        <v>1264</v>
      </c>
      <c r="C284" s="115" t="s">
        <v>1265</v>
      </c>
      <c r="D284" s="116" t="s">
        <v>1266</v>
      </c>
      <c r="E284" s="116"/>
      <c r="F284" s="116" t="s">
        <v>860</v>
      </c>
      <c r="G284" s="116" t="s">
        <v>902</v>
      </c>
      <c r="H284" s="116" t="s">
        <v>903</v>
      </c>
      <c r="I284" s="116"/>
      <c r="J284" s="127"/>
      <c r="K284" s="4"/>
      <c r="L284" s="4"/>
      <c r="M284" s="128"/>
      <c r="N284" s="4"/>
      <c r="O284" s="4"/>
      <c r="P284" s="4"/>
      <c r="Q284" s="4"/>
      <c r="R284" s="4"/>
      <c r="S284" s="4"/>
      <c r="T284" s="106">
        <v>1</v>
      </c>
      <c r="U284" s="4"/>
      <c r="V284" s="4"/>
      <c r="W284" s="4"/>
      <c r="X284" s="4"/>
      <c r="Y284" s="4"/>
      <c r="Z284" s="45"/>
      <c r="AA284" s="45"/>
      <c r="AB284" s="4"/>
    </row>
    <row r="285" spans="1:28" ht="180">
      <c r="A285" s="126" t="s">
        <v>1263</v>
      </c>
      <c r="B285" s="117"/>
      <c r="C285" s="117"/>
      <c r="D285" s="116"/>
      <c r="E285" s="116"/>
      <c r="F285" s="116" t="s">
        <v>863</v>
      </c>
      <c r="G285" s="116" t="s">
        <v>908</v>
      </c>
      <c r="H285" s="116" t="s">
        <v>909</v>
      </c>
      <c r="I285" s="116"/>
      <c r="J285" s="127"/>
      <c r="K285" s="4"/>
      <c r="L285" s="4"/>
      <c r="M285" s="128"/>
      <c r="N285" s="4"/>
      <c r="O285" s="4"/>
      <c r="P285" s="4"/>
      <c r="Q285" s="4"/>
      <c r="R285" s="4"/>
      <c r="S285" s="4"/>
      <c r="T285" s="106"/>
      <c r="U285" s="4"/>
      <c r="V285" s="4"/>
      <c r="W285" s="4"/>
      <c r="X285" s="4"/>
      <c r="Y285" s="4"/>
      <c r="Z285" s="45"/>
      <c r="AA285" s="45"/>
      <c r="AB285" s="4"/>
    </row>
    <row r="286" spans="1:28" ht="75">
      <c r="A286" s="126" t="s">
        <v>1263</v>
      </c>
      <c r="B286" s="118"/>
      <c r="C286" s="118"/>
      <c r="D286" s="116"/>
      <c r="E286" s="116"/>
      <c r="F286" s="116" t="s">
        <v>865</v>
      </c>
      <c r="G286" s="116" t="s">
        <v>906</v>
      </c>
      <c r="H286" s="116" t="s">
        <v>907</v>
      </c>
      <c r="I286" s="116"/>
      <c r="J286" s="127"/>
      <c r="K286" s="4"/>
      <c r="L286" s="4"/>
      <c r="M286" s="128"/>
      <c r="N286" s="4"/>
      <c r="O286" s="4"/>
      <c r="P286" s="4"/>
      <c r="Q286" s="4"/>
      <c r="R286" s="4"/>
      <c r="S286" s="4"/>
      <c r="T286" s="106"/>
      <c r="U286" s="4"/>
      <c r="V286" s="4"/>
      <c r="W286" s="4"/>
      <c r="X286" s="4"/>
      <c r="Y286" s="4"/>
      <c r="Z286" s="45"/>
      <c r="AA286" s="45"/>
      <c r="AB286" s="4"/>
    </row>
    <row r="287" spans="1:28" ht="356">
      <c r="A287" s="126" t="s">
        <v>1267</v>
      </c>
      <c r="B287" s="116" t="s">
        <v>1268</v>
      </c>
      <c r="C287" s="116" t="s">
        <v>781</v>
      </c>
      <c r="D287" s="116" t="s">
        <v>1269</v>
      </c>
      <c r="E287" s="116"/>
      <c r="F287" s="116" t="s">
        <v>860</v>
      </c>
      <c r="G287" s="116" t="s">
        <v>1269</v>
      </c>
      <c r="H287" s="116" t="s">
        <v>781</v>
      </c>
      <c r="I287" s="116"/>
      <c r="J287" s="127"/>
      <c r="K287" s="4"/>
      <c r="L287" s="4"/>
      <c r="M287" s="128"/>
      <c r="N287" s="4"/>
      <c r="O287" s="4"/>
      <c r="P287" s="4"/>
      <c r="Q287" s="4"/>
      <c r="R287" s="4"/>
      <c r="S287" s="4"/>
      <c r="T287" s="4"/>
      <c r="U287" s="4"/>
      <c r="V287" s="4"/>
      <c r="W287" s="4"/>
      <c r="X287" s="4"/>
      <c r="Y287" s="4"/>
      <c r="Z287" s="45"/>
      <c r="AA287" s="45"/>
      <c r="AB287" s="4"/>
    </row>
    <row r="288" spans="1:28" ht="240">
      <c r="A288" s="126" t="s">
        <v>1270</v>
      </c>
      <c r="B288" s="115" t="s">
        <v>1271</v>
      </c>
      <c r="C288" s="116" t="s">
        <v>1272</v>
      </c>
      <c r="D288" s="116" t="s">
        <v>1273</v>
      </c>
      <c r="E288" s="116"/>
      <c r="F288" s="116" t="s">
        <v>860</v>
      </c>
      <c r="G288" s="116" t="s">
        <v>630</v>
      </c>
      <c r="H288" s="116" t="s">
        <v>631</v>
      </c>
      <c r="I288" s="116"/>
      <c r="J288" s="127"/>
      <c r="K288" s="4"/>
      <c r="L288" s="4"/>
      <c r="M288" s="128"/>
      <c r="N288" s="4"/>
      <c r="O288" s="4"/>
      <c r="P288" s="4"/>
      <c r="Q288" s="4"/>
      <c r="R288" s="4"/>
      <c r="S288" s="4"/>
      <c r="T288" s="4"/>
      <c r="U288" s="4"/>
      <c r="V288" s="4"/>
      <c r="W288" s="4"/>
      <c r="X288" s="4"/>
      <c r="Y288" s="4"/>
      <c r="Z288" s="45"/>
      <c r="AA288" s="45"/>
      <c r="AB288" s="4"/>
    </row>
    <row r="289" spans="1:28" ht="90">
      <c r="A289" s="126" t="s">
        <v>1270</v>
      </c>
      <c r="B289" s="118"/>
      <c r="C289" s="116"/>
      <c r="D289" s="116"/>
      <c r="E289" s="116"/>
      <c r="F289" s="116" t="s">
        <v>863</v>
      </c>
      <c r="G289" s="116" t="s">
        <v>772</v>
      </c>
      <c r="H289" s="116" t="s">
        <v>668</v>
      </c>
      <c r="I289" s="116"/>
      <c r="J289" s="127"/>
      <c r="K289" s="4"/>
      <c r="L289" s="4"/>
      <c r="M289" s="128"/>
      <c r="N289" s="4"/>
      <c r="O289" s="4"/>
      <c r="P289" s="4"/>
      <c r="Q289" s="4"/>
      <c r="R289" s="4"/>
      <c r="S289" s="4"/>
      <c r="T289" s="4"/>
      <c r="U289" s="4"/>
      <c r="V289" s="4"/>
      <c r="W289" s="4"/>
      <c r="X289" s="4"/>
      <c r="Y289" s="4"/>
      <c r="Z289" s="45"/>
      <c r="AA289" s="45"/>
      <c r="AB289" s="4"/>
    </row>
    <row r="290" spans="1:28" ht="90">
      <c r="A290" s="126" t="s">
        <v>1274</v>
      </c>
      <c r="B290" s="115" t="s">
        <v>1275</v>
      </c>
      <c r="C290" s="116" t="s">
        <v>1073</v>
      </c>
      <c r="D290" s="116" t="s">
        <v>1074</v>
      </c>
      <c r="E290" s="116"/>
      <c r="F290" s="116" t="s">
        <v>860</v>
      </c>
      <c r="G290" s="116" t="s">
        <v>807</v>
      </c>
      <c r="H290" s="116" t="s">
        <v>808</v>
      </c>
      <c r="I290" s="116"/>
      <c r="J290" s="127"/>
      <c r="K290" s="4"/>
      <c r="L290" s="4"/>
      <c r="M290" s="128"/>
      <c r="N290" s="4"/>
      <c r="O290" s="4"/>
      <c r="P290" s="4"/>
      <c r="Q290" s="4"/>
      <c r="R290" s="4"/>
      <c r="S290" s="4"/>
      <c r="T290" s="4"/>
      <c r="U290" s="4"/>
      <c r="V290" s="4"/>
      <c r="W290" s="4"/>
      <c r="X290" s="4"/>
      <c r="Y290" s="4"/>
      <c r="Z290" s="45"/>
      <c r="AA290" s="45"/>
      <c r="AB290" s="4"/>
    </row>
    <row r="291" spans="1:28" ht="105">
      <c r="A291" s="126" t="s">
        <v>1274</v>
      </c>
      <c r="B291" s="118"/>
      <c r="C291" s="116"/>
      <c r="D291" s="116"/>
      <c r="E291" s="116"/>
      <c r="F291" s="116" t="s">
        <v>863</v>
      </c>
      <c r="G291" s="116" t="s">
        <v>811</v>
      </c>
      <c r="H291" s="116" t="s">
        <v>812</v>
      </c>
      <c r="I291" s="116"/>
      <c r="J291" s="127"/>
      <c r="K291" s="4"/>
      <c r="L291" s="4"/>
      <c r="M291" s="128"/>
      <c r="N291" s="4"/>
      <c r="O291" s="4"/>
      <c r="P291" s="4"/>
      <c r="Q291" s="4"/>
      <c r="R291" s="4"/>
      <c r="S291" s="4"/>
      <c r="T291" s="4"/>
      <c r="U291" s="4"/>
      <c r="V291" s="4"/>
      <c r="W291" s="4"/>
      <c r="X291" s="4"/>
      <c r="Y291" s="4"/>
      <c r="Z291" s="45"/>
      <c r="AA291" s="45"/>
      <c r="AB291" s="4"/>
    </row>
    <row r="292" spans="1:28" ht="90">
      <c r="A292" s="126" t="s">
        <v>1276</v>
      </c>
      <c r="B292" s="115" t="s">
        <v>1277</v>
      </c>
      <c r="C292" s="116" t="s">
        <v>1217</v>
      </c>
      <c r="D292" s="116" t="s">
        <v>1278</v>
      </c>
      <c r="E292" s="116"/>
      <c r="F292" s="116" t="s">
        <v>860</v>
      </c>
      <c r="G292" s="116" t="s">
        <v>1220</v>
      </c>
      <c r="H292" s="116" t="s">
        <v>1221</v>
      </c>
      <c r="I292" s="116"/>
      <c r="J292" s="127"/>
      <c r="K292" s="4"/>
      <c r="L292" s="4"/>
      <c r="M292" s="128"/>
      <c r="N292" s="4"/>
      <c r="O292" s="4"/>
      <c r="P292" s="4"/>
      <c r="Q292" s="4"/>
      <c r="R292" s="4"/>
      <c r="S292" s="4"/>
      <c r="T292" s="4"/>
      <c r="U292" s="4"/>
      <c r="V292" s="4"/>
      <c r="W292" s="4"/>
      <c r="X292" s="4"/>
      <c r="Y292" s="4"/>
      <c r="Z292" s="45"/>
      <c r="AA292" s="45"/>
      <c r="AB292" s="4"/>
    </row>
    <row r="293" spans="1:28" ht="135">
      <c r="A293" s="126" t="s">
        <v>1276</v>
      </c>
      <c r="B293" s="118"/>
      <c r="C293" s="116"/>
      <c r="D293" s="116"/>
      <c r="E293" s="116"/>
      <c r="F293" s="116" t="s">
        <v>863</v>
      </c>
      <c r="G293" s="116" t="s">
        <v>1279</v>
      </c>
      <c r="H293" s="116" t="s">
        <v>509</v>
      </c>
      <c r="I293" s="116"/>
      <c r="J293" s="127"/>
      <c r="K293" s="4"/>
      <c r="L293" s="4"/>
      <c r="M293" s="128"/>
      <c r="N293" s="4"/>
      <c r="O293" s="4"/>
      <c r="P293" s="4"/>
      <c r="Q293" s="4"/>
      <c r="R293" s="4"/>
      <c r="S293" s="4"/>
      <c r="T293" s="4"/>
      <c r="U293" s="4"/>
      <c r="V293" s="4"/>
      <c r="W293" s="4"/>
      <c r="X293" s="4"/>
      <c r="Y293" s="4"/>
      <c r="Z293" s="45"/>
      <c r="AA293" s="45"/>
      <c r="AB293" s="4"/>
    </row>
    <row r="294" spans="1:28" ht="180">
      <c r="A294" s="126" t="s">
        <v>1280</v>
      </c>
      <c r="B294" s="115" t="s">
        <v>1281</v>
      </c>
      <c r="C294" s="116" t="s">
        <v>1021</v>
      </c>
      <c r="D294" s="116" t="s">
        <v>1022</v>
      </c>
      <c r="E294" s="116"/>
      <c r="F294" s="116" t="s">
        <v>860</v>
      </c>
      <c r="G294" s="116" t="s">
        <v>257</v>
      </c>
      <c r="H294" s="116" t="s">
        <v>258</v>
      </c>
      <c r="I294" s="116"/>
      <c r="J294" s="127"/>
      <c r="K294" s="4"/>
      <c r="L294" s="4"/>
      <c r="M294" s="128"/>
      <c r="N294" s="4"/>
      <c r="O294" s="4"/>
      <c r="P294" s="4"/>
      <c r="Q294" s="4"/>
      <c r="R294" s="4"/>
      <c r="S294" s="4"/>
      <c r="T294" s="4"/>
      <c r="U294" s="4"/>
      <c r="V294" s="4"/>
      <c r="W294" s="4"/>
      <c r="X294" s="4"/>
      <c r="Y294" s="4"/>
      <c r="Z294" s="45"/>
      <c r="AA294" s="45"/>
      <c r="AB294" s="4"/>
    </row>
    <row r="295" spans="1:28" ht="135">
      <c r="A295" s="126" t="s">
        <v>1280</v>
      </c>
      <c r="B295" s="118"/>
      <c r="C295" s="116"/>
      <c r="D295" s="116"/>
      <c r="E295" s="116"/>
      <c r="F295" s="116" t="s">
        <v>863</v>
      </c>
      <c r="G295" s="116" t="s">
        <v>253</v>
      </c>
      <c r="H295" s="116" t="s">
        <v>254</v>
      </c>
      <c r="I295" s="116"/>
      <c r="J295" s="127"/>
      <c r="K295" s="4"/>
      <c r="L295" s="4"/>
      <c r="M295" s="128"/>
      <c r="N295" s="4"/>
      <c r="O295" s="4"/>
      <c r="P295" s="4"/>
      <c r="Q295" s="4"/>
      <c r="R295" s="4"/>
      <c r="S295" s="4"/>
      <c r="T295" s="4"/>
      <c r="U295" s="4"/>
      <c r="V295" s="4"/>
      <c r="W295" s="4"/>
      <c r="X295" s="4"/>
      <c r="Y295" s="4"/>
      <c r="Z295" s="45"/>
      <c r="AA295" s="45"/>
      <c r="AB295" s="4"/>
    </row>
    <row r="296" spans="1:28" ht="356">
      <c r="A296" s="126" t="s">
        <v>1282</v>
      </c>
      <c r="B296" s="115" t="s">
        <v>1283</v>
      </c>
      <c r="C296" s="116" t="s">
        <v>1284</v>
      </c>
      <c r="D296" s="116" t="s">
        <v>1285</v>
      </c>
      <c r="E296" s="116"/>
      <c r="F296" s="116" t="s">
        <v>860</v>
      </c>
      <c r="G296" s="116" t="s">
        <v>1286</v>
      </c>
      <c r="H296" s="116" t="s">
        <v>753</v>
      </c>
      <c r="I296" s="116"/>
      <c r="J296" s="127"/>
      <c r="K296" s="4"/>
      <c r="L296" s="4"/>
      <c r="M296" s="128"/>
      <c r="N296" s="4"/>
      <c r="O296" s="4"/>
      <c r="P296" s="4"/>
      <c r="Q296" s="4"/>
      <c r="R296" s="4"/>
      <c r="S296" s="4"/>
      <c r="T296" s="4"/>
      <c r="U296" s="4"/>
      <c r="V296" s="4"/>
      <c r="W296" s="4"/>
      <c r="X296" s="4"/>
      <c r="Y296" s="4"/>
      <c r="Z296" s="45"/>
      <c r="AA296" s="45"/>
      <c r="AB296" s="4"/>
    </row>
    <row r="297" spans="1:28" ht="60">
      <c r="A297" s="126" t="s">
        <v>1282</v>
      </c>
      <c r="B297" s="118"/>
      <c r="C297" s="116"/>
      <c r="D297" s="116"/>
      <c r="E297" s="116"/>
      <c r="F297" s="116" t="s">
        <v>863</v>
      </c>
      <c r="G297" s="116" t="s">
        <v>1287</v>
      </c>
      <c r="H297" s="116" t="s">
        <v>1288</v>
      </c>
      <c r="I297" s="116"/>
      <c r="J297" s="127"/>
      <c r="K297" s="4"/>
      <c r="L297" s="4"/>
      <c r="M297" s="128"/>
      <c r="N297" s="4"/>
      <c r="O297" s="4"/>
      <c r="P297" s="4"/>
      <c r="Q297" s="4"/>
      <c r="R297" s="4"/>
      <c r="S297" s="4"/>
      <c r="T297" s="4"/>
      <c r="U297" s="4"/>
      <c r="V297" s="4"/>
      <c r="W297" s="4"/>
      <c r="X297" s="4"/>
      <c r="Y297" s="4"/>
      <c r="Z297" s="45"/>
      <c r="AA297" s="45"/>
      <c r="AB297" s="4"/>
    </row>
    <row r="298" spans="1:28" ht="370">
      <c r="A298" s="126" t="s">
        <v>1289</v>
      </c>
      <c r="B298" s="115" t="s">
        <v>1290</v>
      </c>
      <c r="C298" s="116" t="s">
        <v>1291</v>
      </c>
      <c r="D298" s="116" t="s">
        <v>1292</v>
      </c>
      <c r="E298" s="116"/>
      <c r="F298" s="116" t="s">
        <v>860</v>
      </c>
      <c r="G298" s="116" t="s">
        <v>257</v>
      </c>
      <c r="H298" s="116" t="s">
        <v>258</v>
      </c>
      <c r="I298" s="116"/>
      <c r="J298" s="127"/>
      <c r="K298" s="4"/>
      <c r="L298" s="4"/>
      <c r="M298" s="128"/>
      <c r="N298" s="4"/>
      <c r="O298" s="4"/>
      <c r="P298" s="4"/>
      <c r="Q298" s="4"/>
      <c r="R298" s="4"/>
      <c r="S298" s="4"/>
      <c r="T298" s="4"/>
      <c r="U298" s="4"/>
      <c r="V298" s="4"/>
      <c r="W298" s="4"/>
      <c r="X298" s="4"/>
      <c r="Y298" s="4"/>
      <c r="Z298" s="45"/>
      <c r="AA298" s="45"/>
      <c r="AB298" s="4"/>
    </row>
    <row r="299" spans="1:28" ht="135">
      <c r="A299" s="126" t="s">
        <v>1289</v>
      </c>
      <c r="B299" s="118"/>
      <c r="C299" s="116"/>
      <c r="D299" s="116"/>
      <c r="E299" s="116"/>
      <c r="F299" s="116" t="s">
        <v>863</v>
      </c>
      <c r="G299" s="116" t="s">
        <v>253</v>
      </c>
      <c r="H299" s="116" t="s">
        <v>254</v>
      </c>
      <c r="I299" s="116"/>
      <c r="J299" s="127"/>
      <c r="K299" s="4"/>
      <c r="L299" s="4"/>
      <c r="M299" s="128"/>
      <c r="N299" s="4"/>
      <c r="O299" s="4"/>
      <c r="P299" s="4"/>
      <c r="Q299" s="4"/>
      <c r="R299" s="4"/>
      <c r="S299" s="4"/>
      <c r="T299" s="4"/>
      <c r="U299" s="4"/>
      <c r="V299" s="4"/>
      <c r="W299" s="4"/>
      <c r="X299" s="4"/>
      <c r="Y299" s="4"/>
      <c r="Z299" s="45"/>
      <c r="AA299" s="45"/>
      <c r="AB299" s="4"/>
    </row>
    <row r="300" spans="1:28" ht="90">
      <c r="A300" s="126" t="s">
        <v>1293</v>
      </c>
      <c r="B300" s="115" t="s">
        <v>1294</v>
      </c>
      <c r="C300" s="116" t="s">
        <v>776</v>
      </c>
      <c r="D300" s="116" t="s">
        <v>777</v>
      </c>
      <c r="E300" s="116"/>
      <c r="F300" s="116" t="s">
        <v>860</v>
      </c>
      <c r="G300" s="116" t="s">
        <v>630</v>
      </c>
      <c r="H300" s="116" t="s">
        <v>631</v>
      </c>
      <c r="I300" s="116"/>
      <c r="J300" s="127"/>
      <c r="K300" s="4"/>
      <c r="L300" s="4"/>
      <c r="M300" s="128"/>
      <c r="N300" s="4"/>
      <c r="O300" s="4"/>
      <c r="P300" s="4"/>
      <c r="Q300" s="4"/>
      <c r="R300" s="4"/>
      <c r="S300" s="4"/>
      <c r="T300" s="4"/>
      <c r="U300" s="4"/>
      <c r="V300" s="4"/>
      <c r="W300" s="4"/>
      <c r="X300" s="4"/>
      <c r="Y300" s="4"/>
      <c r="Z300" s="45"/>
      <c r="AA300" s="45"/>
      <c r="AB300" s="4"/>
    </row>
    <row r="301" spans="1:28" ht="90">
      <c r="A301" s="126" t="s">
        <v>1293</v>
      </c>
      <c r="B301" s="118"/>
      <c r="C301" s="116"/>
      <c r="D301" s="116"/>
      <c r="E301" s="116"/>
      <c r="F301" s="116" t="s">
        <v>863</v>
      </c>
      <c r="G301" s="116" t="s">
        <v>772</v>
      </c>
      <c r="H301" s="116" t="s">
        <v>668</v>
      </c>
      <c r="I301" s="116"/>
      <c r="J301" s="127"/>
      <c r="K301" s="4"/>
      <c r="L301" s="4"/>
      <c r="M301" s="128"/>
      <c r="N301" s="4"/>
      <c r="O301" s="4"/>
      <c r="P301" s="4"/>
      <c r="Q301" s="4"/>
      <c r="R301" s="4"/>
      <c r="S301" s="4"/>
      <c r="T301" s="4"/>
      <c r="U301" s="4"/>
      <c r="V301" s="4"/>
      <c r="W301" s="4"/>
      <c r="X301" s="4"/>
      <c r="Y301" s="4"/>
      <c r="Z301" s="45"/>
      <c r="AA301" s="45"/>
      <c r="AB301" s="4"/>
    </row>
    <row r="302" spans="1:28" ht="409.6">
      <c r="A302" s="126" t="s">
        <v>1295</v>
      </c>
      <c r="B302" s="115" t="s">
        <v>1296</v>
      </c>
      <c r="C302" s="116" t="s">
        <v>1297</v>
      </c>
      <c r="D302" s="116" t="s">
        <v>1298</v>
      </c>
      <c r="E302" s="116"/>
      <c r="F302" s="116" t="s">
        <v>860</v>
      </c>
      <c r="G302" s="116" t="s">
        <v>356</v>
      </c>
      <c r="H302" s="116" t="s">
        <v>357</v>
      </c>
      <c r="I302" s="116"/>
      <c r="J302" s="127"/>
      <c r="K302" s="4"/>
      <c r="L302" s="4"/>
      <c r="M302" s="128"/>
      <c r="N302" s="4"/>
      <c r="O302" s="4"/>
      <c r="P302" s="4"/>
      <c r="Q302" s="4"/>
      <c r="R302" s="4"/>
      <c r="S302" s="4"/>
      <c r="T302" s="4"/>
      <c r="U302" s="4"/>
      <c r="V302" s="4"/>
      <c r="W302" s="4"/>
      <c r="X302" s="4"/>
      <c r="Y302" s="4"/>
      <c r="Z302" s="45"/>
      <c r="AA302" s="45"/>
      <c r="AB302" s="4"/>
    </row>
    <row r="303" spans="1:28" ht="370">
      <c r="A303" s="126" t="s">
        <v>1295</v>
      </c>
      <c r="B303" s="118"/>
      <c r="C303" s="116"/>
      <c r="D303" s="116"/>
      <c r="E303" s="116"/>
      <c r="F303" s="116" t="s">
        <v>863</v>
      </c>
      <c r="G303" s="116" t="s">
        <v>363</v>
      </c>
      <c r="H303" s="116" t="s">
        <v>364</v>
      </c>
      <c r="I303" s="116"/>
      <c r="J303" s="127"/>
      <c r="K303" s="4"/>
      <c r="L303" s="4"/>
      <c r="M303" s="128"/>
      <c r="N303" s="4"/>
      <c r="O303" s="4"/>
      <c r="P303" s="4"/>
      <c r="Q303" s="4"/>
      <c r="R303" s="4"/>
      <c r="S303" s="4"/>
      <c r="T303" s="4"/>
      <c r="U303" s="4"/>
      <c r="V303" s="4"/>
      <c r="W303" s="4"/>
      <c r="X303" s="4"/>
      <c r="Y303" s="4"/>
      <c r="Z303" s="45"/>
      <c r="AA303" s="45"/>
      <c r="AB303" s="4"/>
    </row>
    <row r="304" spans="1:28" ht="409.6">
      <c r="A304" s="126" t="s">
        <v>1299</v>
      </c>
      <c r="B304" s="115" t="s">
        <v>1300</v>
      </c>
      <c r="C304" s="116" t="s">
        <v>1301</v>
      </c>
      <c r="D304" s="116" t="s">
        <v>1302</v>
      </c>
      <c r="E304" s="116"/>
      <c r="F304" s="116" t="s">
        <v>860</v>
      </c>
      <c r="G304" s="116" t="s">
        <v>253</v>
      </c>
      <c r="H304" s="116" t="s">
        <v>254</v>
      </c>
      <c r="I304" s="116"/>
      <c r="J304" s="127"/>
      <c r="K304" s="4"/>
      <c r="L304" s="4"/>
      <c r="M304" s="128"/>
      <c r="N304" s="4"/>
      <c r="O304" s="4"/>
      <c r="P304" s="4"/>
      <c r="Q304" s="4"/>
      <c r="R304" s="4"/>
      <c r="S304" s="4"/>
      <c r="T304" s="4"/>
      <c r="U304" s="4"/>
      <c r="V304" s="4"/>
      <c r="W304" s="4"/>
      <c r="X304" s="4"/>
      <c r="Y304" s="4"/>
      <c r="Z304" s="45"/>
      <c r="AA304" s="45"/>
      <c r="AB304" s="4"/>
    </row>
    <row r="305" spans="1:28" ht="60">
      <c r="A305" s="126" t="s">
        <v>1299</v>
      </c>
      <c r="B305" s="118"/>
      <c r="C305" s="116"/>
      <c r="D305" s="116"/>
      <c r="E305" s="116"/>
      <c r="F305" s="116" t="s">
        <v>863</v>
      </c>
      <c r="G305" s="116" t="s">
        <v>257</v>
      </c>
      <c r="H305" s="116" t="s">
        <v>258</v>
      </c>
      <c r="I305" s="116"/>
      <c r="J305" s="127"/>
      <c r="K305" s="4"/>
      <c r="L305" s="4"/>
      <c r="M305" s="128"/>
      <c r="N305" s="4"/>
      <c r="O305" s="4"/>
      <c r="P305" s="4"/>
      <c r="Q305" s="4"/>
      <c r="R305" s="4"/>
      <c r="S305" s="4"/>
      <c r="T305" s="4"/>
      <c r="U305" s="4"/>
      <c r="V305" s="4"/>
      <c r="W305" s="4"/>
      <c r="X305" s="4"/>
      <c r="Y305" s="4"/>
      <c r="Z305" s="45"/>
      <c r="AA305" s="45"/>
      <c r="AB305" s="4"/>
    </row>
    <row r="306" spans="1:28" ht="90">
      <c r="A306" s="126" t="s">
        <v>1303</v>
      </c>
      <c r="B306" s="115" t="s">
        <v>1304</v>
      </c>
      <c r="C306" s="116" t="s">
        <v>1305</v>
      </c>
      <c r="D306" s="116" t="s">
        <v>1306</v>
      </c>
      <c r="E306" s="116"/>
      <c r="F306" s="116" t="s">
        <v>860</v>
      </c>
      <c r="G306" s="116" t="s">
        <v>257</v>
      </c>
      <c r="H306" s="116" t="s">
        <v>258</v>
      </c>
      <c r="I306" s="116"/>
      <c r="J306" s="127"/>
      <c r="K306" s="4"/>
      <c r="L306" s="4"/>
      <c r="M306" s="128"/>
      <c r="N306" s="4"/>
      <c r="O306" s="4"/>
      <c r="P306" s="4"/>
      <c r="Q306" s="4"/>
      <c r="R306" s="4"/>
      <c r="S306" s="4"/>
      <c r="T306" s="4"/>
      <c r="U306" s="4"/>
      <c r="V306" s="4"/>
      <c r="W306" s="4"/>
      <c r="X306" s="4"/>
      <c r="Y306" s="4"/>
      <c r="Z306" s="45"/>
      <c r="AA306" s="45"/>
      <c r="AB306" s="4"/>
    </row>
    <row r="307" spans="1:28" ht="135">
      <c r="A307" s="126" t="s">
        <v>1303</v>
      </c>
      <c r="B307" s="118"/>
      <c r="C307" s="116"/>
      <c r="D307" s="116"/>
      <c r="E307" s="116"/>
      <c r="F307" s="116" t="s">
        <v>863</v>
      </c>
      <c r="G307" s="116" t="s">
        <v>253</v>
      </c>
      <c r="H307" s="116" t="s">
        <v>254</v>
      </c>
      <c r="I307" s="116"/>
      <c r="J307" s="127"/>
      <c r="K307" s="4"/>
      <c r="L307" s="4"/>
      <c r="M307" s="128"/>
      <c r="N307" s="4"/>
      <c r="O307" s="4"/>
      <c r="P307" s="4"/>
      <c r="Q307" s="4"/>
      <c r="R307" s="4"/>
      <c r="S307" s="4"/>
      <c r="T307" s="4"/>
      <c r="U307" s="4"/>
      <c r="V307" s="4"/>
      <c r="W307" s="4"/>
      <c r="X307" s="4"/>
      <c r="Y307" s="4"/>
      <c r="Z307" s="45"/>
      <c r="AA307" s="45"/>
      <c r="AB307" s="4"/>
    </row>
    <row r="308" spans="1:28" ht="90">
      <c r="A308" s="126" t="s">
        <v>1307</v>
      </c>
      <c r="B308" s="115" t="s">
        <v>1308</v>
      </c>
      <c r="C308" s="116" t="s">
        <v>1252</v>
      </c>
      <c r="D308" s="116" t="s">
        <v>1253</v>
      </c>
      <c r="E308" s="116"/>
      <c r="F308" s="116" t="s">
        <v>860</v>
      </c>
      <c r="G308" s="116" t="s">
        <v>667</v>
      </c>
      <c r="H308" s="116" t="s">
        <v>668</v>
      </c>
      <c r="I308" s="116"/>
      <c r="J308" s="127"/>
      <c r="K308" s="4"/>
      <c r="L308" s="4"/>
      <c r="M308" s="128"/>
      <c r="N308" s="4"/>
      <c r="O308" s="4"/>
      <c r="P308" s="4"/>
      <c r="Q308" s="4"/>
      <c r="R308" s="4"/>
      <c r="S308" s="4"/>
      <c r="T308" s="4"/>
      <c r="U308" s="4"/>
      <c r="V308" s="4"/>
      <c r="W308" s="4"/>
      <c r="X308" s="4"/>
      <c r="Y308" s="4"/>
      <c r="Z308" s="45"/>
      <c r="AA308" s="45"/>
      <c r="AB308" s="4"/>
    </row>
    <row r="309" spans="1:28" ht="45">
      <c r="A309" s="126" t="s">
        <v>1307</v>
      </c>
      <c r="B309" s="118"/>
      <c r="C309" s="116"/>
      <c r="D309" s="116"/>
      <c r="E309" s="116"/>
      <c r="F309" s="116" t="s">
        <v>863</v>
      </c>
      <c r="G309" s="116" t="s">
        <v>663</v>
      </c>
      <c r="H309" s="116" t="s">
        <v>631</v>
      </c>
      <c r="I309" s="116"/>
      <c r="J309" s="127"/>
      <c r="K309" s="4"/>
      <c r="L309" s="4"/>
      <c r="M309" s="128"/>
      <c r="N309" s="4"/>
      <c r="O309" s="4"/>
      <c r="P309" s="4"/>
      <c r="Q309" s="4"/>
      <c r="R309" s="4"/>
      <c r="S309" s="4"/>
      <c r="T309" s="4"/>
      <c r="U309" s="4"/>
      <c r="V309" s="4"/>
      <c r="W309" s="4"/>
      <c r="X309" s="4"/>
      <c r="Y309" s="4"/>
      <c r="Z309" s="45"/>
      <c r="AA309" s="45"/>
      <c r="AB309" s="4"/>
    </row>
    <row r="310" spans="1:28" ht="240">
      <c r="A310" s="126" t="s">
        <v>1309</v>
      </c>
      <c r="B310" s="115" t="s">
        <v>1310</v>
      </c>
      <c r="C310" s="116" t="s">
        <v>1130</v>
      </c>
      <c r="D310" s="116" t="s">
        <v>1131</v>
      </c>
      <c r="E310" s="116"/>
      <c r="F310" s="116" t="s">
        <v>860</v>
      </c>
      <c r="G310" s="116" t="s">
        <v>772</v>
      </c>
      <c r="H310" s="116" t="s">
        <v>668</v>
      </c>
      <c r="I310" s="116"/>
      <c r="J310" s="127"/>
      <c r="K310" s="4"/>
      <c r="L310" s="4"/>
      <c r="M310" s="128"/>
      <c r="N310" s="4"/>
      <c r="O310" s="4"/>
      <c r="P310" s="4"/>
      <c r="Q310" s="4"/>
      <c r="R310" s="4"/>
      <c r="S310" s="4"/>
      <c r="T310" s="4"/>
      <c r="U310" s="4"/>
      <c r="V310" s="4"/>
      <c r="W310" s="4"/>
      <c r="X310" s="4"/>
      <c r="Y310" s="4"/>
      <c r="Z310" s="45"/>
      <c r="AA310" s="45"/>
      <c r="AB310" s="4"/>
    </row>
    <row r="311" spans="1:28" ht="60">
      <c r="A311" s="126" t="s">
        <v>1309</v>
      </c>
      <c r="B311" s="118"/>
      <c r="C311" s="116"/>
      <c r="D311" s="116"/>
      <c r="E311" s="116"/>
      <c r="F311" s="116" t="s">
        <v>863</v>
      </c>
      <c r="G311" s="116" t="s">
        <v>1132</v>
      </c>
      <c r="H311" s="116" t="s">
        <v>1133</v>
      </c>
      <c r="I311" s="116"/>
      <c r="J311" s="127"/>
      <c r="K311" s="4"/>
      <c r="L311" s="4"/>
      <c r="M311" s="128"/>
      <c r="N311" s="4"/>
      <c r="O311" s="4"/>
      <c r="P311" s="4"/>
      <c r="Q311" s="4"/>
      <c r="R311" s="4"/>
      <c r="S311" s="4"/>
      <c r="T311" s="4"/>
      <c r="U311" s="4"/>
      <c r="V311" s="4"/>
      <c r="W311" s="4"/>
      <c r="X311" s="4"/>
      <c r="Y311" s="4"/>
      <c r="Z311" s="45"/>
      <c r="AA311" s="45"/>
      <c r="AB311" s="4"/>
    </row>
    <row r="312" spans="1:28" ht="90">
      <c r="A312" s="126" t="s">
        <v>1311</v>
      </c>
      <c r="B312" s="115" t="s">
        <v>1312</v>
      </c>
      <c r="C312" s="116" t="s">
        <v>1073</v>
      </c>
      <c r="D312" s="116" t="s">
        <v>1074</v>
      </c>
      <c r="E312" s="116"/>
      <c r="F312" s="116" t="s">
        <v>860</v>
      </c>
      <c r="G312" s="116" t="s">
        <v>807</v>
      </c>
      <c r="H312" s="116" t="s">
        <v>808</v>
      </c>
      <c r="I312" s="116"/>
      <c r="J312" s="127"/>
      <c r="K312" s="4"/>
      <c r="L312" s="4"/>
      <c r="M312" s="128"/>
      <c r="N312" s="4"/>
      <c r="O312" s="4"/>
      <c r="P312" s="4"/>
      <c r="Q312" s="4"/>
      <c r="R312" s="4"/>
      <c r="S312" s="4"/>
      <c r="T312" s="4"/>
      <c r="U312" s="4"/>
      <c r="V312" s="4"/>
      <c r="W312" s="4"/>
      <c r="X312" s="4"/>
      <c r="Y312" s="4"/>
      <c r="Z312" s="45"/>
      <c r="AA312" s="45"/>
      <c r="AB312" s="4"/>
    </row>
    <row r="313" spans="1:28" ht="105">
      <c r="A313" s="126" t="s">
        <v>1311</v>
      </c>
      <c r="B313" s="118"/>
      <c r="C313" s="116"/>
      <c r="D313" s="116"/>
      <c r="E313" s="116"/>
      <c r="F313" s="116" t="s">
        <v>863</v>
      </c>
      <c r="G313" s="116" t="s">
        <v>811</v>
      </c>
      <c r="H313" s="116" t="s">
        <v>812</v>
      </c>
      <c r="I313" s="116"/>
      <c r="J313" s="127"/>
      <c r="K313" s="4"/>
      <c r="L313" s="4"/>
      <c r="M313" s="128"/>
      <c r="N313" s="4"/>
      <c r="O313" s="4"/>
      <c r="P313" s="4"/>
      <c r="Q313" s="4"/>
      <c r="R313" s="4"/>
      <c r="S313" s="4"/>
      <c r="T313" s="4"/>
      <c r="U313" s="4"/>
      <c r="V313" s="4"/>
      <c r="W313" s="4"/>
      <c r="X313" s="4"/>
      <c r="Y313" s="4"/>
      <c r="Z313" s="45"/>
      <c r="AA313" s="45"/>
      <c r="AB313" s="4"/>
    </row>
    <row r="314" spans="1:28" ht="90">
      <c r="A314" s="126" t="s">
        <v>1313</v>
      </c>
      <c r="B314" s="115" t="s">
        <v>1314</v>
      </c>
      <c r="C314" s="116" t="s">
        <v>1084</v>
      </c>
      <c r="D314" s="116" t="s">
        <v>1085</v>
      </c>
      <c r="E314" s="116"/>
      <c r="F314" s="116" t="s">
        <v>860</v>
      </c>
      <c r="G314" s="116" t="s">
        <v>663</v>
      </c>
      <c r="H314" s="116" t="s">
        <v>631</v>
      </c>
      <c r="I314" s="116"/>
      <c r="J314" s="127"/>
      <c r="K314" s="4"/>
      <c r="L314" s="4"/>
      <c r="M314" s="128"/>
      <c r="N314" s="4"/>
      <c r="O314" s="4"/>
      <c r="P314" s="4"/>
      <c r="Q314" s="4"/>
      <c r="R314" s="4"/>
      <c r="S314" s="4"/>
      <c r="T314" s="4"/>
      <c r="U314" s="4"/>
      <c r="V314" s="4"/>
      <c r="W314" s="4"/>
      <c r="X314" s="4"/>
      <c r="Y314" s="4"/>
      <c r="Z314" s="45"/>
      <c r="AA314" s="45"/>
      <c r="AB314" s="4"/>
    </row>
    <row r="315" spans="1:28" ht="75">
      <c r="A315" s="126" t="s">
        <v>1313</v>
      </c>
      <c r="B315" s="118"/>
      <c r="C315" s="116"/>
      <c r="D315" s="116"/>
      <c r="E315" s="116"/>
      <c r="F315" s="116" t="s">
        <v>863</v>
      </c>
      <c r="G315" s="116" t="s">
        <v>667</v>
      </c>
      <c r="H315" s="116" t="s">
        <v>668</v>
      </c>
      <c r="I315" s="116"/>
      <c r="J315" s="127"/>
      <c r="K315" s="4"/>
      <c r="L315" s="4"/>
      <c r="M315" s="128"/>
      <c r="N315" s="4"/>
      <c r="O315" s="4"/>
      <c r="P315" s="4"/>
      <c r="Q315" s="4"/>
      <c r="R315" s="4"/>
      <c r="S315" s="4"/>
      <c r="T315" s="4"/>
      <c r="U315" s="4"/>
      <c r="V315" s="4"/>
      <c r="W315" s="4"/>
      <c r="X315" s="4"/>
      <c r="Y315" s="4"/>
      <c r="Z315" s="45"/>
      <c r="AA315" s="45"/>
      <c r="AB315" s="4"/>
    </row>
    <row r="316" spans="1:28" ht="135">
      <c r="A316" s="126" t="s">
        <v>1315</v>
      </c>
      <c r="B316" s="115" t="s">
        <v>1316</v>
      </c>
      <c r="C316" s="115" t="s">
        <v>770</v>
      </c>
      <c r="D316" s="116" t="s">
        <v>771</v>
      </c>
      <c r="E316" s="116"/>
      <c r="F316" s="116" t="s">
        <v>860</v>
      </c>
      <c r="G316" s="116" t="s">
        <v>772</v>
      </c>
      <c r="H316" s="116" t="s">
        <v>668</v>
      </c>
      <c r="I316" s="116"/>
      <c r="J316" s="127"/>
      <c r="K316" s="4"/>
      <c r="L316" s="4"/>
      <c r="M316" s="128"/>
      <c r="N316" s="4"/>
      <c r="O316" s="4"/>
      <c r="P316" s="4"/>
      <c r="Q316" s="4"/>
      <c r="R316" s="4"/>
      <c r="S316" s="4"/>
      <c r="T316" s="4"/>
      <c r="U316" s="4"/>
      <c r="V316" s="4"/>
      <c r="W316" s="4"/>
      <c r="X316" s="4"/>
      <c r="Y316" s="4"/>
      <c r="Z316" s="45"/>
      <c r="AA316" s="45"/>
      <c r="AB316" s="4"/>
    </row>
    <row r="317" spans="1:28" ht="45">
      <c r="A317" s="126" t="s">
        <v>1315</v>
      </c>
      <c r="B317" s="118"/>
      <c r="C317" s="117"/>
      <c r="D317" s="116"/>
      <c r="E317" s="116"/>
      <c r="F317" s="116" t="s">
        <v>863</v>
      </c>
      <c r="G317" s="116" t="s">
        <v>630</v>
      </c>
      <c r="H317" s="116" t="s">
        <v>631</v>
      </c>
      <c r="I317" s="116"/>
      <c r="J317" s="127"/>
      <c r="K317" s="4"/>
      <c r="L317" s="4"/>
      <c r="M317" s="128"/>
      <c r="N317" s="4"/>
      <c r="O317" s="4"/>
      <c r="P317" s="4"/>
      <c r="Q317" s="4"/>
      <c r="R317" s="4"/>
      <c r="S317" s="4"/>
      <c r="T317" s="4"/>
      <c r="U317" s="4"/>
      <c r="V317" s="4"/>
      <c r="W317" s="4"/>
      <c r="X317" s="4"/>
      <c r="Y317" s="4"/>
      <c r="Z317" s="45"/>
      <c r="AA317" s="45"/>
      <c r="AB317" s="4"/>
    </row>
    <row r="318" spans="1:28" ht="90">
      <c r="A318" s="126" t="s">
        <v>1317</v>
      </c>
      <c r="B318" s="115" t="s">
        <v>1318</v>
      </c>
      <c r="C318" s="116" t="s">
        <v>776</v>
      </c>
      <c r="D318" s="116" t="s">
        <v>1319</v>
      </c>
      <c r="E318" s="116"/>
      <c r="F318" s="116" t="s">
        <v>860</v>
      </c>
      <c r="G318" s="116" t="s">
        <v>663</v>
      </c>
      <c r="H318" s="116" t="s">
        <v>631</v>
      </c>
      <c r="I318" s="116"/>
      <c r="J318" s="127"/>
      <c r="K318" s="4"/>
      <c r="L318" s="4"/>
      <c r="M318" s="128"/>
      <c r="N318" s="4"/>
      <c r="O318" s="4"/>
      <c r="P318" s="4"/>
      <c r="Q318" s="4"/>
      <c r="R318" s="4"/>
      <c r="S318" s="4"/>
      <c r="T318" s="4"/>
      <c r="U318" s="4"/>
      <c r="V318" s="4"/>
      <c r="W318" s="4"/>
      <c r="X318" s="4"/>
      <c r="Y318" s="4"/>
      <c r="Z318" s="45"/>
      <c r="AA318" s="45"/>
      <c r="AB318" s="4"/>
    </row>
    <row r="319" spans="1:28" ht="75">
      <c r="A319" s="126" t="s">
        <v>1317</v>
      </c>
      <c r="B319" s="118"/>
      <c r="C319" s="116"/>
      <c r="D319" s="116"/>
      <c r="E319" s="116"/>
      <c r="F319" s="116" t="s">
        <v>863</v>
      </c>
      <c r="G319" s="116" t="s">
        <v>667</v>
      </c>
      <c r="H319" s="116" t="s">
        <v>668</v>
      </c>
      <c r="I319" s="116"/>
      <c r="J319" s="127"/>
      <c r="K319" s="4"/>
      <c r="L319" s="4"/>
      <c r="M319" s="128"/>
      <c r="N319" s="4"/>
      <c r="O319" s="4"/>
      <c r="P319" s="4"/>
      <c r="Q319" s="4"/>
      <c r="R319" s="4"/>
      <c r="S319" s="4"/>
      <c r="T319" s="4"/>
      <c r="U319" s="4"/>
      <c r="V319" s="4"/>
      <c r="W319" s="4"/>
      <c r="X319" s="4"/>
      <c r="Y319" s="4"/>
      <c r="Z319" s="45"/>
      <c r="AA319" s="45"/>
      <c r="AB319" s="4"/>
    </row>
    <row r="320" spans="1:28" ht="409.6">
      <c r="A320" s="126" t="s">
        <v>1320</v>
      </c>
      <c r="B320" s="115" t="s">
        <v>1321</v>
      </c>
      <c r="C320" s="115" t="s">
        <v>1265</v>
      </c>
      <c r="D320" s="116" t="s">
        <v>1266</v>
      </c>
      <c r="E320" s="116"/>
      <c r="F320" s="116" t="s">
        <v>860</v>
      </c>
      <c r="G320" s="116" t="s">
        <v>908</v>
      </c>
      <c r="H320" s="116" t="s">
        <v>909</v>
      </c>
      <c r="I320" s="116"/>
      <c r="J320" s="127"/>
      <c r="K320" s="4"/>
      <c r="L320" s="4"/>
      <c r="M320" s="128"/>
      <c r="N320" s="4"/>
      <c r="O320" s="4"/>
      <c r="P320" s="4"/>
      <c r="Q320" s="4"/>
      <c r="R320" s="4"/>
      <c r="S320" s="4"/>
      <c r="T320" s="106">
        <v>1</v>
      </c>
      <c r="U320" s="4"/>
      <c r="V320" s="4"/>
      <c r="W320" s="4"/>
      <c r="X320" s="4"/>
      <c r="Y320" s="4"/>
      <c r="Z320" s="45"/>
      <c r="AA320" s="45"/>
      <c r="AB320" s="4"/>
    </row>
    <row r="321" spans="1:28" ht="75">
      <c r="A321" s="126" t="s">
        <v>1320</v>
      </c>
      <c r="B321" s="117"/>
      <c r="C321" s="118"/>
      <c r="D321" s="116"/>
      <c r="E321" s="116"/>
      <c r="F321" s="116" t="s">
        <v>863</v>
      </c>
      <c r="G321" s="116" t="s">
        <v>906</v>
      </c>
      <c r="H321" s="116" t="s">
        <v>907</v>
      </c>
      <c r="I321" s="116"/>
      <c r="J321" s="127"/>
      <c r="K321" s="4"/>
      <c r="L321" s="4"/>
      <c r="M321" s="128"/>
      <c r="N321" s="4"/>
      <c r="O321" s="4"/>
      <c r="P321" s="4"/>
      <c r="Q321" s="4"/>
      <c r="R321" s="4"/>
      <c r="S321" s="4"/>
      <c r="T321" s="106"/>
      <c r="U321" s="4"/>
      <c r="V321" s="4"/>
      <c r="W321" s="4"/>
      <c r="X321" s="4"/>
      <c r="Y321" s="4"/>
      <c r="Z321" s="45"/>
      <c r="AA321" s="45"/>
      <c r="AB321" s="4"/>
    </row>
    <row r="322" spans="1:28" ht="105">
      <c r="A322" s="126" t="s">
        <v>1320</v>
      </c>
      <c r="B322" s="118"/>
      <c r="C322" s="129"/>
      <c r="D322" s="116"/>
      <c r="E322" s="116"/>
      <c r="F322" s="116" t="s">
        <v>865</v>
      </c>
      <c r="G322" s="116" t="s">
        <v>902</v>
      </c>
      <c r="H322" s="116" t="s">
        <v>903</v>
      </c>
      <c r="I322" s="116"/>
      <c r="J322" s="127"/>
      <c r="K322" s="4"/>
      <c r="L322" s="4"/>
      <c r="M322" s="128"/>
      <c r="N322" s="4"/>
      <c r="O322" s="4"/>
      <c r="P322" s="4"/>
      <c r="Q322" s="4"/>
      <c r="R322" s="4"/>
      <c r="S322" s="4"/>
      <c r="T322" s="106"/>
      <c r="U322" s="4"/>
      <c r="V322" s="4"/>
      <c r="W322" s="4"/>
      <c r="X322" s="4"/>
      <c r="Y322" s="4"/>
      <c r="Z322" s="45"/>
      <c r="AA322" s="45"/>
      <c r="AB322" s="4"/>
    </row>
    <row r="323" spans="1:28" ht="165">
      <c r="A323" s="126" t="s">
        <v>1322</v>
      </c>
      <c r="B323" s="115" t="s">
        <v>1323</v>
      </c>
      <c r="C323" s="115" t="s">
        <v>1126</v>
      </c>
      <c r="D323" s="116" t="s">
        <v>1127</v>
      </c>
      <c r="E323" s="116"/>
      <c r="F323" s="116" t="s">
        <v>860</v>
      </c>
      <c r="G323" s="116" t="s">
        <v>663</v>
      </c>
      <c r="H323" s="116" t="s">
        <v>631</v>
      </c>
      <c r="I323" s="116"/>
      <c r="J323" s="127"/>
      <c r="K323" s="4"/>
      <c r="L323" s="4"/>
      <c r="M323" s="128"/>
      <c r="N323" s="4"/>
      <c r="O323" s="4"/>
      <c r="P323" s="4"/>
      <c r="Q323" s="4"/>
      <c r="R323" s="4"/>
      <c r="S323" s="4"/>
      <c r="T323" s="4"/>
      <c r="U323" s="4"/>
      <c r="V323" s="4"/>
      <c r="W323" s="4"/>
      <c r="X323" s="4"/>
      <c r="Y323" s="4"/>
      <c r="Z323" s="45"/>
      <c r="AA323" s="45"/>
      <c r="AB323" s="4"/>
    </row>
    <row r="324" spans="1:28" ht="75">
      <c r="A324" s="126" t="s">
        <v>1322</v>
      </c>
      <c r="B324" s="117"/>
      <c r="C324" s="117"/>
      <c r="D324" s="116"/>
      <c r="E324" s="116"/>
      <c r="F324" s="116" t="s">
        <v>863</v>
      </c>
      <c r="G324" s="116" t="s">
        <v>667</v>
      </c>
      <c r="H324" s="116" t="s">
        <v>668</v>
      </c>
      <c r="I324" s="116"/>
      <c r="J324" s="127"/>
      <c r="K324" s="4"/>
      <c r="L324" s="4"/>
      <c r="M324" s="128"/>
      <c r="N324" s="4"/>
      <c r="O324" s="4"/>
      <c r="P324" s="4"/>
      <c r="Q324" s="4"/>
      <c r="R324" s="4"/>
      <c r="S324" s="4"/>
      <c r="T324" s="4"/>
      <c r="U324" s="4"/>
      <c r="V324" s="4"/>
      <c r="W324" s="4"/>
      <c r="X324" s="4"/>
      <c r="Y324" s="4"/>
      <c r="Z324" s="45"/>
      <c r="AA324" s="45"/>
      <c r="AB324" s="4"/>
    </row>
    <row r="325" spans="1:28" ht="105">
      <c r="A325" s="126" t="s">
        <v>1324</v>
      </c>
      <c r="B325" s="115" t="s">
        <v>1325</v>
      </c>
      <c r="C325" s="115" t="s">
        <v>1073</v>
      </c>
      <c r="D325" s="116" t="s">
        <v>1074</v>
      </c>
      <c r="E325" s="116"/>
      <c r="F325" s="116" t="s">
        <v>860</v>
      </c>
      <c r="G325" s="116" t="s">
        <v>811</v>
      </c>
      <c r="H325" s="116" t="s">
        <v>812</v>
      </c>
      <c r="I325" s="116"/>
      <c r="J325" s="127"/>
      <c r="K325" s="4"/>
      <c r="L325" s="4"/>
      <c r="M325" s="128"/>
      <c r="N325" s="4"/>
      <c r="O325" s="4"/>
      <c r="P325" s="4"/>
      <c r="Q325" s="4"/>
      <c r="R325" s="4"/>
      <c r="S325" s="4"/>
      <c r="T325" s="4"/>
      <c r="U325" s="4"/>
      <c r="V325" s="4"/>
      <c r="W325" s="4"/>
      <c r="X325" s="4"/>
      <c r="Y325" s="4"/>
      <c r="Z325" s="45"/>
      <c r="AA325" s="45"/>
      <c r="AB325" s="4"/>
    </row>
    <row r="326" spans="1:28" ht="30">
      <c r="A326" s="126" t="s">
        <v>1324</v>
      </c>
      <c r="B326" s="117"/>
      <c r="C326" s="117"/>
      <c r="D326" s="116"/>
      <c r="E326" s="116"/>
      <c r="F326" s="116" t="s">
        <v>863</v>
      </c>
      <c r="G326" s="116" t="s">
        <v>807</v>
      </c>
      <c r="H326" s="116" t="s">
        <v>808</v>
      </c>
      <c r="I326" s="116"/>
      <c r="J326" s="127"/>
      <c r="K326" s="4"/>
      <c r="L326" s="4"/>
      <c r="M326" s="128"/>
      <c r="N326" s="4"/>
      <c r="O326" s="4"/>
      <c r="P326" s="4"/>
      <c r="Q326" s="4"/>
      <c r="R326" s="4"/>
      <c r="S326" s="4"/>
      <c r="T326" s="4"/>
      <c r="U326" s="4"/>
      <c r="V326" s="4"/>
      <c r="W326" s="4"/>
      <c r="X326" s="4"/>
      <c r="Y326" s="4"/>
      <c r="Z326" s="45"/>
      <c r="AA326" s="45"/>
      <c r="AB326" s="4"/>
    </row>
    <row r="327" spans="1:28" ht="90">
      <c r="A327" s="126" t="s">
        <v>1326</v>
      </c>
      <c r="B327" s="115" t="s">
        <v>1327</v>
      </c>
      <c r="C327" s="116" t="s">
        <v>776</v>
      </c>
      <c r="D327" s="116" t="s">
        <v>1027</v>
      </c>
      <c r="E327" s="116"/>
      <c r="F327" s="116" t="s">
        <v>860</v>
      </c>
      <c r="G327" s="116" t="s">
        <v>772</v>
      </c>
      <c r="H327" s="116" t="s">
        <v>668</v>
      </c>
      <c r="I327" s="116"/>
      <c r="J327" s="127"/>
      <c r="K327" s="4"/>
      <c r="L327" s="4"/>
      <c r="M327" s="128"/>
      <c r="N327" s="4"/>
      <c r="O327" s="4"/>
      <c r="P327" s="4"/>
      <c r="Q327" s="4"/>
      <c r="R327" s="4"/>
      <c r="S327" s="4"/>
      <c r="T327" s="4"/>
      <c r="U327" s="4"/>
      <c r="V327" s="4"/>
      <c r="W327" s="4"/>
      <c r="X327" s="4"/>
      <c r="Y327" s="4"/>
      <c r="Z327" s="45"/>
      <c r="AA327" s="45"/>
      <c r="AB327" s="4"/>
    </row>
    <row r="328" spans="1:28" ht="45">
      <c r="A328" s="126" t="s">
        <v>1326</v>
      </c>
      <c r="B328" s="117"/>
      <c r="C328" s="116"/>
      <c r="D328" s="116"/>
      <c r="E328" s="116"/>
      <c r="F328" s="116" t="s">
        <v>863</v>
      </c>
      <c r="G328" s="116" t="s">
        <v>630</v>
      </c>
      <c r="H328" s="116" t="s">
        <v>631</v>
      </c>
      <c r="I328" s="116"/>
      <c r="J328" s="127"/>
      <c r="K328" s="4"/>
      <c r="L328" s="4"/>
      <c r="M328" s="128"/>
      <c r="N328" s="4"/>
      <c r="O328" s="4"/>
      <c r="P328" s="4"/>
      <c r="Q328" s="4"/>
      <c r="R328" s="4"/>
      <c r="S328" s="4"/>
      <c r="T328" s="4"/>
      <c r="U328" s="4"/>
      <c r="V328" s="4"/>
      <c r="W328" s="4"/>
      <c r="X328" s="4"/>
      <c r="Y328" s="4"/>
      <c r="Z328" s="45"/>
      <c r="AA328" s="45"/>
      <c r="AB328" s="4"/>
    </row>
    <row r="329" spans="1:28" ht="314">
      <c r="A329" s="126" t="s">
        <v>1328</v>
      </c>
      <c r="B329" s="115" t="s">
        <v>1329</v>
      </c>
      <c r="C329" s="116" t="s">
        <v>1046</v>
      </c>
      <c r="D329" s="116" t="s">
        <v>1047</v>
      </c>
      <c r="E329" s="116"/>
      <c r="F329" s="116" t="s">
        <v>860</v>
      </c>
      <c r="G329" s="116" t="s">
        <v>441</v>
      </c>
      <c r="H329" s="116" t="s">
        <v>442</v>
      </c>
      <c r="I329" s="116"/>
      <c r="J329" s="127"/>
      <c r="K329" s="4"/>
      <c r="L329" s="4"/>
      <c r="M329" s="128"/>
      <c r="N329" s="4"/>
      <c r="O329" s="4"/>
      <c r="P329" s="4"/>
      <c r="Q329" s="4"/>
      <c r="R329" s="4"/>
      <c r="S329" s="4"/>
      <c r="T329" s="106">
        <v>0.75</v>
      </c>
      <c r="U329" s="106" t="s">
        <v>1048</v>
      </c>
      <c r="V329" s="4"/>
      <c r="W329" s="4"/>
      <c r="X329" s="4"/>
      <c r="Y329" s="4"/>
      <c r="Z329" s="45"/>
      <c r="AA329" s="45"/>
      <c r="AB329" s="4"/>
    </row>
    <row r="330" spans="1:28" ht="60">
      <c r="A330" s="126" t="s">
        <v>1328</v>
      </c>
      <c r="B330" s="117"/>
      <c r="C330" s="116"/>
      <c r="D330" s="116"/>
      <c r="E330" s="116"/>
      <c r="F330" s="116" t="s">
        <v>863</v>
      </c>
      <c r="G330" s="116" t="s">
        <v>603</v>
      </c>
      <c r="H330" s="116" t="s">
        <v>604</v>
      </c>
      <c r="I330" s="116"/>
      <c r="J330" s="127"/>
      <c r="K330" s="4"/>
      <c r="L330" s="4"/>
      <c r="M330" s="128"/>
      <c r="N330" s="4"/>
      <c r="O330" s="4"/>
      <c r="P330" s="4"/>
      <c r="Q330" s="4"/>
      <c r="R330" s="4"/>
      <c r="S330" s="4"/>
      <c r="T330" s="106"/>
      <c r="U330" s="106"/>
      <c r="V330" s="4"/>
      <c r="W330" s="4"/>
      <c r="X330" s="4"/>
      <c r="Y330" s="4"/>
      <c r="Z330" s="45"/>
      <c r="AA330" s="45"/>
      <c r="AB330" s="4"/>
    </row>
    <row r="331" spans="1:28" ht="90">
      <c r="A331" s="126" t="s">
        <v>1330</v>
      </c>
      <c r="B331" s="116" t="s">
        <v>1331</v>
      </c>
      <c r="C331" s="116" t="s">
        <v>1332</v>
      </c>
      <c r="D331" s="116" t="s">
        <v>1333</v>
      </c>
      <c r="E331" s="116"/>
      <c r="F331" s="116" t="s">
        <v>860</v>
      </c>
      <c r="G331" s="116" t="s">
        <v>1334</v>
      </c>
      <c r="H331" s="116" t="s">
        <v>1332</v>
      </c>
      <c r="I331" s="116"/>
      <c r="J331" s="127"/>
      <c r="K331" s="4"/>
      <c r="L331" s="4"/>
      <c r="M331" s="128"/>
      <c r="N331" s="4"/>
      <c r="O331" s="4"/>
      <c r="P331" s="4"/>
      <c r="Q331" s="4"/>
      <c r="R331" s="4"/>
      <c r="S331" s="4"/>
      <c r="T331" s="4">
        <v>0.5</v>
      </c>
      <c r="U331" s="4" t="s">
        <v>1335</v>
      </c>
      <c r="V331" s="4"/>
      <c r="W331" s="4"/>
      <c r="X331" s="4"/>
      <c r="Y331" s="4"/>
      <c r="Z331" s="45"/>
      <c r="AA331" s="45"/>
      <c r="AB331" s="4"/>
    </row>
    <row r="332" spans="1:28" ht="45">
      <c r="A332" s="126" t="s">
        <v>1336</v>
      </c>
      <c r="B332" s="115" t="s">
        <v>1337</v>
      </c>
      <c r="C332" s="115" t="s">
        <v>1338</v>
      </c>
      <c r="D332" s="116" t="s">
        <v>1036</v>
      </c>
      <c r="E332" s="116"/>
      <c r="F332" s="116" t="s">
        <v>860</v>
      </c>
      <c r="G332" s="116" t="s">
        <v>630</v>
      </c>
      <c r="H332" s="116" t="s">
        <v>631</v>
      </c>
      <c r="I332" s="116"/>
      <c r="J332" s="127"/>
      <c r="K332" s="4"/>
      <c r="L332" s="4"/>
      <c r="M332" s="128"/>
      <c r="N332" s="4"/>
      <c r="O332" s="4"/>
      <c r="P332" s="4"/>
      <c r="Q332" s="4"/>
      <c r="R332" s="4"/>
      <c r="S332" s="4"/>
      <c r="T332" s="4"/>
      <c r="U332" s="4"/>
      <c r="V332" s="4"/>
      <c r="W332" s="4"/>
      <c r="X332" s="4"/>
      <c r="Y332" s="4"/>
      <c r="Z332" s="45"/>
      <c r="AA332" s="45"/>
      <c r="AB332" s="4"/>
    </row>
    <row r="333" spans="1:28" ht="90">
      <c r="A333" s="126" t="s">
        <v>1336</v>
      </c>
      <c r="B333" s="117"/>
      <c r="C333" s="117"/>
      <c r="D333" s="116"/>
      <c r="E333" s="116"/>
      <c r="F333" s="116" t="s">
        <v>863</v>
      </c>
      <c r="G333" s="116" t="s">
        <v>772</v>
      </c>
      <c r="H333" s="116" t="s">
        <v>668</v>
      </c>
      <c r="I333" s="116"/>
      <c r="J333" s="127"/>
      <c r="K333" s="4"/>
      <c r="L333" s="4"/>
      <c r="M333" s="128"/>
      <c r="N333" s="4"/>
      <c r="O333" s="4"/>
      <c r="P333" s="4"/>
      <c r="Q333" s="4"/>
      <c r="R333" s="4"/>
      <c r="S333" s="4"/>
      <c r="T333" s="4"/>
      <c r="U333" s="4"/>
      <c r="V333" s="4"/>
      <c r="W333" s="4"/>
      <c r="X333" s="4"/>
      <c r="Y333" s="4"/>
      <c r="Z333" s="45"/>
      <c r="AA333" s="45"/>
      <c r="AB333" s="4"/>
    </row>
    <row r="334" spans="1:28" ht="105">
      <c r="A334" s="126" t="s">
        <v>1339</v>
      </c>
      <c r="B334" s="115" t="s">
        <v>1340</v>
      </c>
      <c r="C334" s="115" t="s">
        <v>1073</v>
      </c>
      <c r="D334" s="116" t="s">
        <v>1074</v>
      </c>
      <c r="E334" s="116"/>
      <c r="F334" s="116" t="s">
        <v>860</v>
      </c>
      <c r="G334" s="116" t="s">
        <v>811</v>
      </c>
      <c r="H334" s="116" t="s">
        <v>812</v>
      </c>
      <c r="I334" s="116"/>
      <c r="J334" s="127"/>
      <c r="K334" s="4"/>
      <c r="L334" s="4"/>
      <c r="M334" s="128"/>
      <c r="N334" s="4"/>
      <c r="O334" s="4"/>
      <c r="P334" s="4"/>
      <c r="Q334" s="4"/>
      <c r="R334" s="4"/>
      <c r="S334" s="4"/>
      <c r="T334" s="4"/>
      <c r="U334" s="4"/>
      <c r="V334" s="4"/>
      <c r="W334" s="4"/>
      <c r="X334" s="4"/>
      <c r="Y334" s="4"/>
      <c r="Z334" s="45"/>
      <c r="AA334" s="45"/>
      <c r="AB334" s="4"/>
    </row>
    <row r="335" spans="1:28" ht="30">
      <c r="A335" s="126" t="s">
        <v>1339</v>
      </c>
      <c r="B335" s="117"/>
      <c r="C335" s="117"/>
      <c r="D335" s="116"/>
      <c r="E335" s="116"/>
      <c r="F335" s="116" t="s">
        <v>863</v>
      </c>
      <c r="G335" s="116" t="s">
        <v>807</v>
      </c>
      <c r="H335" s="116" t="s">
        <v>808</v>
      </c>
      <c r="I335" s="116"/>
      <c r="J335" s="127"/>
      <c r="K335" s="4"/>
      <c r="L335" s="4"/>
      <c r="M335" s="128"/>
      <c r="N335" s="4"/>
      <c r="O335" s="4"/>
      <c r="P335" s="4"/>
      <c r="Q335" s="4"/>
      <c r="R335" s="4"/>
      <c r="S335" s="4"/>
      <c r="T335" s="4"/>
      <c r="U335" s="4"/>
      <c r="V335" s="4"/>
      <c r="W335" s="4"/>
      <c r="X335" s="4"/>
      <c r="Y335" s="4"/>
      <c r="Z335" s="45"/>
      <c r="AA335" s="45"/>
      <c r="AB335" s="4"/>
    </row>
    <row r="336" spans="1:28" ht="135">
      <c r="A336" s="126" t="s">
        <v>1341</v>
      </c>
      <c r="B336" s="115" t="s">
        <v>1342</v>
      </c>
      <c r="C336" s="115" t="s">
        <v>1217</v>
      </c>
      <c r="D336" s="116" t="s">
        <v>1343</v>
      </c>
      <c r="E336" s="116"/>
      <c r="F336" s="116" t="s">
        <v>860</v>
      </c>
      <c r="G336" s="116" t="s">
        <v>1344</v>
      </c>
      <c r="H336" s="116" t="s">
        <v>509</v>
      </c>
      <c r="I336" s="116"/>
      <c r="J336" s="127"/>
      <c r="K336" s="4"/>
      <c r="L336" s="4"/>
      <c r="M336" s="128"/>
      <c r="N336" s="4"/>
      <c r="O336" s="4"/>
      <c r="P336" s="4"/>
      <c r="Q336" s="4"/>
      <c r="R336" s="4"/>
      <c r="S336" s="4"/>
      <c r="T336" s="4"/>
      <c r="U336" s="4"/>
      <c r="V336" s="4"/>
      <c r="W336" s="4"/>
      <c r="X336" s="4"/>
      <c r="Y336" s="4"/>
      <c r="Z336" s="45"/>
      <c r="AA336" s="45"/>
      <c r="AB336" s="4"/>
    </row>
    <row r="337" spans="1:28" ht="75">
      <c r="A337" s="126" t="s">
        <v>1341</v>
      </c>
      <c r="B337" s="117"/>
      <c r="C337" s="117"/>
      <c r="D337" s="116"/>
      <c r="E337" s="116"/>
      <c r="F337" s="116" t="s">
        <v>863</v>
      </c>
      <c r="G337" s="116" t="s">
        <v>1220</v>
      </c>
      <c r="H337" s="116" t="s">
        <v>1221</v>
      </c>
      <c r="I337" s="116"/>
      <c r="J337" s="127"/>
      <c r="K337" s="4"/>
      <c r="L337" s="4"/>
      <c r="M337" s="128"/>
      <c r="N337" s="4"/>
      <c r="O337" s="4"/>
      <c r="P337" s="4"/>
      <c r="Q337" s="4"/>
      <c r="R337" s="4"/>
      <c r="S337" s="4"/>
      <c r="T337" s="4"/>
      <c r="U337" s="4"/>
      <c r="V337" s="4"/>
      <c r="W337" s="4"/>
      <c r="X337" s="4"/>
      <c r="Y337" s="4"/>
      <c r="Z337" s="45"/>
      <c r="AA337" s="45"/>
      <c r="AB337" s="4"/>
    </row>
    <row r="338" spans="1:28" ht="135">
      <c r="A338" s="126" t="s">
        <v>1345</v>
      </c>
      <c r="B338" s="116" t="s">
        <v>1346</v>
      </c>
      <c r="C338" s="116" t="s">
        <v>1347</v>
      </c>
      <c r="D338" s="116" t="s">
        <v>1348</v>
      </c>
      <c r="E338" s="116"/>
      <c r="F338" s="116" t="s">
        <v>860</v>
      </c>
      <c r="G338" s="116" t="s">
        <v>885</v>
      </c>
      <c r="H338" s="116" t="s">
        <v>886</v>
      </c>
      <c r="I338" s="116"/>
      <c r="J338" s="127"/>
      <c r="K338" s="4"/>
      <c r="L338" s="4"/>
      <c r="M338" s="128"/>
      <c r="N338" s="4"/>
      <c r="O338" s="4"/>
      <c r="P338" s="4"/>
      <c r="Q338" s="4"/>
      <c r="R338" s="4"/>
      <c r="S338" s="4"/>
      <c r="T338" s="4"/>
      <c r="U338" s="4"/>
      <c r="V338" s="4"/>
      <c r="W338" s="4"/>
      <c r="X338" s="4"/>
      <c r="Y338" s="4"/>
      <c r="Z338" s="45"/>
      <c r="AA338" s="45"/>
      <c r="AB338" s="4"/>
    </row>
    <row r="339" spans="1:28" ht="135">
      <c r="A339" s="126" t="s">
        <v>1349</v>
      </c>
      <c r="B339" s="115" t="s">
        <v>1350</v>
      </c>
      <c r="C339" s="115" t="s">
        <v>770</v>
      </c>
      <c r="D339" s="116" t="s">
        <v>771</v>
      </c>
      <c r="E339" s="116"/>
      <c r="F339" s="116" t="s">
        <v>860</v>
      </c>
      <c r="G339" s="116" t="s">
        <v>630</v>
      </c>
      <c r="H339" s="116" t="s">
        <v>631</v>
      </c>
      <c r="I339" s="116"/>
      <c r="J339" s="127"/>
      <c r="K339" s="4"/>
      <c r="L339" s="4"/>
      <c r="M339" s="128"/>
      <c r="N339" s="4"/>
      <c r="O339" s="4"/>
      <c r="P339" s="4"/>
      <c r="Q339" s="4"/>
      <c r="R339" s="4"/>
      <c r="S339" s="4"/>
      <c r="T339" s="4"/>
      <c r="U339" s="4"/>
      <c r="V339" s="4"/>
      <c r="W339" s="4"/>
      <c r="X339" s="4"/>
      <c r="Y339" s="4"/>
      <c r="Z339" s="45"/>
      <c r="AA339" s="45"/>
      <c r="AB339" s="4"/>
    </row>
    <row r="340" spans="1:28" ht="90">
      <c r="A340" s="126" t="s">
        <v>1349</v>
      </c>
      <c r="B340" s="117"/>
      <c r="C340" s="117"/>
      <c r="D340" s="116"/>
      <c r="E340" s="116"/>
      <c r="F340" s="116" t="s">
        <v>863</v>
      </c>
      <c r="G340" s="116" t="s">
        <v>772</v>
      </c>
      <c r="H340" s="116" t="s">
        <v>668</v>
      </c>
      <c r="I340" s="116"/>
      <c r="J340" s="127"/>
      <c r="K340" s="4"/>
      <c r="L340" s="4"/>
      <c r="M340" s="128"/>
      <c r="N340" s="4"/>
      <c r="O340" s="4"/>
      <c r="P340" s="4"/>
      <c r="Q340" s="4"/>
      <c r="R340" s="4"/>
      <c r="S340" s="4"/>
      <c r="T340" s="4"/>
      <c r="U340" s="4"/>
      <c r="V340" s="4"/>
      <c r="W340" s="4"/>
      <c r="X340" s="4"/>
      <c r="Y340" s="4"/>
      <c r="Z340" s="45"/>
      <c r="AA340" s="45"/>
      <c r="AB340" s="4"/>
    </row>
    <row r="341" spans="1:28" ht="90">
      <c r="A341" s="126" t="s">
        <v>1351</v>
      </c>
      <c r="B341" s="115" t="s">
        <v>1352</v>
      </c>
      <c r="C341" s="115" t="s">
        <v>1126</v>
      </c>
      <c r="D341" s="116" t="s">
        <v>1247</v>
      </c>
      <c r="E341" s="116"/>
      <c r="F341" s="116" t="s">
        <v>860</v>
      </c>
      <c r="G341" s="116" t="s">
        <v>772</v>
      </c>
      <c r="H341" s="116" t="s">
        <v>668</v>
      </c>
      <c r="I341" s="116"/>
      <c r="J341" s="127"/>
      <c r="K341" s="4"/>
      <c r="L341" s="4"/>
      <c r="M341" s="128"/>
      <c r="N341" s="4"/>
      <c r="O341" s="4"/>
      <c r="P341" s="4"/>
      <c r="Q341" s="4"/>
      <c r="R341" s="4"/>
      <c r="S341" s="4"/>
      <c r="T341" s="4"/>
      <c r="U341" s="4"/>
      <c r="V341" s="4"/>
      <c r="W341" s="4"/>
      <c r="X341" s="4"/>
      <c r="Y341" s="4"/>
      <c r="Z341" s="45"/>
      <c r="AA341" s="45"/>
      <c r="AB341" s="4"/>
    </row>
    <row r="342" spans="1:28" ht="45">
      <c r="A342" s="126" t="s">
        <v>1351</v>
      </c>
      <c r="B342" s="117"/>
      <c r="C342" s="117"/>
      <c r="D342" s="116"/>
      <c r="E342" s="116"/>
      <c r="F342" s="116" t="s">
        <v>863</v>
      </c>
      <c r="G342" s="116" t="s">
        <v>630</v>
      </c>
      <c r="H342" s="116" t="s">
        <v>631</v>
      </c>
      <c r="I342" s="116"/>
      <c r="J342" s="127"/>
      <c r="K342" s="4"/>
      <c r="L342" s="4"/>
      <c r="M342" s="128"/>
      <c r="N342" s="4"/>
      <c r="O342" s="4"/>
      <c r="P342" s="4"/>
      <c r="Q342" s="4"/>
      <c r="R342" s="4"/>
      <c r="S342" s="4"/>
      <c r="T342" s="4"/>
      <c r="U342" s="4"/>
      <c r="V342" s="4"/>
      <c r="W342" s="4"/>
      <c r="X342" s="4"/>
      <c r="Y342" s="4"/>
      <c r="Z342" s="45"/>
      <c r="AA342" s="45"/>
      <c r="AB342" s="4"/>
    </row>
    <row r="343" spans="1:28" ht="90">
      <c r="A343" s="126" t="s">
        <v>1353</v>
      </c>
      <c r="B343" s="115" t="s">
        <v>1354</v>
      </c>
      <c r="C343" s="115" t="s">
        <v>776</v>
      </c>
      <c r="D343" s="116" t="s">
        <v>1027</v>
      </c>
      <c r="E343" s="116"/>
      <c r="F343" s="116" t="s">
        <v>860</v>
      </c>
      <c r="G343" s="116" t="s">
        <v>772</v>
      </c>
      <c r="H343" s="116" t="s">
        <v>668</v>
      </c>
      <c r="I343" s="116"/>
      <c r="J343" s="127"/>
      <c r="K343" s="4"/>
      <c r="L343" s="4"/>
      <c r="M343" s="128"/>
      <c r="N343" s="4"/>
      <c r="O343" s="4"/>
      <c r="P343" s="4"/>
      <c r="Q343" s="4"/>
      <c r="R343" s="4"/>
      <c r="S343" s="4"/>
      <c r="T343" s="4"/>
      <c r="U343" s="4"/>
      <c r="V343" s="4"/>
      <c r="W343" s="4"/>
      <c r="X343" s="4"/>
      <c r="Y343" s="4"/>
      <c r="Z343" s="45"/>
      <c r="AA343" s="45"/>
      <c r="AB343" s="4"/>
    </row>
    <row r="344" spans="1:28" ht="45">
      <c r="A344" s="126" t="s">
        <v>1353</v>
      </c>
      <c r="B344" s="117"/>
      <c r="C344" s="117"/>
      <c r="D344" s="116"/>
      <c r="E344" s="116"/>
      <c r="F344" s="116" t="s">
        <v>863</v>
      </c>
      <c r="G344" s="116" t="s">
        <v>630</v>
      </c>
      <c r="H344" s="116" t="s">
        <v>631</v>
      </c>
      <c r="I344" s="116"/>
      <c r="J344" s="127"/>
      <c r="K344" s="4"/>
      <c r="L344" s="4"/>
      <c r="M344" s="128"/>
      <c r="N344" s="4"/>
      <c r="O344" s="4"/>
      <c r="P344" s="4"/>
      <c r="Q344" s="4"/>
      <c r="R344" s="4"/>
      <c r="S344" s="4"/>
      <c r="T344" s="4"/>
      <c r="U344" s="4"/>
      <c r="V344" s="4"/>
      <c r="W344" s="4"/>
      <c r="X344" s="4"/>
      <c r="Y344" s="4"/>
      <c r="Z344" s="45"/>
      <c r="AA344" s="45"/>
      <c r="AB344" s="4"/>
    </row>
    <row r="345" spans="1:28" ht="120">
      <c r="A345" s="126" t="s">
        <v>1355</v>
      </c>
      <c r="B345" s="116" t="s">
        <v>1356</v>
      </c>
      <c r="C345" s="116" t="s">
        <v>1357</v>
      </c>
      <c r="D345" s="116" t="s">
        <v>1358</v>
      </c>
      <c r="E345" s="116"/>
      <c r="F345" s="116" t="s">
        <v>860</v>
      </c>
      <c r="G345" s="116" t="s">
        <v>1359</v>
      </c>
      <c r="H345" s="116" t="s">
        <v>1357</v>
      </c>
      <c r="I345" s="116"/>
      <c r="J345" s="127"/>
      <c r="K345" s="4"/>
      <c r="L345" s="4"/>
      <c r="M345" s="128"/>
      <c r="N345" s="4"/>
      <c r="O345" s="4"/>
      <c r="P345" s="4"/>
      <c r="Q345" s="4"/>
      <c r="R345" s="4"/>
      <c r="S345" s="4"/>
      <c r="T345" s="4"/>
      <c r="U345" s="4"/>
      <c r="V345" s="4"/>
      <c r="W345" s="4"/>
      <c r="X345" s="4"/>
      <c r="Y345" s="4"/>
      <c r="Z345" s="45"/>
      <c r="AA345" s="45"/>
      <c r="AB345" s="4"/>
    </row>
    <row r="346" spans="1:28" ht="398">
      <c r="A346" s="126" t="s">
        <v>1360</v>
      </c>
      <c r="B346" s="115" t="s">
        <v>1361</v>
      </c>
      <c r="C346" s="115" t="s">
        <v>1261</v>
      </c>
      <c r="D346" s="116" t="s">
        <v>1262</v>
      </c>
      <c r="E346" s="116"/>
      <c r="F346" s="116" t="s">
        <v>860</v>
      </c>
      <c r="G346" s="116" t="s">
        <v>363</v>
      </c>
      <c r="H346" s="116" t="s">
        <v>364</v>
      </c>
      <c r="I346" s="116"/>
      <c r="J346" s="127"/>
      <c r="K346" s="4"/>
      <c r="L346" s="4"/>
      <c r="M346" s="128"/>
      <c r="N346" s="4"/>
      <c r="O346" s="4"/>
      <c r="P346" s="4"/>
      <c r="Q346" s="4"/>
      <c r="R346" s="4"/>
      <c r="S346" s="4"/>
      <c r="T346" s="4"/>
      <c r="U346" s="4"/>
      <c r="V346" s="4"/>
      <c r="W346" s="4"/>
      <c r="X346" s="4"/>
      <c r="Y346" s="4"/>
      <c r="Z346" s="45"/>
      <c r="AA346" s="45"/>
      <c r="AB346" s="4"/>
    </row>
    <row r="347" spans="1:28" ht="409.6">
      <c r="A347" s="126" t="s">
        <v>1360</v>
      </c>
      <c r="B347" s="117"/>
      <c r="C347" s="117"/>
      <c r="D347" s="116"/>
      <c r="E347" s="116"/>
      <c r="F347" s="116" t="s">
        <v>863</v>
      </c>
      <c r="G347" s="116" t="s">
        <v>356</v>
      </c>
      <c r="H347" s="116" t="s">
        <v>357</v>
      </c>
      <c r="I347" s="116"/>
      <c r="J347" s="127"/>
      <c r="K347" s="4"/>
      <c r="L347" s="4"/>
      <c r="M347" s="128"/>
      <c r="N347" s="4"/>
      <c r="O347" s="4"/>
      <c r="P347" s="4"/>
      <c r="Q347" s="4"/>
      <c r="R347" s="4"/>
      <c r="S347" s="4"/>
      <c r="T347" s="4"/>
      <c r="U347" s="4"/>
      <c r="V347" s="4"/>
      <c r="W347" s="4"/>
      <c r="X347" s="4"/>
      <c r="Y347" s="4"/>
      <c r="Z347" s="45"/>
      <c r="AA347" s="45"/>
      <c r="AB347" s="4"/>
    </row>
    <row r="348" spans="1:28" ht="90">
      <c r="A348" s="126" t="s">
        <v>1362</v>
      </c>
      <c r="B348" s="115" t="s">
        <v>1363</v>
      </c>
      <c r="C348" s="115" t="s">
        <v>1338</v>
      </c>
      <c r="D348" s="116" t="s">
        <v>1036</v>
      </c>
      <c r="E348" s="116"/>
      <c r="F348" s="116" t="s">
        <v>860</v>
      </c>
      <c r="G348" s="116" t="s">
        <v>772</v>
      </c>
      <c r="H348" s="116" t="s">
        <v>668</v>
      </c>
      <c r="I348" s="116"/>
      <c r="J348" s="127"/>
      <c r="K348" s="4"/>
      <c r="L348" s="4"/>
      <c r="M348" s="128"/>
      <c r="N348" s="4"/>
      <c r="O348" s="4"/>
      <c r="P348" s="4"/>
      <c r="Q348" s="4"/>
      <c r="R348" s="4"/>
      <c r="S348" s="4"/>
      <c r="T348" s="4"/>
      <c r="U348" s="4"/>
      <c r="V348" s="4"/>
      <c r="W348" s="4"/>
      <c r="X348" s="4"/>
      <c r="Y348" s="4"/>
      <c r="Z348" s="45"/>
      <c r="AA348" s="45"/>
      <c r="AB348" s="4"/>
    </row>
    <row r="349" spans="1:28" ht="45">
      <c r="A349" s="126" t="s">
        <v>1362</v>
      </c>
      <c r="B349" s="117"/>
      <c r="C349" s="117"/>
      <c r="D349" s="116"/>
      <c r="E349" s="116"/>
      <c r="F349" s="116" t="s">
        <v>863</v>
      </c>
      <c r="G349" s="116" t="s">
        <v>630</v>
      </c>
      <c r="H349" s="116" t="s">
        <v>631</v>
      </c>
      <c r="I349" s="116"/>
      <c r="J349" s="127"/>
      <c r="K349" s="4"/>
      <c r="L349" s="4"/>
      <c r="M349" s="128"/>
      <c r="N349" s="4"/>
      <c r="O349" s="4"/>
      <c r="P349" s="4"/>
      <c r="Q349" s="4"/>
      <c r="R349" s="4"/>
      <c r="S349" s="4"/>
      <c r="T349" s="4"/>
      <c r="U349" s="4"/>
      <c r="V349" s="4"/>
      <c r="W349" s="4"/>
      <c r="X349" s="4"/>
      <c r="Y349" s="4"/>
      <c r="Z349" s="45"/>
      <c r="AA349" s="45"/>
      <c r="AB349" s="4"/>
    </row>
    <row r="350" spans="1:28" ht="105">
      <c r="A350" s="126" t="s">
        <v>1364</v>
      </c>
      <c r="B350" s="115" t="s">
        <v>1365</v>
      </c>
      <c r="C350" s="115" t="s">
        <v>1073</v>
      </c>
      <c r="D350" s="116" t="s">
        <v>1074</v>
      </c>
      <c r="E350" s="116"/>
      <c r="F350" s="116" t="s">
        <v>860</v>
      </c>
      <c r="G350" s="116" t="s">
        <v>811</v>
      </c>
      <c r="H350" s="116" t="s">
        <v>812</v>
      </c>
      <c r="I350" s="116"/>
      <c r="J350" s="127"/>
      <c r="K350" s="4"/>
      <c r="L350" s="4"/>
      <c r="M350" s="128"/>
      <c r="N350" s="4"/>
      <c r="O350" s="4"/>
      <c r="P350" s="4"/>
      <c r="Q350" s="4"/>
      <c r="R350" s="4"/>
      <c r="S350" s="4"/>
      <c r="T350" s="4"/>
      <c r="U350" s="4"/>
      <c r="V350" s="4"/>
      <c r="W350" s="4"/>
      <c r="X350" s="4"/>
      <c r="Y350" s="4"/>
      <c r="Z350" s="45"/>
      <c r="AA350" s="45"/>
      <c r="AB350" s="4"/>
    </row>
    <row r="351" spans="1:28" ht="30">
      <c r="A351" s="126" t="s">
        <v>1364</v>
      </c>
      <c r="B351" s="117"/>
      <c r="C351" s="117"/>
      <c r="D351" s="116"/>
      <c r="E351" s="116"/>
      <c r="F351" s="116" t="s">
        <v>863</v>
      </c>
      <c r="G351" s="116" t="s">
        <v>807</v>
      </c>
      <c r="H351" s="116" t="s">
        <v>808</v>
      </c>
      <c r="I351" s="116"/>
      <c r="J351" s="127"/>
      <c r="K351" s="4"/>
      <c r="L351" s="4"/>
      <c r="M351" s="128"/>
      <c r="N351" s="4"/>
      <c r="O351" s="4"/>
      <c r="P351" s="4"/>
      <c r="Q351" s="4"/>
      <c r="R351" s="4"/>
      <c r="S351" s="4"/>
      <c r="T351" s="4"/>
      <c r="U351" s="4"/>
      <c r="V351" s="4"/>
      <c r="W351" s="4"/>
      <c r="X351" s="4"/>
      <c r="Y351" s="4"/>
      <c r="Z351" s="45"/>
      <c r="AA351" s="45"/>
      <c r="AB351" s="4"/>
    </row>
    <row r="352" spans="1:28" ht="370">
      <c r="A352" s="126" t="s">
        <v>1366</v>
      </c>
      <c r="B352" s="116" t="s">
        <v>1367</v>
      </c>
      <c r="C352" s="116" t="s">
        <v>781</v>
      </c>
      <c r="D352" s="116" t="s">
        <v>1368</v>
      </c>
      <c r="E352" s="116"/>
      <c r="F352" s="116" t="s">
        <v>860</v>
      </c>
      <c r="G352" s="116" t="s">
        <v>1368</v>
      </c>
      <c r="H352" s="116" t="s">
        <v>781</v>
      </c>
      <c r="I352" s="116"/>
      <c r="J352" s="127"/>
      <c r="K352" s="4"/>
      <c r="L352" s="4"/>
      <c r="M352" s="128"/>
      <c r="N352" s="4"/>
      <c r="O352" s="4"/>
      <c r="P352" s="4"/>
      <c r="Q352" s="4"/>
      <c r="R352" s="4"/>
      <c r="S352" s="4"/>
      <c r="T352" s="4"/>
      <c r="U352" s="4"/>
      <c r="V352" s="4"/>
      <c r="W352" s="4"/>
      <c r="X352" s="4"/>
      <c r="Y352" s="4"/>
      <c r="Z352" s="45"/>
      <c r="AA352" s="45"/>
      <c r="AB352" s="4"/>
    </row>
    <row r="353" spans="1:28" ht="409.6">
      <c r="A353" s="126" t="s">
        <v>1369</v>
      </c>
      <c r="B353" s="115" t="s">
        <v>1370</v>
      </c>
      <c r="C353" s="115" t="s">
        <v>1371</v>
      </c>
      <c r="D353" s="116" t="s">
        <v>1372</v>
      </c>
      <c r="E353" s="116"/>
      <c r="F353" s="116" t="s">
        <v>860</v>
      </c>
      <c r="G353" s="116" t="s">
        <v>257</v>
      </c>
      <c r="H353" s="116" t="s">
        <v>1373</v>
      </c>
      <c r="I353" s="116"/>
      <c r="J353" s="127"/>
      <c r="K353" s="4"/>
      <c r="L353" s="4"/>
      <c r="M353" s="128"/>
      <c r="N353" s="4"/>
      <c r="O353" s="4"/>
      <c r="P353" s="4"/>
      <c r="Q353" s="4"/>
      <c r="R353" s="4"/>
      <c r="S353" s="4"/>
      <c r="T353" s="4"/>
      <c r="U353" s="4"/>
      <c r="V353" s="4"/>
      <c r="W353" s="4"/>
      <c r="X353" s="4"/>
      <c r="Y353" s="4"/>
      <c r="Z353" s="45"/>
      <c r="AA353" s="45"/>
      <c r="AB353" s="4"/>
    </row>
    <row r="354" spans="1:28" ht="120">
      <c r="A354" s="126" t="s">
        <v>1369</v>
      </c>
      <c r="B354" s="117"/>
      <c r="C354" s="117"/>
      <c r="D354" s="116"/>
      <c r="E354" s="116"/>
      <c r="F354" s="116" t="s">
        <v>863</v>
      </c>
      <c r="G354" s="116" t="s">
        <v>253</v>
      </c>
      <c r="H354" s="116" t="s">
        <v>1374</v>
      </c>
      <c r="I354" s="116"/>
      <c r="J354" s="127"/>
      <c r="K354" s="4"/>
      <c r="L354" s="4"/>
      <c r="M354" s="128"/>
      <c r="N354" s="4"/>
      <c r="O354" s="4"/>
      <c r="P354" s="4"/>
      <c r="Q354" s="4"/>
      <c r="R354" s="4"/>
      <c r="S354" s="4"/>
      <c r="T354" s="4"/>
      <c r="U354" s="4"/>
      <c r="V354" s="4"/>
      <c r="W354" s="4"/>
      <c r="X354" s="4"/>
      <c r="Y354" s="4"/>
      <c r="Z354" s="45"/>
      <c r="AA354" s="45"/>
      <c r="AB354" s="4"/>
    </row>
    <row r="355" spans="1:28" ht="135">
      <c r="A355" s="126" t="s">
        <v>1375</v>
      </c>
      <c r="B355" s="115" t="s">
        <v>1376</v>
      </c>
      <c r="C355" s="115" t="s">
        <v>1217</v>
      </c>
      <c r="D355" s="116" t="s">
        <v>1377</v>
      </c>
      <c r="E355" s="116"/>
      <c r="F355" s="116" t="s">
        <v>860</v>
      </c>
      <c r="G355" s="116" t="s">
        <v>1378</v>
      </c>
      <c r="H355" s="116" t="s">
        <v>509</v>
      </c>
      <c r="I355" s="116"/>
      <c r="J355" s="127"/>
      <c r="K355" s="4"/>
      <c r="L355" s="4"/>
      <c r="M355" s="128"/>
      <c r="N355" s="4"/>
      <c r="O355" s="4"/>
      <c r="P355" s="4"/>
      <c r="Q355" s="4"/>
      <c r="R355" s="4"/>
      <c r="S355" s="4"/>
      <c r="T355" s="4"/>
      <c r="U355" s="4"/>
      <c r="V355" s="4"/>
      <c r="W355" s="4"/>
      <c r="X355" s="4"/>
      <c r="Y355" s="4"/>
      <c r="Z355" s="45"/>
      <c r="AA355" s="45"/>
      <c r="AB355" s="4"/>
    </row>
    <row r="356" spans="1:28" ht="75">
      <c r="A356" s="126" t="s">
        <v>1375</v>
      </c>
      <c r="B356" s="117"/>
      <c r="C356" s="117"/>
      <c r="D356" s="116"/>
      <c r="E356" s="116"/>
      <c r="F356" s="116" t="s">
        <v>863</v>
      </c>
      <c r="G356" s="116" t="s">
        <v>1220</v>
      </c>
      <c r="H356" s="116" t="s">
        <v>1221</v>
      </c>
      <c r="I356" s="116"/>
      <c r="J356" s="127"/>
      <c r="K356" s="4"/>
      <c r="L356" s="4"/>
      <c r="M356" s="128"/>
      <c r="N356" s="4"/>
      <c r="O356" s="4"/>
      <c r="P356" s="4"/>
      <c r="Q356" s="4"/>
      <c r="R356" s="4"/>
      <c r="S356" s="4"/>
      <c r="T356" s="4"/>
      <c r="U356" s="4"/>
      <c r="V356" s="4"/>
      <c r="W356" s="4"/>
      <c r="X356" s="4"/>
      <c r="Y356" s="4"/>
      <c r="Z356" s="45"/>
      <c r="AA356" s="45"/>
      <c r="AB356" s="4"/>
    </row>
    <row r="357" spans="1:28" ht="370">
      <c r="A357" s="126" t="s">
        <v>1379</v>
      </c>
      <c r="B357" s="115" t="s">
        <v>1380</v>
      </c>
      <c r="C357" s="115" t="s">
        <v>1291</v>
      </c>
      <c r="D357" s="116" t="s">
        <v>1292</v>
      </c>
      <c r="E357" s="116"/>
      <c r="F357" s="116" t="s">
        <v>860</v>
      </c>
      <c r="G357" s="116" t="s">
        <v>253</v>
      </c>
      <c r="H357" s="116" t="s">
        <v>254</v>
      </c>
      <c r="I357" s="116"/>
      <c r="J357" s="127"/>
      <c r="K357" s="4"/>
      <c r="L357" s="4"/>
      <c r="M357" s="128"/>
      <c r="N357" s="4"/>
      <c r="O357" s="4"/>
      <c r="P357" s="4"/>
      <c r="Q357" s="4"/>
      <c r="R357" s="4"/>
      <c r="S357" s="4"/>
      <c r="T357" s="106">
        <v>1</v>
      </c>
      <c r="U357" s="4"/>
      <c r="V357" s="4"/>
      <c r="W357" s="4"/>
      <c r="X357" s="4"/>
      <c r="Y357" s="4"/>
      <c r="Z357" s="45"/>
      <c r="AA357" s="45"/>
      <c r="AB357" s="4"/>
    </row>
    <row r="358" spans="1:28" ht="60">
      <c r="A358" s="126" t="s">
        <v>1379</v>
      </c>
      <c r="B358" s="117"/>
      <c r="C358" s="117"/>
      <c r="D358" s="116"/>
      <c r="E358" s="116"/>
      <c r="F358" s="116" t="s">
        <v>863</v>
      </c>
      <c r="G358" s="116" t="s">
        <v>257</v>
      </c>
      <c r="H358" s="116" t="s">
        <v>258</v>
      </c>
      <c r="I358" s="116"/>
      <c r="J358" s="127"/>
      <c r="K358" s="4"/>
      <c r="L358" s="4"/>
      <c r="M358" s="128"/>
      <c r="N358" s="4"/>
      <c r="O358" s="4"/>
      <c r="P358" s="4"/>
      <c r="Q358" s="4"/>
      <c r="R358" s="4"/>
      <c r="S358" s="4"/>
      <c r="T358" s="106"/>
      <c r="U358" s="4"/>
      <c r="V358" s="4"/>
      <c r="W358" s="4"/>
      <c r="X358" s="4"/>
      <c r="Y358" s="4"/>
      <c r="Z358" s="45"/>
      <c r="AA358" s="45"/>
      <c r="AB358" s="4"/>
    </row>
    <row r="359" spans="1:28" ht="165">
      <c r="A359" s="126" t="s">
        <v>1381</v>
      </c>
      <c r="B359" s="115" t="s">
        <v>1382</v>
      </c>
      <c r="C359" s="115" t="s">
        <v>1126</v>
      </c>
      <c r="D359" s="116" t="s">
        <v>1127</v>
      </c>
      <c r="E359" s="116"/>
      <c r="F359" s="116" t="s">
        <v>860</v>
      </c>
      <c r="G359" s="116" t="s">
        <v>663</v>
      </c>
      <c r="H359" s="116" t="s">
        <v>631</v>
      </c>
      <c r="I359" s="116"/>
      <c r="J359" s="127"/>
      <c r="K359" s="4"/>
      <c r="L359" s="4"/>
      <c r="M359" s="128"/>
      <c r="N359" s="4"/>
      <c r="O359" s="4"/>
      <c r="P359" s="4"/>
      <c r="Q359" s="4"/>
      <c r="R359" s="4"/>
      <c r="S359" s="4"/>
      <c r="T359" s="4"/>
      <c r="U359" s="4"/>
      <c r="V359" s="4"/>
      <c r="W359" s="4"/>
      <c r="X359" s="4"/>
      <c r="Y359" s="4"/>
      <c r="Z359" s="45"/>
      <c r="AA359" s="45"/>
      <c r="AB359" s="4"/>
    </row>
    <row r="360" spans="1:28" ht="75">
      <c r="A360" s="126" t="s">
        <v>1381</v>
      </c>
      <c r="B360" s="117"/>
      <c r="C360" s="117"/>
      <c r="D360" s="116"/>
      <c r="E360" s="116"/>
      <c r="F360" s="116" t="s">
        <v>863</v>
      </c>
      <c r="G360" s="116" t="s">
        <v>667</v>
      </c>
      <c r="H360" s="116" t="s">
        <v>668</v>
      </c>
      <c r="I360" s="116"/>
      <c r="J360" s="127"/>
      <c r="K360" s="4"/>
      <c r="L360" s="4"/>
      <c r="M360" s="128"/>
      <c r="N360" s="4"/>
      <c r="O360" s="4"/>
      <c r="P360" s="4"/>
      <c r="Q360" s="4"/>
      <c r="R360" s="4"/>
      <c r="S360" s="4"/>
      <c r="T360" s="4"/>
      <c r="U360" s="4"/>
      <c r="V360" s="4"/>
      <c r="W360" s="4"/>
      <c r="X360" s="4"/>
      <c r="Y360" s="4"/>
      <c r="Z360" s="45"/>
      <c r="AA360" s="45"/>
      <c r="AB360" s="4"/>
    </row>
    <row r="361" spans="1:28" ht="136">
      <c r="A361" s="126" t="s">
        <v>1383</v>
      </c>
      <c r="B361" s="116" t="s">
        <v>1384</v>
      </c>
      <c r="C361" s="116" t="s">
        <v>1385</v>
      </c>
      <c r="D361" s="130" t="s">
        <v>1386</v>
      </c>
      <c r="E361" s="130"/>
      <c r="F361" s="130" t="s">
        <v>860</v>
      </c>
      <c r="G361" s="130" t="s">
        <v>422</v>
      </c>
      <c r="H361" s="130" t="s">
        <v>423</v>
      </c>
      <c r="I361" s="39"/>
      <c r="J361" s="39"/>
      <c r="K361" s="39"/>
      <c r="L361" s="39"/>
      <c r="M361" s="39"/>
      <c r="N361" s="39"/>
      <c r="O361" s="39"/>
      <c r="P361" s="39"/>
      <c r="Q361" s="39"/>
      <c r="R361" s="40"/>
      <c r="S361" s="40"/>
      <c r="T361" s="41">
        <v>1</v>
      </c>
      <c r="U361" s="42"/>
      <c r="V361" s="42"/>
      <c r="W361" s="43"/>
      <c r="X361" s="44"/>
      <c r="Y361" s="4"/>
      <c r="Z361" s="45"/>
      <c r="AA361" s="45"/>
      <c r="AB361" s="4"/>
    </row>
    <row r="362" spans="1:28" ht="210">
      <c r="A362" s="126" t="s">
        <v>1387</v>
      </c>
      <c r="B362" s="115" t="s">
        <v>1388</v>
      </c>
      <c r="C362" s="115" t="s">
        <v>815</v>
      </c>
      <c r="D362" s="116" t="s">
        <v>816</v>
      </c>
      <c r="E362" s="116"/>
      <c r="F362" s="116" t="s">
        <v>860</v>
      </c>
      <c r="G362" s="116" t="s">
        <v>823</v>
      </c>
      <c r="H362" s="116" t="s">
        <v>818</v>
      </c>
      <c r="I362" s="39"/>
      <c r="J362" s="39"/>
      <c r="K362" s="39"/>
      <c r="L362" s="39"/>
      <c r="M362" s="39"/>
      <c r="N362" s="39"/>
      <c r="O362" s="39"/>
      <c r="P362" s="39"/>
      <c r="Q362" s="39"/>
      <c r="R362" s="40"/>
      <c r="S362" s="40"/>
      <c r="T362" s="41"/>
      <c r="U362" s="42"/>
      <c r="V362" s="42"/>
      <c r="W362" s="43"/>
      <c r="X362" s="44"/>
      <c r="Y362" s="4"/>
      <c r="Z362" s="45"/>
      <c r="AA362" s="45"/>
      <c r="AB362" s="4"/>
    </row>
    <row r="363" spans="1:28" ht="60">
      <c r="A363" s="126" t="s">
        <v>1387</v>
      </c>
      <c r="B363" s="117"/>
      <c r="C363" s="117"/>
      <c r="D363" s="116"/>
      <c r="E363" s="116"/>
      <c r="F363" s="116" t="s">
        <v>863</v>
      </c>
      <c r="G363" s="116" t="s">
        <v>821</v>
      </c>
      <c r="H363" s="116" t="s">
        <v>818</v>
      </c>
      <c r="I363" s="39"/>
      <c r="J363" s="39"/>
      <c r="K363" s="39"/>
      <c r="L363" s="39"/>
      <c r="M363" s="39"/>
      <c r="N363" s="39"/>
      <c r="O363" s="39"/>
      <c r="P363" s="39"/>
      <c r="Q363" s="39"/>
      <c r="R363" s="40"/>
      <c r="S363" s="40"/>
      <c r="T363" s="41"/>
      <c r="U363" s="42"/>
      <c r="V363" s="42"/>
      <c r="W363" s="43"/>
      <c r="X363" s="44"/>
      <c r="Y363" s="4"/>
      <c r="Z363" s="45"/>
      <c r="AA363" s="45"/>
      <c r="AB363" s="4"/>
    </row>
    <row r="364" spans="1:28" ht="60">
      <c r="A364" s="126" t="s">
        <v>1387</v>
      </c>
      <c r="B364" s="117"/>
      <c r="C364" s="117"/>
      <c r="D364" s="116"/>
      <c r="E364" s="116"/>
      <c r="F364" s="116" t="s">
        <v>865</v>
      </c>
      <c r="G364" s="116" t="s">
        <v>817</v>
      </c>
      <c r="H364" s="116" t="s">
        <v>818</v>
      </c>
      <c r="I364" s="39"/>
      <c r="J364" s="39"/>
      <c r="K364" s="39"/>
      <c r="L364" s="39"/>
      <c r="M364" s="39"/>
      <c r="N364" s="39"/>
      <c r="O364" s="39"/>
      <c r="P364" s="39"/>
      <c r="Q364" s="39"/>
      <c r="R364" s="40"/>
      <c r="S364" s="40"/>
      <c r="T364" s="41"/>
      <c r="U364" s="42"/>
      <c r="V364" s="42"/>
      <c r="W364" s="43"/>
      <c r="X364" s="44"/>
      <c r="Y364" s="4"/>
      <c r="Z364" s="45"/>
      <c r="AA364" s="45"/>
      <c r="AB364" s="4"/>
    </row>
    <row r="365" spans="1:28" ht="60">
      <c r="A365" s="126" t="s">
        <v>1387</v>
      </c>
      <c r="B365" s="118"/>
      <c r="C365" s="118"/>
      <c r="D365" s="116"/>
      <c r="E365" s="116"/>
      <c r="F365" s="116" t="s">
        <v>867</v>
      </c>
      <c r="G365" s="116" t="s">
        <v>819</v>
      </c>
      <c r="H365" s="116" t="s">
        <v>818</v>
      </c>
      <c r="I365" s="39"/>
      <c r="J365" s="39"/>
      <c r="K365" s="39"/>
      <c r="L365" s="39"/>
      <c r="M365" s="39"/>
      <c r="N365" s="39"/>
      <c r="O365" s="39"/>
      <c r="P365" s="39"/>
      <c r="Q365" s="39"/>
      <c r="R365" s="40"/>
      <c r="S365" s="40"/>
      <c r="T365" s="41"/>
      <c r="U365" s="42"/>
      <c r="V365" s="42"/>
      <c r="W365" s="43"/>
      <c r="X365" s="44"/>
      <c r="Y365" s="4"/>
      <c r="Z365" s="45"/>
      <c r="AA365" s="45"/>
      <c r="AB365" s="4"/>
    </row>
    <row r="366" spans="1:28" ht="409.6">
      <c r="A366" s="126" t="s">
        <v>1389</v>
      </c>
      <c r="B366" s="115" t="s">
        <v>1390</v>
      </c>
      <c r="C366" s="115" t="s">
        <v>1391</v>
      </c>
      <c r="D366" s="116" t="s">
        <v>1392</v>
      </c>
      <c r="E366" s="116"/>
      <c r="F366" s="116" t="s">
        <v>860</v>
      </c>
      <c r="G366" s="116" t="s">
        <v>1393</v>
      </c>
      <c r="H366" s="116" t="s">
        <v>1394</v>
      </c>
      <c r="I366" s="39"/>
      <c r="J366" s="39"/>
      <c r="K366" s="39"/>
      <c r="L366" s="39"/>
      <c r="M366" s="39"/>
      <c r="N366" s="39"/>
      <c r="O366" s="39"/>
      <c r="P366" s="39"/>
      <c r="Q366" s="39"/>
      <c r="R366" s="40"/>
      <c r="S366" s="40"/>
      <c r="T366" s="41"/>
      <c r="U366" s="42"/>
      <c r="V366" s="42"/>
      <c r="W366" s="43"/>
      <c r="X366" s="44"/>
      <c r="Y366" s="4"/>
      <c r="Z366" s="45"/>
      <c r="AA366" s="45"/>
      <c r="AB366" s="4"/>
    </row>
    <row r="367" spans="1:28" ht="60">
      <c r="A367" s="126" t="s">
        <v>1389</v>
      </c>
      <c r="B367" s="118"/>
      <c r="C367" s="118"/>
      <c r="D367" s="116"/>
      <c r="E367" s="116"/>
      <c r="F367" s="116" t="s">
        <v>863</v>
      </c>
      <c r="G367" s="116" t="s">
        <v>1395</v>
      </c>
      <c r="H367" s="116" t="s">
        <v>1396</v>
      </c>
      <c r="I367" s="39"/>
      <c r="J367" s="39"/>
      <c r="K367" s="39"/>
      <c r="L367" s="39"/>
      <c r="M367" s="39"/>
      <c r="N367" s="39"/>
      <c r="O367" s="39"/>
      <c r="P367" s="39"/>
      <c r="Q367" s="39"/>
      <c r="R367" s="40"/>
      <c r="S367" s="40"/>
      <c r="T367" s="41"/>
      <c r="U367" s="42"/>
      <c r="V367" s="42"/>
      <c r="W367" s="43"/>
      <c r="X367" s="44"/>
      <c r="Y367" s="4"/>
      <c r="Z367" s="45"/>
      <c r="AA367" s="45"/>
      <c r="AB367" s="4"/>
    </row>
    <row r="368" spans="1:28" ht="150">
      <c r="A368" s="126" t="s">
        <v>1397</v>
      </c>
      <c r="B368" s="119" t="s">
        <v>1398</v>
      </c>
      <c r="C368" s="115" t="s">
        <v>1399</v>
      </c>
      <c r="D368" s="119" t="s">
        <v>1400</v>
      </c>
      <c r="E368" s="123"/>
      <c r="F368" s="116" t="s">
        <v>860</v>
      </c>
      <c r="G368" s="116" t="s">
        <v>1401</v>
      </c>
      <c r="H368" s="116" t="s">
        <v>1402</v>
      </c>
      <c r="I368" s="39"/>
      <c r="J368" s="39"/>
      <c r="K368" s="39"/>
      <c r="L368" s="39"/>
      <c r="M368" s="39"/>
      <c r="N368" s="39"/>
      <c r="O368" s="39"/>
      <c r="P368" s="39"/>
      <c r="Q368" s="39"/>
      <c r="R368" s="40"/>
      <c r="S368" s="40"/>
      <c r="T368" s="41"/>
      <c r="U368" s="42"/>
      <c r="V368" s="42"/>
      <c r="W368" s="43"/>
      <c r="X368" s="44"/>
      <c r="Y368" s="4"/>
      <c r="Z368" s="45"/>
      <c r="AA368" s="45"/>
      <c r="AB368" s="4"/>
    </row>
    <row r="369" spans="1:28" ht="105">
      <c r="A369" s="126" t="s">
        <v>1397</v>
      </c>
      <c r="B369" s="120"/>
      <c r="C369" s="117"/>
      <c r="D369" s="120"/>
      <c r="E369" s="131"/>
      <c r="F369" s="116" t="s">
        <v>863</v>
      </c>
      <c r="G369" s="116" t="s">
        <v>1403</v>
      </c>
      <c r="H369" s="116" t="s">
        <v>1404</v>
      </c>
      <c r="I369" s="39"/>
      <c r="J369" s="39"/>
      <c r="K369" s="39"/>
      <c r="L369" s="39"/>
      <c r="M369" s="39"/>
      <c r="N369" s="39"/>
      <c r="O369" s="39"/>
      <c r="P369" s="39"/>
      <c r="Q369" s="39"/>
      <c r="R369" s="40"/>
      <c r="S369" s="40"/>
      <c r="T369" s="41"/>
      <c r="U369" s="42"/>
      <c r="V369" s="42"/>
      <c r="W369" s="43"/>
      <c r="X369" s="44"/>
      <c r="Y369" s="4"/>
      <c r="Z369" s="45"/>
      <c r="AA369" s="45"/>
      <c r="AB369" s="4"/>
    </row>
    <row r="370" spans="1:28" ht="409.6">
      <c r="A370" s="126" t="s">
        <v>1397</v>
      </c>
      <c r="B370" s="121"/>
      <c r="C370" s="118"/>
      <c r="D370" s="121"/>
      <c r="E370" s="132"/>
      <c r="F370" s="116" t="s">
        <v>865</v>
      </c>
      <c r="G370" s="116" t="s">
        <v>1405</v>
      </c>
      <c r="H370" s="116" t="s">
        <v>1406</v>
      </c>
      <c r="I370" s="39"/>
      <c r="J370" s="39"/>
      <c r="K370" s="39"/>
      <c r="L370" s="39"/>
      <c r="M370" s="39"/>
      <c r="N370" s="39"/>
      <c r="O370" s="39"/>
      <c r="P370" s="39"/>
      <c r="Q370" s="39"/>
      <c r="R370" s="40"/>
      <c r="S370" s="40"/>
      <c r="T370" s="41"/>
      <c r="U370" s="42"/>
      <c r="V370" s="42"/>
      <c r="W370" s="43"/>
      <c r="X370" s="44"/>
      <c r="Y370" s="4"/>
      <c r="Z370" s="45"/>
      <c r="AA370" s="45"/>
      <c r="AB370" s="4"/>
    </row>
    <row r="371" spans="1:28" ht="90">
      <c r="A371" s="126" t="s">
        <v>1407</v>
      </c>
      <c r="B371" s="116" t="s">
        <v>1408</v>
      </c>
      <c r="C371" s="116" t="s">
        <v>1409</v>
      </c>
      <c r="D371" s="116" t="s">
        <v>1386</v>
      </c>
      <c r="E371" s="116"/>
      <c r="F371" s="116" t="s">
        <v>860</v>
      </c>
      <c r="G371" s="116" t="s">
        <v>422</v>
      </c>
      <c r="H371" s="116" t="s">
        <v>423</v>
      </c>
      <c r="I371" s="39"/>
      <c r="J371" s="39"/>
      <c r="K371" s="39"/>
      <c r="L371" s="39"/>
      <c r="M371" s="39"/>
      <c r="N371" s="39"/>
      <c r="O371" s="39"/>
      <c r="P371" s="39"/>
      <c r="Q371" s="39"/>
      <c r="R371" s="40"/>
      <c r="S371" s="40"/>
      <c r="T371" s="41">
        <v>1</v>
      </c>
      <c r="U371" s="42"/>
      <c r="V371" s="42"/>
      <c r="W371" s="43"/>
      <c r="X371" s="44"/>
      <c r="Y371" s="4"/>
      <c r="Z371" s="45"/>
      <c r="AA371" s="45"/>
      <c r="AB371" s="4"/>
    </row>
    <row r="372" spans="1:28" ht="90">
      <c r="A372" s="126" t="s">
        <v>1410</v>
      </c>
      <c r="B372" s="116" t="s">
        <v>1411</v>
      </c>
      <c r="C372" s="116" t="s">
        <v>1409</v>
      </c>
      <c r="D372" s="116" t="s">
        <v>1386</v>
      </c>
      <c r="E372" s="116"/>
      <c r="F372" s="116" t="s">
        <v>860</v>
      </c>
      <c r="G372" s="116" t="s">
        <v>422</v>
      </c>
      <c r="H372" s="116" t="s">
        <v>423</v>
      </c>
      <c r="I372" s="39"/>
      <c r="J372" s="39"/>
      <c r="K372" s="39"/>
      <c r="L372" s="39"/>
      <c r="M372" s="39"/>
      <c r="N372" s="39"/>
      <c r="O372" s="39"/>
      <c r="P372" s="39"/>
      <c r="Q372" s="39"/>
      <c r="R372" s="40"/>
      <c r="S372" s="40"/>
      <c r="T372" s="41">
        <v>1</v>
      </c>
      <c r="U372" s="42"/>
      <c r="V372" s="42"/>
      <c r="W372" s="43"/>
      <c r="X372" s="44"/>
      <c r="Y372" s="4"/>
      <c r="Z372" s="45"/>
      <c r="AA372" s="45"/>
      <c r="AB372" s="4"/>
    </row>
    <row r="373" spans="1:28" ht="90">
      <c r="A373" s="126" t="s">
        <v>1412</v>
      </c>
      <c r="B373" s="116" t="s">
        <v>1413</v>
      </c>
      <c r="C373" s="116" t="s">
        <v>1385</v>
      </c>
      <c r="D373" s="116" t="s">
        <v>1386</v>
      </c>
      <c r="E373" s="116"/>
      <c r="F373" s="116" t="s">
        <v>860</v>
      </c>
      <c r="G373" s="116" t="s">
        <v>422</v>
      </c>
      <c r="H373" s="116" t="s">
        <v>423</v>
      </c>
      <c r="I373" s="39"/>
      <c r="J373" s="39"/>
      <c r="K373" s="39"/>
      <c r="L373" s="39"/>
      <c r="M373" s="39"/>
      <c r="N373" s="39"/>
      <c r="O373" s="39"/>
      <c r="P373" s="39"/>
      <c r="Q373" s="39"/>
      <c r="R373" s="40"/>
      <c r="S373" s="40"/>
      <c r="T373" s="41">
        <v>1</v>
      </c>
      <c r="U373" s="42"/>
      <c r="V373" s="42"/>
      <c r="W373" s="43"/>
      <c r="X373" s="44"/>
      <c r="Y373" s="4"/>
      <c r="Z373" s="45"/>
      <c r="AA373" s="45"/>
      <c r="AB373" s="4"/>
    </row>
    <row r="374" spans="1:28" ht="90">
      <c r="A374" s="126" t="s">
        <v>1414</v>
      </c>
      <c r="B374" s="119" t="s">
        <v>1415</v>
      </c>
      <c r="C374" s="119" t="s">
        <v>788</v>
      </c>
      <c r="D374" s="119" t="s">
        <v>1416</v>
      </c>
      <c r="E374" s="123"/>
      <c r="F374" s="116" t="s">
        <v>860</v>
      </c>
      <c r="G374" s="116" t="s">
        <v>795</v>
      </c>
      <c r="H374" s="116" t="s">
        <v>796</v>
      </c>
      <c r="I374" s="39"/>
      <c r="J374" s="39"/>
      <c r="K374" s="39"/>
      <c r="L374" s="39"/>
      <c r="M374" s="39"/>
      <c r="N374" s="39"/>
      <c r="O374" s="39"/>
      <c r="P374" s="39"/>
      <c r="Q374" s="39"/>
      <c r="R374" s="40"/>
      <c r="S374" s="40"/>
      <c r="T374" s="133"/>
      <c r="U374" s="42"/>
      <c r="V374" s="42"/>
      <c r="W374" s="43"/>
      <c r="X374" s="44"/>
      <c r="Y374" s="4"/>
      <c r="Z374" s="45"/>
      <c r="AA374" s="45"/>
      <c r="AB374" s="4"/>
    </row>
    <row r="375" spans="1:28" ht="60">
      <c r="A375" s="126" t="s">
        <v>1414</v>
      </c>
      <c r="B375" s="120"/>
      <c r="C375" s="120"/>
      <c r="D375" s="120"/>
      <c r="E375" s="131"/>
      <c r="F375" s="116" t="s">
        <v>863</v>
      </c>
      <c r="G375" s="116" t="s">
        <v>1417</v>
      </c>
      <c r="H375" s="116" t="s">
        <v>793</v>
      </c>
      <c r="I375" s="39"/>
      <c r="J375" s="39"/>
      <c r="K375" s="39"/>
      <c r="L375" s="39"/>
      <c r="M375" s="39"/>
      <c r="N375" s="39"/>
      <c r="O375" s="39"/>
      <c r="P375" s="39"/>
      <c r="Q375" s="39"/>
      <c r="R375" s="40"/>
      <c r="S375" s="40"/>
      <c r="T375" s="133"/>
      <c r="U375" s="42"/>
      <c r="V375" s="42"/>
      <c r="W375" s="43"/>
      <c r="X375" s="44"/>
      <c r="Y375" s="4"/>
      <c r="Z375" s="45"/>
      <c r="AA375" s="45"/>
      <c r="AB375" s="4"/>
    </row>
    <row r="376" spans="1:28" ht="60">
      <c r="A376" s="126" t="s">
        <v>1414</v>
      </c>
      <c r="B376" s="121"/>
      <c r="C376" s="121"/>
      <c r="D376" s="121"/>
      <c r="E376" s="132"/>
      <c r="F376" s="116" t="s">
        <v>865</v>
      </c>
      <c r="G376" s="116" t="s">
        <v>790</v>
      </c>
      <c r="H376" s="116" t="s">
        <v>791</v>
      </c>
      <c r="I376" s="39"/>
      <c r="J376" s="39"/>
      <c r="K376" s="39"/>
      <c r="L376" s="39"/>
      <c r="M376" s="39"/>
      <c r="N376" s="39"/>
      <c r="O376" s="39"/>
      <c r="P376" s="39"/>
      <c r="Q376" s="39"/>
      <c r="R376" s="40"/>
      <c r="S376" s="40"/>
      <c r="T376" s="133"/>
      <c r="U376" s="42"/>
      <c r="V376" s="42"/>
      <c r="W376" s="43"/>
      <c r="X376" s="44"/>
      <c r="Y376" s="4"/>
      <c r="Z376" s="45"/>
      <c r="AA376" s="45"/>
      <c r="AB376" s="4"/>
    </row>
    <row r="377" spans="1:28" ht="90">
      <c r="A377" s="126" t="s">
        <v>1418</v>
      </c>
      <c r="B377" s="115" t="s">
        <v>1419</v>
      </c>
      <c r="C377" s="116" t="s">
        <v>1420</v>
      </c>
      <c r="D377" s="119" t="s">
        <v>1421</v>
      </c>
      <c r="E377" s="123"/>
      <c r="F377" s="116" t="s">
        <v>860</v>
      </c>
      <c r="G377" s="116" t="s">
        <v>795</v>
      </c>
      <c r="H377" s="116" t="s">
        <v>796</v>
      </c>
      <c r="I377" s="39"/>
      <c r="J377" s="39"/>
      <c r="K377" s="39"/>
      <c r="L377" s="39"/>
      <c r="M377" s="39"/>
      <c r="N377" s="39"/>
      <c r="O377" s="39"/>
      <c r="P377" s="39"/>
      <c r="Q377" s="39"/>
      <c r="R377" s="40"/>
      <c r="S377" s="40"/>
      <c r="T377" s="133">
        <v>0.33</v>
      </c>
      <c r="U377" s="42" t="s">
        <v>1422</v>
      </c>
      <c r="V377" s="42"/>
      <c r="W377" s="43"/>
      <c r="X377" s="44"/>
      <c r="Y377" s="4"/>
      <c r="Z377" s="45"/>
      <c r="AA377" s="45"/>
      <c r="AB377" s="4"/>
    </row>
    <row r="378" spans="1:28" ht="60">
      <c r="A378" s="126" t="s">
        <v>1418</v>
      </c>
      <c r="B378" s="117"/>
      <c r="C378" s="116" t="s">
        <v>1420</v>
      </c>
      <c r="D378" s="120"/>
      <c r="E378" s="131"/>
      <c r="F378" s="116" t="s">
        <v>863</v>
      </c>
      <c r="G378" s="116" t="s">
        <v>790</v>
      </c>
      <c r="H378" s="116" t="s">
        <v>791</v>
      </c>
      <c r="I378" s="39"/>
      <c r="J378" s="39"/>
      <c r="K378" s="39"/>
      <c r="L378" s="39"/>
      <c r="M378" s="39"/>
      <c r="N378" s="39"/>
      <c r="O378" s="39"/>
      <c r="P378" s="39"/>
      <c r="Q378" s="39"/>
      <c r="R378" s="40"/>
      <c r="S378" s="40"/>
      <c r="T378" s="133"/>
      <c r="U378" s="42"/>
      <c r="V378" s="42"/>
      <c r="W378" s="43"/>
      <c r="X378" s="44"/>
      <c r="Y378" s="4"/>
      <c r="Z378" s="45"/>
      <c r="AA378" s="45"/>
      <c r="AB378" s="4"/>
    </row>
    <row r="379" spans="1:28" ht="60">
      <c r="A379" s="126" t="s">
        <v>1418</v>
      </c>
      <c r="B379" s="118"/>
      <c r="C379" s="116" t="s">
        <v>1420</v>
      </c>
      <c r="D379" s="121"/>
      <c r="E379" s="132"/>
      <c r="F379" s="116" t="s">
        <v>865</v>
      </c>
      <c r="G379" s="116" t="s">
        <v>1423</v>
      </c>
      <c r="H379" s="116" t="s">
        <v>793</v>
      </c>
      <c r="I379" s="39"/>
      <c r="J379" s="39"/>
      <c r="K379" s="39"/>
      <c r="L379" s="39"/>
      <c r="M379" s="39"/>
      <c r="N379" s="39"/>
      <c r="O379" s="39"/>
      <c r="P379" s="39"/>
      <c r="Q379" s="39"/>
      <c r="R379" s="40"/>
      <c r="S379" s="40"/>
      <c r="T379" s="133"/>
      <c r="U379" s="42"/>
      <c r="V379" s="42"/>
      <c r="W379" s="43"/>
      <c r="X379" s="44"/>
      <c r="Y379" s="4"/>
      <c r="Z379" s="45"/>
      <c r="AA379" s="45"/>
      <c r="AB379" s="4"/>
    </row>
    <row r="380" spans="1:28" ht="96">
      <c r="A380" s="126" t="s">
        <v>1424</v>
      </c>
      <c r="B380" s="115" t="s">
        <v>1425</v>
      </c>
      <c r="C380" s="116" t="s">
        <v>1420</v>
      </c>
      <c r="D380" s="119" t="s">
        <v>1426</v>
      </c>
      <c r="E380" s="123"/>
      <c r="F380" s="116" t="s">
        <v>860</v>
      </c>
      <c r="G380" s="116" t="s">
        <v>790</v>
      </c>
      <c r="H380" s="116" t="s">
        <v>791</v>
      </c>
      <c r="I380" s="39"/>
      <c r="J380" s="39"/>
      <c r="K380" s="39"/>
      <c r="L380" s="39"/>
      <c r="M380" s="39"/>
      <c r="N380" s="39"/>
      <c r="O380" s="39"/>
      <c r="P380" s="39"/>
      <c r="Q380" s="39"/>
      <c r="R380" s="40"/>
      <c r="S380" s="40"/>
      <c r="T380" s="133">
        <v>0.33</v>
      </c>
      <c r="U380" s="42" t="s">
        <v>1427</v>
      </c>
      <c r="V380" s="42"/>
      <c r="W380" s="43"/>
      <c r="X380" s="44"/>
      <c r="Y380" s="4"/>
      <c r="Z380" s="45"/>
      <c r="AA380" s="45"/>
      <c r="AB380" s="4"/>
    </row>
    <row r="381" spans="1:28" ht="60">
      <c r="A381" s="126" t="s">
        <v>1424</v>
      </c>
      <c r="B381" s="117"/>
      <c r="C381" s="116" t="s">
        <v>1420</v>
      </c>
      <c r="D381" s="120"/>
      <c r="E381" s="131"/>
      <c r="F381" s="116" t="s">
        <v>863</v>
      </c>
      <c r="G381" s="116" t="s">
        <v>1428</v>
      </c>
      <c r="H381" s="116" t="s">
        <v>793</v>
      </c>
      <c r="I381" s="39"/>
      <c r="J381" s="39"/>
      <c r="K381" s="39"/>
      <c r="L381" s="39"/>
      <c r="M381" s="39"/>
      <c r="N381" s="39"/>
      <c r="O381" s="39"/>
      <c r="P381" s="39"/>
      <c r="Q381" s="39"/>
      <c r="R381" s="40"/>
      <c r="S381" s="40"/>
      <c r="T381" s="133"/>
      <c r="U381" s="42"/>
      <c r="V381" s="42"/>
      <c r="W381" s="43"/>
      <c r="X381" s="44"/>
      <c r="Y381" s="4"/>
      <c r="Z381" s="45"/>
      <c r="AA381" s="45"/>
      <c r="AB381" s="4"/>
    </row>
    <row r="382" spans="1:28" ht="90">
      <c r="A382" s="126" t="s">
        <v>1424</v>
      </c>
      <c r="B382" s="118"/>
      <c r="C382" s="116" t="s">
        <v>1420</v>
      </c>
      <c r="D382" s="121"/>
      <c r="E382" s="132"/>
      <c r="F382" s="116" t="s">
        <v>865</v>
      </c>
      <c r="G382" s="116" t="s">
        <v>795</v>
      </c>
      <c r="H382" s="116" t="s">
        <v>796</v>
      </c>
      <c r="I382" s="39"/>
      <c r="J382" s="39"/>
      <c r="K382" s="39"/>
      <c r="L382" s="39"/>
      <c r="M382" s="39"/>
      <c r="N382" s="39"/>
      <c r="O382" s="39"/>
      <c r="P382" s="39"/>
      <c r="Q382" s="39"/>
      <c r="R382" s="40"/>
      <c r="S382" s="40"/>
      <c r="T382" s="133"/>
      <c r="U382" s="42"/>
      <c r="V382" s="42"/>
      <c r="W382" s="43"/>
      <c r="X382" s="44"/>
      <c r="Y382" s="4"/>
      <c r="Z382" s="45"/>
      <c r="AA382" s="45"/>
      <c r="AB382" s="4"/>
    </row>
    <row r="383" spans="1:28" ht="80">
      <c r="A383" s="126" t="s">
        <v>1429</v>
      </c>
      <c r="B383" s="115" t="s">
        <v>1430</v>
      </c>
      <c r="C383" s="116" t="s">
        <v>1420</v>
      </c>
      <c r="D383" s="119" t="s">
        <v>1431</v>
      </c>
      <c r="E383" s="123"/>
      <c r="F383" s="116" t="s">
        <v>860</v>
      </c>
      <c r="G383" s="116" t="s">
        <v>1432</v>
      </c>
      <c r="H383" s="116" t="s">
        <v>793</v>
      </c>
      <c r="I383" s="39"/>
      <c r="J383" s="39"/>
      <c r="K383" s="39"/>
      <c r="L383" s="39"/>
      <c r="M383" s="39"/>
      <c r="N383" s="39"/>
      <c r="O383" s="39"/>
      <c r="P383" s="39"/>
      <c r="Q383" s="39"/>
      <c r="R383" s="40"/>
      <c r="S383" s="40"/>
      <c r="T383" s="133">
        <v>0.33</v>
      </c>
      <c r="U383" s="42" t="s">
        <v>1433</v>
      </c>
      <c r="V383" s="42"/>
      <c r="W383" s="43"/>
      <c r="X383" s="44"/>
      <c r="Y383" s="4"/>
      <c r="Z383" s="45"/>
      <c r="AA383" s="45"/>
      <c r="AB383" s="4"/>
    </row>
    <row r="384" spans="1:28" ht="90">
      <c r="A384" s="126" t="s">
        <v>1429</v>
      </c>
      <c r="B384" s="117"/>
      <c r="C384" s="116" t="s">
        <v>1420</v>
      </c>
      <c r="D384" s="120"/>
      <c r="E384" s="131"/>
      <c r="F384" s="116" t="s">
        <v>863</v>
      </c>
      <c r="G384" s="116" t="s">
        <v>795</v>
      </c>
      <c r="H384" s="116" t="s">
        <v>796</v>
      </c>
      <c r="I384" s="39"/>
      <c r="J384" s="39"/>
      <c r="K384" s="39"/>
      <c r="L384" s="39"/>
      <c r="M384" s="39"/>
      <c r="N384" s="39"/>
      <c r="O384" s="39"/>
      <c r="P384" s="39"/>
      <c r="Q384" s="39"/>
      <c r="R384" s="40"/>
      <c r="S384" s="40"/>
      <c r="T384" s="133"/>
      <c r="U384" s="42"/>
      <c r="V384" s="42"/>
      <c r="W384" s="43"/>
      <c r="X384" s="44"/>
      <c r="Y384" s="4"/>
      <c r="Z384" s="45"/>
      <c r="AA384" s="45"/>
      <c r="AB384" s="4"/>
    </row>
    <row r="385" spans="1:28" ht="60">
      <c r="A385" s="126" t="s">
        <v>1429</v>
      </c>
      <c r="B385" s="118"/>
      <c r="C385" s="116" t="s">
        <v>1420</v>
      </c>
      <c r="D385" s="121"/>
      <c r="E385" s="132"/>
      <c r="F385" s="116" t="s">
        <v>865</v>
      </c>
      <c r="G385" s="116" t="s">
        <v>790</v>
      </c>
      <c r="H385" s="116" t="s">
        <v>791</v>
      </c>
      <c r="I385" s="39"/>
      <c r="J385" s="39"/>
      <c r="K385" s="39"/>
      <c r="L385" s="39"/>
      <c r="M385" s="39"/>
      <c r="N385" s="39"/>
      <c r="O385" s="39"/>
      <c r="P385" s="39"/>
      <c r="Q385" s="39"/>
      <c r="R385" s="40"/>
      <c r="S385" s="40"/>
      <c r="T385" s="133"/>
      <c r="U385" s="42"/>
      <c r="V385" s="42"/>
      <c r="W385" s="43"/>
      <c r="X385" s="44"/>
      <c r="Y385" s="4"/>
      <c r="Z385" s="45"/>
      <c r="AA385" s="45"/>
      <c r="AB385" s="4"/>
    </row>
    <row r="386" spans="1:28" ht="105">
      <c r="A386" s="126" t="s">
        <v>1434</v>
      </c>
      <c r="B386" s="115" t="s">
        <v>1435</v>
      </c>
      <c r="C386" s="116" t="s">
        <v>788</v>
      </c>
      <c r="D386" s="119" t="s">
        <v>1436</v>
      </c>
      <c r="E386" s="123"/>
      <c r="F386" s="116" t="s">
        <v>860</v>
      </c>
      <c r="G386" s="116" t="s">
        <v>790</v>
      </c>
      <c r="H386" s="116" t="s">
        <v>791</v>
      </c>
      <c r="I386" s="39"/>
      <c r="J386" s="39"/>
      <c r="K386" s="39"/>
      <c r="L386" s="39"/>
      <c r="M386" s="39"/>
      <c r="N386" s="39"/>
      <c r="O386" s="39"/>
      <c r="P386" s="39"/>
      <c r="Q386" s="39"/>
      <c r="R386" s="40"/>
      <c r="S386" s="40"/>
      <c r="T386" s="133"/>
      <c r="U386" s="42"/>
      <c r="V386" s="42"/>
      <c r="W386" s="43"/>
      <c r="X386" s="44"/>
      <c r="Y386" s="4"/>
      <c r="Z386" s="45"/>
      <c r="AA386" s="45"/>
      <c r="AB386" s="4"/>
    </row>
    <row r="387" spans="1:28" ht="105">
      <c r="A387" s="126" t="s">
        <v>1434</v>
      </c>
      <c r="B387" s="117"/>
      <c r="C387" s="116" t="s">
        <v>788</v>
      </c>
      <c r="D387" s="120"/>
      <c r="E387" s="131"/>
      <c r="F387" s="116" t="s">
        <v>863</v>
      </c>
      <c r="G387" s="116" t="s">
        <v>795</v>
      </c>
      <c r="H387" s="116" t="s">
        <v>796</v>
      </c>
      <c r="I387" s="39"/>
      <c r="J387" s="39"/>
      <c r="K387" s="39"/>
      <c r="L387" s="39"/>
      <c r="M387" s="39"/>
      <c r="N387" s="39"/>
      <c r="O387" s="39"/>
      <c r="P387" s="39"/>
      <c r="Q387" s="39"/>
      <c r="R387" s="40"/>
      <c r="S387" s="40"/>
      <c r="T387" s="133"/>
      <c r="U387" s="42"/>
      <c r="V387" s="42"/>
      <c r="W387" s="43"/>
      <c r="X387" s="44"/>
      <c r="Y387" s="4"/>
      <c r="Z387" s="45"/>
      <c r="AA387" s="45"/>
      <c r="AB387" s="4"/>
    </row>
    <row r="388" spans="1:28" ht="105">
      <c r="A388" s="126" t="s">
        <v>1434</v>
      </c>
      <c r="B388" s="118"/>
      <c r="C388" s="116" t="s">
        <v>788</v>
      </c>
      <c r="D388" s="121"/>
      <c r="E388" s="132"/>
      <c r="F388" s="116" t="s">
        <v>865</v>
      </c>
      <c r="G388" s="116" t="s">
        <v>1437</v>
      </c>
      <c r="H388" s="116" t="s">
        <v>793</v>
      </c>
      <c r="I388" s="39"/>
      <c r="J388" s="39"/>
      <c r="K388" s="39"/>
      <c r="L388" s="39"/>
      <c r="M388" s="39"/>
      <c r="N388" s="39"/>
      <c r="O388" s="39"/>
      <c r="P388" s="39"/>
      <c r="Q388" s="39"/>
      <c r="R388" s="40"/>
      <c r="S388" s="40"/>
      <c r="T388" s="133"/>
      <c r="U388" s="42"/>
      <c r="V388" s="42"/>
      <c r="W388" s="43"/>
      <c r="X388" s="44"/>
      <c r="Y388" s="4"/>
      <c r="Z388" s="45"/>
      <c r="AA388" s="45"/>
      <c r="AB388" s="4"/>
    </row>
    <row r="389" spans="1:28" ht="105">
      <c r="A389" s="126" t="s">
        <v>1438</v>
      </c>
      <c r="B389" s="115" t="s">
        <v>1439</v>
      </c>
      <c r="C389" s="116" t="s">
        <v>788</v>
      </c>
      <c r="D389" s="119" t="s">
        <v>1440</v>
      </c>
      <c r="E389" s="123"/>
      <c r="F389" s="116" t="s">
        <v>860</v>
      </c>
      <c r="G389" s="116" t="s">
        <v>795</v>
      </c>
      <c r="H389" s="116" t="s">
        <v>796</v>
      </c>
      <c r="I389" s="39"/>
      <c r="J389" s="39"/>
      <c r="K389" s="39"/>
      <c r="L389" s="39"/>
      <c r="M389" s="39"/>
      <c r="N389" s="39"/>
      <c r="O389" s="39"/>
      <c r="P389" s="39"/>
      <c r="Q389" s="39"/>
      <c r="R389" s="40"/>
      <c r="S389" s="40"/>
      <c r="T389" s="133"/>
      <c r="U389" s="42"/>
      <c r="V389" s="42"/>
      <c r="W389" s="43"/>
      <c r="X389" s="44"/>
      <c r="Y389" s="4"/>
      <c r="Z389" s="45"/>
      <c r="AA389" s="45"/>
      <c r="AB389" s="4"/>
    </row>
    <row r="390" spans="1:28" ht="105">
      <c r="A390" s="126" t="s">
        <v>1438</v>
      </c>
      <c r="B390" s="117"/>
      <c r="C390" s="116" t="s">
        <v>788</v>
      </c>
      <c r="D390" s="120"/>
      <c r="E390" s="131"/>
      <c r="F390" s="116" t="s">
        <v>863</v>
      </c>
      <c r="G390" s="116" t="s">
        <v>1441</v>
      </c>
      <c r="H390" s="116" t="s">
        <v>793</v>
      </c>
      <c r="I390" s="39"/>
      <c r="J390" s="39"/>
      <c r="K390" s="39"/>
      <c r="L390" s="39"/>
      <c r="M390" s="39"/>
      <c r="N390" s="39"/>
      <c r="O390" s="39"/>
      <c r="P390" s="39"/>
      <c r="Q390" s="39"/>
      <c r="R390" s="40"/>
      <c r="S390" s="40"/>
      <c r="T390" s="133"/>
      <c r="U390" s="42"/>
      <c r="V390" s="42"/>
      <c r="W390" s="43"/>
      <c r="X390" s="44"/>
      <c r="Y390" s="4"/>
      <c r="Z390" s="45"/>
      <c r="AA390" s="45"/>
      <c r="AB390" s="4"/>
    </row>
    <row r="391" spans="1:28" ht="105">
      <c r="A391" s="126" t="s">
        <v>1438</v>
      </c>
      <c r="B391" s="118"/>
      <c r="C391" s="116" t="s">
        <v>788</v>
      </c>
      <c r="D391" s="121"/>
      <c r="E391" s="132"/>
      <c r="F391" s="116" t="s">
        <v>865</v>
      </c>
      <c r="G391" s="116" t="s">
        <v>790</v>
      </c>
      <c r="H391" s="116" t="s">
        <v>791</v>
      </c>
      <c r="I391" s="39"/>
      <c r="J391" s="39"/>
      <c r="K391" s="39"/>
      <c r="L391" s="39"/>
      <c r="M391" s="39"/>
      <c r="N391" s="39"/>
      <c r="O391" s="39"/>
      <c r="P391" s="39"/>
      <c r="Q391" s="39"/>
      <c r="R391" s="40"/>
      <c r="S391" s="40"/>
      <c r="T391" s="133"/>
      <c r="U391" s="42"/>
      <c r="V391" s="42"/>
      <c r="W391" s="43"/>
      <c r="X391" s="44"/>
      <c r="Y391" s="4"/>
      <c r="Z391" s="45"/>
      <c r="AA391" s="45"/>
      <c r="AB391" s="4"/>
    </row>
    <row r="392" spans="1:28" ht="90">
      <c r="A392" s="126" t="s">
        <v>1442</v>
      </c>
      <c r="B392" s="115" t="s">
        <v>1443</v>
      </c>
      <c r="C392" s="116" t="s">
        <v>1444</v>
      </c>
      <c r="D392" s="119" t="s">
        <v>1445</v>
      </c>
      <c r="E392" s="123"/>
      <c r="F392" s="116" t="s">
        <v>860</v>
      </c>
      <c r="G392" s="116" t="s">
        <v>1446</v>
      </c>
      <c r="H392" s="116" t="s">
        <v>793</v>
      </c>
      <c r="I392" s="39"/>
      <c r="J392" s="39"/>
      <c r="K392" s="39"/>
      <c r="L392" s="39"/>
      <c r="M392" s="39"/>
      <c r="N392" s="39"/>
      <c r="O392" s="39"/>
      <c r="P392" s="39"/>
      <c r="Q392" s="39"/>
      <c r="R392" s="40"/>
      <c r="S392" s="40"/>
      <c r="T392" s="41"/>
      <c r="U392" s="42"/>
      <c r="V392" s="42"/>
      <c r="W392" s="43"/>
      <c r="X392" s="44"/>
      <c r="Y392" s="4"/>
      <c r="Z392" s="45"/>
      <c r="AA392" s="45"/>
      <c r="AB392" s="4"/>
    </row>
    <row r="393" spans="1:28" ht="90">
      <c r="A393" s="126" t="s">
        <v>1442</v>
      </c>
      <c r="B393" s="117"/>
      <c r="C393" s="116" t="s">
        <v>1444</v>
      </c>
      <c r="D393" s="120"/>
      <c r="E393" s="131"/>
      <c r="F393" s="116" t="s">
        <v>863</v>
      </c>
      <c r="G393" s="116" t="s">
        <v>795</v>
      </c>
      <c r="H393" s="116" t="s">
        <v>796</v>
      </c>
      <c r="I393" s="39"/>
      <c r="J393" s="39"/>
      <c r="K393" s="39"/>
      <c r="L393" s="39"/>
      <c r="M393" s="39"/>
      <c r="N393" s="39"/>
      <c r="O393" s="39"/>
      <c r="P393" s="39"/>
      <c r="Q393" s="39"/>
      <c r="R393" s="40"/>
      <c r="S393" s="40"/>
      <c r="T393" s="41"/>
      <c r="U393" s="42"/>
      <c r="V393" s="42"/>
      <c r="W393" s="43"/>
      <c r="X393" s="44"/>
      <c r="Y393" s="4"/>
      <c r="Z393" s="45"/>
      <c r="AA393" s="45"/>
      <c r="AB393" s="4"/>
    </row>
    <row r="394" spans="1:28" ht="90">
      <c r="A394" s="126" t="s">
        <v>1442</v>
      </c>
      <c r="B394" s="118"/>
      <c r="C394" s="116" t="s">
        <v>1444</v>
      </c>
      <c r="D394" s="121"/>
      <c r="E394" s="132"/>
      <c r="F394" s="116" t="s">
        <v>865</v>
      </c>
      <c r="G394" s="116" t="s">
        <v>790</v>
      </c>
      <c r="H394" s="116" t="s">
        <v>791</v>
      </c>
      <c r="I394" s="39"/>
      <c r="J394" s="39"/>
      <c r="K394" s="39"/>
      <c r="L394" s="39"/>
      <c r="M394" s="39"/>
      <c r="N394" s="39"/>
      <c r="O394" s="39"/>
      <c r="P394" s="39"/>
      <c r="Q394" s="39"/>
      <c r="R394" s="40"/>
      <c r="S394" s="40"/>
      <c r="T394" s="41"/>
      <c r="U394" s="42"/>
      <c r="V394" s="42"/>
      <c r="W394" s="43"/>
      <c r="X394" s="44"/>
      <c r="Y394" s="4"/>
      <c r="Z394" s="45"/>
      <c r="AA394" s="45"/>
      <c r="AB394" s="4"/>
    </row>
    <row r="395" spans="1:28" ht="90">
      <c r="A395" s="126" t="s">
        <v>1447</v>
      </c>
      <c r="B395" s="116" t="s">
        <v>1448</v>
      </c>
      <c r="C395" s="116" t="s">
        <v>1449</v>
      </c>
      <c r="D395" s="116" t="s">
        <v>1450</v>
      </c>
      <c r="E395" s="116"/>
      <c r="F395" s="116" t="s">
        <v>860</v>
      </c>
      <c r="G395" s="116" t="s">
        <v>422</v>
      </c>
      <c r="H395" s="116" t="s">
        <v>423</v>
      </c>
      <c r="I395" s="39"/>
      <c r="J395" s="39"/>
      <c r="K395" s="39"/>
      <c r="L395" s="39"/>
      <c r="M395" s="39"/>
      <c r="N395" s="39"/>
      <c r="O395" s="39"/>
      <c r="P395" s="39"/>
      <c r="Q395" s="39"/>
      <c r="R395" s="40"/>
      <c r="S395" s="40"/>
      <c r="T395" s="41"/>
      <c r="U395" s="42"/>
      <c r="V395" s="42"/>
      <c r="W395" s="43"/>
      <c r="X395" s="44"/>
      <c r="Y395" s="4"/>
      <c r="Z395" s="45"/>
      <c r="AA395" s="45"/>
      <c r="AB395" s="4"/>
    </row>
    <row r="396" spans="1:28" ht="195">
      <c r="A396" s="126" t="s">
        <v>1451</v>
      </c>
      <c r="B396" s="116" t="s">
        <v>1452</v>
      </c>
      <c r="C396" s="116" t="s">
        <v>1453</v>
      </c>
      <c r="D396" s="116" t="s">
        <v>1454</v>
      </c>
      <c r="E396" s="116"/>
      <c r="F396" s="116" t="s">
        <v>860</v>
      </c>
      <c r="G396" s="116" t="s">
        <v>1455</v>
      </c>
      <c r="H396" s="116" t="s">
        <v>1456</v>
      </c>
      <c r="I396" s="39"/>
      <c r="J396" s="39"/>
      <c r="K396" s="39"/>
      <c r="L396" s="39"/>
      <c r="M396" s="39"/>
      <c r="N396" s="39"/>
      <c r="O396" s="39"/>
      <c r="P396" s="39"/>
      <c r="Q396" s="39"/>
      <c r="R396" s="40"/>
      <c r="S396" s="40"/>
      <c r="T396" s="41"/>
      <c r="U396" s="42"/>
      <c r="V396" s="42"/>
      <c r="W396" s="43"/>
      <c r="X396" s="44"/>
      <c r="Y396" s="4"/>
      <c r="Z396" s="45"/>
      <c r="AA396" s="45"/>
      <c r="AB396" s="4"/>
    </row>
    <row r="397" spans="1:28" ht="409.6">
      <c r="A397" s="126" t="s">
        <v>1457</v>
      </c>
      <c r="B397" s="115" t="s">
        <v>1458</v>
      </c>
      <c r="C397" s="119" t="s">
        <v>1459</v>
      </c>
      <c r="D397" s="119" t="s">
        <v>1460</v>
      </c>
      <c r="E397" s="123"/>
      <c r="F397" s="116" t="s">
        <v>860</v>
      </c>
      <c r="G397" s="116" t="s">
        <v>1461</v>
      </c>
      <c r="H397" s="116" t="s">
        <v>1462</v>
      </c>
      <c r="I397" s="39"/>
      <c r="J397" s="39"/>
      <c r="K397" s="39"/>
      <c r="L397" s="39"/>
      <c r="M397" s="39"/>
      <c r="N397" s="39"/>
      <c r="O397" s="39"/>
      <c r="P397" s="39"/>
      <c r="Q397" s="39"/>
      <c r="R397" s="40"/>
      <c r="S397" s="40"/>
      <c r="T397" s="133"/>
      <c r="U397" s="42"/>
      <c r="V397" s="42"/>
      <c r="W397" s="43"/>
      <c r="X397" s="44"/>
      <c r="Y397" s="4"/>
      <c r="Z397" s="45"/>
      <c r="AA397" s="45"/>
      <c r="AB397" s="4"/>
    </row>
    <row r="398" spans="1:28" ht="30">
      <c r="A398" s="126" t="s">
        <v>1457</v>
      </c>
      <c r="B398" s="118"/>
      <c r="C398" s="121"/>
      <c r="D398" s="121"/>
      <c r="E398" s="132"/>
      <c r="F398" s="116" t="s">
        <v>863</v>
      </c>
      <c r="G398" s="116" t="s">
        <v>1463</v>
      </c>
      <c r="H398" s="116" t="s">
        <v>1464</v>
      </c>
      <c r="I398" s="39"/>
      <c r="J398" s="39"/>
      <c r="K398" s="39"/>
      <c r="L398" s="39"/>
      <c r="M398" s="39"/>
      <c r="N398" s="39"/>
      <c r="O398" s="39"/>
      <c r="P398" s="39"/>
      <c r="Q398" s="39"/>
      <c r="R398" s="40"/>
      <c r="S398" s="40"/>
      <c r="T398" s="133"/>
      <c r="U398" s="42"/>
      <c r="V398" s="42"/>
      <c r="W398" s="43"/>
      <c r="X398" s="44"/>
      <c r="Y398" s="4"/>
      <c r="Z398" s="45"/>
      <c r="AA398" s="45"/>
      <c r="AB398" s="4"/>
    </row>
    <row r="399" spans="1:28" ht="60">
      <c r="A399" s="126" t="s">
        <v>1465</v>
      </c>
      <c r="B399" s="115" t="s">
        <v>1466</v>
      </c>
      <c r="C399" s="119" t="s">
        <v>815</v>
      </c>
      <c r="D399" s="119" t="s">
        <v>816</v>
      </c>
      <c r="E399" s="123"/>
      <c r="F399" s="116" t="s">
        <v>860</v>
      </c>
      <c r="G399" s="116" t="s">
        <v>823</v>
      </c>
      <c r="H399" s="116" t="s">
        <v>818</v>
      </c>
      <c r="I399" s="39"/>
      <c r="J399" s="39"/>
      <c r="K399" s="39"/>
      <c r="L399" s="39"/>
      <c r="M399" s="39"/>
      <c r="N399" s="39"/>
      <c r="O399" s="39"/>
      <c r="P399" s="39"/>
      <c r="Q399" s="39"/>
      <c r="R399" s="40"/>
      <c r="S399" s="40"/>
      <c r="T399" s="133"/>
      <c r="U399" s="42"/>
      <c r="V399" s="42"/>
      <c r="W399" s="43"/>
      <c r="X399" s="44"/>
      <c r="Y399" s="4"/>
      <c r="Z399" s="45"/>
      <c r="AA399" s="45"/>
      <c r="AB399" s="4"/>
    </row>
    <row r="400" spans="1:28" ht="60">
      <c r="A400" s="126" t="s">
        <v>1465</v>
      </c>
      <c r="B400" s="117"/>
      <c r="C400" s="120"/>
      <c r="D400" s="120"/>
      <c r="E400" s="131"/>
      <c r="F400" s="116" t="s">
        <v>863</v>
      </c>
      <c r="G400" s="116" t="s">
        <v>819</v>
      </c>
      <c r="H400" s="116" t="s">
        <v>818</v>
      </c>
      <c r="I400" s="39"/>
      <c r="J400" s="39"/>
      <c r="K400" s="39"/>
      <c r="L400" s="39"/>
      <c r="M400" s="39"/>
      <c r="N400" s="39"/>
      <c r="O400" s="39"/>
      <c r="P400" s="39"/>
      <c r="Q400" s="39"/>
      <c r="R400" s="40"/>
      <c r="S400" s="40"/>
      <c r="T400" s="133"/>
      <c r="U400" s="42"/>
      <c r="V400" s="42"/>
      <c r="W400" s="43"/>
      <c r="X400" s="44"/>
      <c r="Y400" s="4"/>
      <c r="Z400" s="45"/>
      <c r="AA400" s="45"/>
      <c r="AB400" s="4"/>
    </row>
    <row r="401" spans="1:28" ht="60">
      <c r="A401" s="126" t="s">
        <v>1465</v>
      </c>
      <c r="B401" s="117"/>
      <c r="C401" s="120"/>
      <c r="D401" s="120"/>
      <c r="E401" s="131"/>
      <c r="F401" s="116" t="s">
        <v>865</v>
      </c>
      <c r="G401" s="116" t="s">
        <v>821</v>
      </c>
      <c r="H401" s="116" t="s">
        <v>818</v>
      </c>
      <c r="I401" s="39"/>
      <c r="J401" s="39"/>
      <c r="K401" s="39"/>
      <c r="L401" s="39"/>
      <c r="M401" s="39"/>
      <c r="N401" s="39"/>
      <c r="O401" s="39"/>
      <c r="P401" s="39"/>
      <c r="Q401" s="39"/>
      <c r="R401" s="40"/>
      <c r="S401" s="40"/>
      <c r="T401" s="133"/>
      <c r="U401" s="42"/>
      <c r="V401" s="42"/>
      <c r="W401" s="43"/>
      <c r="X401" s="44"/>
      <c r="Y401" s="4"/>
      <c r="Z401" s="45"/>
      <c r="AA401" s="45"/>
      <c r="AB401" s="4"/>
    </row>
    <row r="402" spans="1:28" ht="60">
      <c r="A402" s="126" t="s">
        <v>1465</v>
      </c>
      <c r="B402" s="118"/>
      <c r="C402" s="121"/>
      <c r="D402" s="121"/>
      <c r="E402" s="132"/>
      <c r="F402" s="116" t="s">
        <v>867</v>
      </c>
      <c r="G402" s="116" t="s">
        <v>817</v>
      </c>
      <c r="H402" s="116" t="s">
        <v>818</v>
      </c>
      <c r="I402" s="39"/>
      <c r="J402" s="39"/>
      <c r="K402" s="39"/>
      <c r="L402" s="39"/>
      <c r="M402" s="39"/>
      <c r="N402" s="39"/>
      <c r="O402" s="39"/>
      <c r="P402" s="39"/>
      <c r="Q402" s="39"/>
      <c r="R402" s="40"/>
      <c r="S402" s="40"/>
      <c r="T402" s="133"/>
      <c r="U402" s="42"/>
      <c r="V402" s="42"/>
      <c r="W402" s="43"/>
      <c r="X402" s="44"/>
      <c r="Y402" s="4"/>
      <c r="Z402" s="45"/>
      <c r="AA402" s="45"/>
      <c r="AB402" s="4"/>
    </row>
    <row r="403" spans="1:28" ht="80">
      <c r="A403" s="126" t="s">
        <v>1467</v>
      </c>
      <c r="B403" s="115" t="s">
        <v>1468</v>
      </c>
      <c r="C403" s="119" t="s">
        <v>1420</v>
      </c>
      <c r="D403" s="119" t="s">
        <v>1469</v>
      </c>
      <c r="E403" s="123"/>
      <c r="F403" s="116" t="s">
        <v>860</v>
      </c>
      <c r="G403" s="116" t="s">
        <v>790</v>
      </c>
      <c r="H403" s="116" t="s">
        <v>791</v>
      </c>
      <c r="I403" s="39"/>
      <c r="J403" s="39"/>
      <c r="K403" s="39"/>
      <c r="L403" s="39"/>
      <c r="M403" s="39"/>
      <c r="N403" s="39"/>
      <c r="O403" s="39"/>
      <c r="P403" s="39"/>
      <c r="Q403" s="39"/>
      <c r="R403" s="40"/>
      <c r="S403" s="40"/>
      <c r="T403" s="133">
        <v>0.33</v>
      </c>
      <c r="U403" s="42" t="s">
        <v>1470</v>
      </c>
      <c r="V403" s="42"/>
      <c r="W403" s="43"/>
      <c r="X403" s="44"/>
      <c r="Y403" s="4"/>
      <c r="Z403" s="45"/>
      <c r="AA403" s="45"/>
      <c r="AB403" s="4"/>
    </row>
    <row r="404" spans="1:28" ht="90">
      <c r="A404" s="126" t="s">
        <v>1467</v>
      </c>
      <c r="B404" s="117"/>
      <c r="C404" s="120"/>
      <c r="D404" s="120"/>
      <c r="E404" s="131"/>
      <c r="F404" s="116" t="s">
        <v>863</v>
      </c>
      <c r="G404" s="116" t="s">
        <v>795</v>
      </c>
      <c r="H404" s="116" t="s">
        <v>796</v>
      </c>
      <c r="I404" s="39"/>
      <c r="J404" s="39"/>
      <c r="K404" s="39"/>
      <c r="L404" s="39"/>
      <c r="M404" s="39"/>
      <c r="N404" s="39"/>
      <c r="O404" s="39"/>
      <c r="P404" s="39"/>
      <c r="Q404" s="39"/>
      <c r="R404" s="40"/>
      <c r="S404" s="40"/>
      <c r="T404" s="133"/>
      <c r="U404" s="42"/>
      <c r="V404" s="42"/>
      <c r="W404" s="43"/>
      <c r="X404" s="44"/>
      <c r="Y404" s="4"/>
      <c r="Z404" s="45"/>
      <c r="AA404" s="45"/>
      <c r="AB404" s="4"/>
    </row>
    <row r="405" spans="1:28" ht="60">
      <c r="A405" s="126" t="s">
        <v>1467</v>
      </c>
      <c r="B405" s="118"/>
      <c r="C405" s="121"/>
      <c r="D405" s="121"/>
      <c r="E405" s="132"/>
      <c r="F405" s="116" t="s">
        <v>865</v>
      </c>
      <c r="G405" s="116" t="s">
        <v>1471</v>
      </c>
      <c r="H405" s="116" t="s">
        <v>793</v>
      </c>
      <c r="I405" s="39"/>
      <c r="J405" s="39"/>
      <c r="K405" s="39"/>
      <c r="L405" s="39"/>
      <c r="M405" s="39"/>
      <c r="N405" s="39"/>
      <c r="O405" s="39"/>
      <c r="P405" s="39"/>
      <c r="Q405" s="39"/>
      <c r="R405" s="40"/>
      <c r="S405" s="40"/>
      <c r="T405" s="133"/>
      <c r="U405" s="42"/>
      <c r="V405" s="42"/>
      <c r="W405" s="43"/>
      <c r="X405" s="44"/>
      <c r="Y405" s="4"/>
      <c r="Z405" s="45"/>
      <c r="AA405" s="45"/>
      <c r="AB405" s="4"/>
    </row>
    <row r="406" spans="1:28" ht="210">
      <c r="A406" s="126" t="s">
        <v>1472</v>
      </c>
      <c r="B406" s="115" t="s">
        <v>1473</v>
      </c>
      <c r="C406" s="119" t="s">
        <v>1474</v>
      </c>
      <c r="D406" s="116" t="s">
        <v>1475</v>
      </c>
      <c r="E406" s="116"/>
      <c r="F406" s="116" t="s">
        <v>860</v>
      </c>
      <c r="G406" s="116" t="s">
        <v>1476</v>
      </c>
      <c r="H406" s="116" t="s">
        <v>793</v>
      </c>
      <c r="I406" s="39"/>
      <c r="J406" s="39"/>
      <c r="K406" s="39"/>
      <c r="L406" s="39"/>
      <c r="M406" s="39"/>
      <c r="N406" s="39"/>
      <c r="O406" s="39"/>
      <c r="P406" s="39"/>
      <c r="Q406" s="39"/>
      <c r="R406" s="40"/>
      <c r="S406" s="40"/>
      <c r="T406" s="133"/>
      <c r="U406" s="42"/>
      <c r="V406" s="42"/>
      <c r="W406" s="43"/>
      <c r="X406" s="44"/>
      <c r="Y406" s="4"/>
      <c r="Z406" s="45"/>
      <c r="AA406" s="45"/>
      <c r="AB406" s="4"/>
    </row>
    <row r="407" spans="1:28" ht="210">
      <c r="A407" s="126" t="s">
        <v>1472</v>
      </c>
      <c r="B407" s="117"/>
      <c r="C407" s="120"/>
      <c r="D407" s="116" t="s">
        <v>1475</v>
      </c>
      <c r="E407" s="116"/>
      <c r="F407" s="116" t="s">
        <v>863</v>
      </c>
      <c r="G407" s="116" t="s">
        <v>795</v>
      </c>
      <c r="H407" s="116" t="s">
        <v>796</v>
      </c>
      <c r="I407" s="39"/>
      <c r="J407" s="39"/>
      <c r="K407" s="39"/>
      <c r="L407" s="39"/>
      <c r="M407" s="39"/>
      <c r="N407" s="39"/>
      <c r="O407" s="39"/>
      <c r="P407" s="39"/>
      <c r="Q407" s="39"/>
      <c r="R407" s="40"/>
      <c r="S407" s="40"/>
      <c r="T407" s="133"/>
      <c r="U407" s="42"/>
      <c r="V407" s="42"/>
      <c r="W407" s="43"/>
      <c r="X407" s="44"/>
      <c r="Y407" s="4"/>
      <c r="Z407" s="45"/>
      <c r="AA407" s="45"/>
      <c r="AB407" s="4"/>
    </row>
    <row r="408" spans="1:28" ht="210">
      <c r="A408" s="126" t="s">
        <v>1472</v>
      </c>
      <c r="B408" s="118"/>
      <c r="C408" s="121"/>
      <c r="D408" s="116" t="s">
        <v>1475</v>
      </c>
      <c r="E408" s="116"/>
      <c r="F408" s="116" t="s">
        <v>865</v>
      </c>
      <c r="G408" s="116" t="s">
        <v>790</v>
      </c>
      <c r="H408" s="116" t="s">
        <v>791</v>
      </c>
      <c r="I408" s="39"/>
      <c r="J408" s="39"/>
      <c r="K408" s="39"/>
      <c r="L408" s="39"/>
      <c r="M408" s="39"/>
      <c r="N408" s="39"/>
      <c r="O408" s="39"/>
      <c r="P408" s="39"/>
      <c r="Q408" s="39"/>
      <c r="R408" s="40"/>
      <c r="S408" s="40"/>
      <c r="T408" s="133"/>
      <c r="U408" s="42"/>
      <c r="V408" s="42"/>
      <c r="W408" s="43"/>
      <c r="X408" s="44"/>
      <c r="Y408" s="4"/>
      <c r="Z408" s="45"/>
      <c r="AA408" s="45"/>
      <c r="AB408" s="4"/>
    </row>
    <row r="409" spans="1:28" ht="60">
      <c r="A409" s="126" t="s">
        <v>1477</v>
      </c>
      <c r="B409" s="115" t="s">
        <v>1478</v>
      </c>
      <c r="C409" s="119" t="s">
        <v>788</v>
      </c>
      <c r="D409" s="119" t="s">
        <v>1479</v>
      </c>
      <c r="E409" s="123"/>
      <c r="F409" s="116" t="s">
        <v>860</v>
      </c>
      <c r="G409" s="116" t="s">
        <v>1480</v>
      </c>
      <c r="H409" s="116" t="s">
        <v>793</v>
      </c>
      <c r="I409" s="39"/>
      <c r="J409" s="39"/>
      <c r="K409" s="39"/>
      <c r="L409" s="39"/>
      <c r="M409" s="39"/>
      <c r="N409" s="39"/>
      <c r="O409" s="39"/>
      <c r="P409" s="39"/>
      <c r="Q409" s="39"/>
      <c r="R409" s="40"/>
      <c r="S409" s="40"/>
      <c r="T409" s="41"/>
      <c r="U409" s="42"/>
      <c r="V409" s="42"/>
      <c r="W409" s="43"/>
      <c r="X409" s="44"/>
      <c r="Y409" s="4"/>
      <c r="Z409" s="45"/>
      <c r="AA409" s="45"/>
      <c r="AB409" s="4"/>
    </row>
    <row r="410" spans="1:28" ht="60">
      <c r="A410" s="126" t="s">
        <v>1477</v>
      </c>
      <c r="B410" s="117"/>
      <c r="C410" s="120"/>
      <c r="D410" s="120"/>
      <c r="E410" s="131"/>
      <c r="F410" s="116" t="s">
        <v>863</v>
      </c>
      <c r="G410" s="116" t="s">
        <v>790</v>
      </c>
      <c r="H410" s="116" t="s">
        <v>791</v>
      </c>
      <c r="I410" s="39"/>
      <c r="J410" s="39"/>
      <c r="K410" s="39"/>
      <c r="L410" s="39"/>
      <c r="M410" s="39"/>
      <c r="N410" s="39"/>
      <c r="O410" s="39"/>
      <c r="P410" s="39"/>
      <c r="Q410" s="39"/>
      <c r="R410" s="40"/>
      <c r="S410" s="40"/>
      <c r="T410" s="41"/>
      <c r="U410" s="42"/>
      <c r="V410" s="42"/>
      <c r="W410" s="43"/>
      <c r="X410" s="44"/>
      <c r="Y410" s="4"/>
      <c r="Z410" s="45"/>
      <c r="AA410" s="45"/>
      <c r="AB410" s="4"/>
    </row>
    <row r="411" spans="1:28" ht="90">
      <c r="A411" s="126" t="s">
        <v>1477</v>
      </c>
      <c r="B411" s="118"/>
      <c r="C411" s="121"/>
      <c r="D411" s="121"/>
      <c r="E411" s="132"/>
      <c r="F411" s="116" t="s">
        <v>865</v>
      </c>
      <c r="G411" s="116" t="s">
        <v>795</v>
      </c>
      <c r="H411" s="116" t="s">
        <v>796</v>
      </c>
      <c r="I411" s="39"/>
      <c r="J411" s="39"/>
      <c r="K411" s="39"/>
      <c r="L411" s="39"/>
      <c r="M411" s="39"/>
      <c r="N411" s="39"/>
      <c r="O411" s="39"/>
      <c r="P411" s="39"/>
      <c r="Q411" s="39"/>
      <c r="R411" s="40"/>
      <c r="S411" s="40"/>
      <c r="T411" s="41"/>
      <c r="U411" s="42"/>
      <c r="V411" s="42"/>
      <c r="W411" s="43"/>
      <c r="X411" s="44"/>
      <c r="Y411" s="4"/>
      <c r="Z411" s="45"/>
      <c r="AA411" s="45"/>
      <c r="AB411" s="4"/>
    </row>
    <row r="412" spans="1:28" ht="64">
      <c r="A412" s="126" t="s">
        <v>1481</v>
      </c>
      <c r="B412" s="115" t="s">
        <v>1482</v>
      </c>
      <c r="C412" s="119" t="s">
        <v>1483</v>
      </c>
      <c r="D412" s="119" t="s">
        <v>1484</v>
      </c>
      <c r="E412" s="123"/>
      <c r="F412" s="116" t="s">
        <v>860</v>
      </c>
      <c r="G412" s="116" t="s">
        <v>630</v>
      </c>
      <c r="H412" s="116" t="s">
        <v>631</v>
      </c>
      <c r="I412" s="39"/>
      <c r="J412" s="39"/>
      <c r="K412" s="39"/>
      <c r="L412" s="39"/>
      <c r="M412" s="39"/>
      <c r="N412" s="39"/>
      <c r="O412" s="39"/>
      <c r="P412" s="39"/>
      <c r="Q412" s="39"/>
      <c r="R412" s="40"/>
      <c r="S412" s="40"/>
      <c r="T412" s="41">
        <v>0.8</v>
      </c>
      <c r="U412" s="42" t="s">
        <v>1485</v>
      </c>
      <c r="V412" s="42"/>
      <c r="W412" s="43"/>
      <c r="X412" s="44"/>
      <c r="Y412" s="4"/>
      <c r="Z412" s="45"/>
      <c r="AA412" s="45"/>
      <c r="AB412" s="4"/>
    </row>
    <row r="413" spans="1:28" ht="90">
      <c r="A413" s="126" t="s">
        <v>1481</v>
      </c>
      <c r="B413" s="118"/>
      <c r="C413" s="121"/>
      <c r="D413" s="121"/>
      <c r="E413" s="132"/>
      <c r="F413" s="116" t="s">
        <v>863</v>
      </c>
      <c r="G413" s="116" t="s">
        <v>772</v>
      </c>
      <c r="H413" s="116" t="s">
        <v>668</v>
      </c>
      <c r="I413" s="39"/>
      <c r="J413" s="39"/>
      <c r="K413" s="39"/>
      <c r="L413" s="39"/>
      <c r="M413" s="39"/>
      <c r="N413" s="39"/>
      <c r="O413" s="39"/>
      <c r="P413" s="39"/>
      <c r="Q413" s="39"/>
      <c r="R413" s="40"/>
      <c r="S413" s="40"/>
      <c r="T413" s="41"/>
      <c r="U413" s="42"/>
      <c r="V413" s="42"/>
      <c r="W413" s="43"/>
      <c r="X413" s="44"/>
      <c r="Y413" s="4"/>
      <c r="Z413" s="45"/>
      <c r="AA413" s="45"/>
      <c r="AB413" s="4"/>
    </row>
    <row r="414" spans="1:28" ht="64">
      <c r="A414" s="126" t="s">
        <v>1486</v>
      </c>
      <c r="B414" s="134" t="s">
        <v>1487</v>
      </c>
      <c r="C414" s="135" t="s">
        <v>1483</v>
      </c>
      <c r="D414" s="135" t="s">
        <v>1484</v>
      </c>
      <c r="E414" s="136"/>
      <c r="F414" s="137" t="s">
        <v>860</v>
      </c>
      <c r="G414" s="137" t="s">
        <v>630</v>
      </c>
      <c r="H414" s="137" t="s">
        <v>631</v>
      </c>
      <c r="I414" s="39"/>
      <c r="J414" s="39"/>
      <c r="K414" s="39"/>
      <c r="L414" s="39"/>
      <c r="M414" s="39"/>
      <c r="N414" s="39"/>
      <c r="O414" s="39"/>
      <c r="P414" s="39"/>
      <c r="Q414" s="39"/>
      <c r="R414" s="40"/>
      <c r="S414" s="40"/>
      <c r="T414" s="41">
        <v>0.8</v>
      </c>
      <c r="U414" s="42" t="s">
        <v>1485</v>
      </c>
      <c r="V414" s="42"/>
      <c r="W414" s="43"/>
      <c r="X414" s="44"/>
      <c r="Y414" s="4"/>
      <c r="Z414" s="45"/>
      <c r="AA414" s="45"/>
      <c r="AB414" s="4"/>
    </row>
    <row r="415" spans="1:28" ht="90">
      <c r="A415" s="126" t="s">
        <v>1486</v>
      </c>
      <c r="B415" s="138"/>
      <c r="C415" s="139"/>
      <c r="D415" s="139"/>
      <c r="E415" s="140"/>
      <c r="F415" s="137" t="s">
        <v>863</v>
      </c>
      <c r="G415" s="137" t="s">
        <v>772</v>
      </c>
      <c r="H415" s="137" t="s">
        <v>668</v>
      </c>
      <c r="I415" s="39"/>
      <c r="J415" s="39"/>
      <c r="K415" s="39"/>
      <c r="L415" s="39"/>
      <c r="M415" s="39"/>
      <c r="N415" s="39"/>
      <c r="O415" s="39"/>
      <c r="P415" s="39"/>
      <c r="Q415" s="39"/>
      <c r="R415" s="40"/>
      <c r="S415" s="40"/>
      <c r="T415" s="41"/>
      <c r="U415" s="42"/>
      <c r="V415" s="42"/>
      <c r="W415" s="43"/>
      <c r="X415" s="44"/>
      <c r="Y415" s="4"/>
      <c r="Z415" s="45"/>
      <c r="AA415" s="45"/>
      <c r="AB415" s="4"/>
    </row>
    <row r="416" spans="1:28" ht="60">
      <c r="A416" s="126" t="s">
        <v>1488</v>
      </c>
      <c r="B416" s="115" t="s">
        <v>1489</v>
      </c>
      <c r="C416" s="119" t="s">
        <v>1444</v>
      </c>
      <c r="D416" s="119" t="s">
        <v>1490</v>
      </c>
      <c r="E416" s="123"/>
      <c r="F416" s="116" t="s">
        <v>860</v>
      </c>
      <c r="G416" s="116" t="s">
        <v>790</v>
      </c>
      <c r="H416" s="116" t="s">
        <v>791</v>
      </c>
      <c r="I416" s="39"/>
      <c r="J416" s="39"/>
      <c r="K416" s="39"/>
      <c r="L416" s="39"/>
      <c r="M416" s="39"/>
      <c r="N416" s="39"/>
      <c r="O416" s="39"/>
      <c r="P416" s="39"/>
      <c r="Q416" s="39"/>
      <c r="R416" s="40"/>
      <c r="S416" s="40"/>
      <c r="T416" s="41"/>
      <c r="U416" s="42"/>
      <c r="V416" s="42"/>
      <c r="W416" s="43"/>
      <c r="X416" s="44"/>
      <c r="Y416" s="4"/>
      <c r="Z416" s="45"/>
      <c r="AA416" s="45"/>
      <c r="AB416" s="4"/>
    </row>
    <row r="417" spans="1:28" ht="90">
      <c r="A417" s="126" t="s">
        <v>1488</v>
      </c>
      <c r="B417" s="117"/>
      <c r="C417" s="120"/>
      <c r="D417" s="120"/>
      <c r="E417" s="131"/>
      <c r="F417" s="116" t="s">
        <v>863</v>
      </c>
      <c r="G417" s="116" t="s">
        <v>795</v>
      </c>
      <c r="H417" s="116" t="s">
        <v>796</v>
      </c>
      <c r="I417" s="39"/>
      <c r="J417" s="39"/>
      <c r="K417" s="39"/>
      <c r="L417" s="39"/>
      <c r="M417" s="39"/>
      <c r="N417" s="39"/>
      <c r="O417" s="39"/>
      <c r="P417" s="39"/>
      <c r="Q417" s="39"/>
      <c r="R417" s="40"/>
      <c r="S417" s="40"/>
      <c r="T417" s="41"/>
      <c r="U417" s="42"/>
      <c r="V417" s="42"/>
      <c r="W417" s="43"/>
      <c r="X417" s="44"/>
      <c r="Y417" s="4"/>
      <c r="Z417" s="45"/>
      <c r="AA417" s="45"/>
      <c r="AB417" s="4"/>
    </row>
    <row r="418" spans="1:28" ht="60">
      <c r="A418" s="126" t="s">
        <v>1488</v>
      </c>
      <c r="B418" s="118"/>
      <c r="C418" s="121"/>
      <c r="D418" s="121"/>
      <c r="E418" s="132"/>
      <c r="F418" s="116" t="s">
        <v>865</v>
      </c>
      <c r="G418" s="116" t="s">
        <v>1491</v>
      </c>
      <c r="H418" s="116" t="s">
        <v>793</v>
      </c>
      <c r="I418" s="39"/>
      <c r="J418" s="39"/>
      <c r="K418" s="39"/>
      <c r="L418" s="39"/>
      <c r="M418" s="39"/>
      <c r="N418" s="39"/>
      <c r="O418" s="39"/>
      <c r="P418" s="39"/>
      <c r="Q418" s="39"/>
      <c r="R418" s="40"/>
      <c r="S418" s="40"/>
      <c r="T418" s="41"/>
      <c r="U418" s="42"/>
      <c r="V418" s="42"/>
      <c r="W418" s="43"/>
      <c r="X418" s="44"/>
      <c r="Y418" s="4"/>
      <c r="Z418" s="45"/>
      <c r="AA418" s="45"/>
      <c r="AB418" s="4"/>
    </row>
    <row r="419" spans="1:28" ht="150">
      <c r="A419" s="126" t="s">
        <v>1492</v>
      </c>
      <c r="B419" s="134" t="s">
        <v>1493</v>
      </c>
      <c r="C419" s="135" t="s">
        <v>1483</v>
      </c>
      <c r="D419" s="137" t="s">
        <v>1484</v>
      </c>
      <c r="E419" s="137"/>
      <c r="F419" s="137" t="s">
        <v>860</v>
      </c>
      <c r="G419" s="137" t="s">
        <v>630</v>
      </c>
      <c r="H419" s="137" t="s">
        <v>631</v>
      </c>
      <c r="I419" s="39"/>
      <c r="J419" s="39"/>
      <c r="K419" s="39"/>
      <c r="L419" s="39"/>
      <c r="M419" s="39"/>
      <c r="N419" s="39"/>
      <c r="O419" s="39"/>
      <c r="P419" s="39"/>
      <c r="Q419" s="39"/>
      <c r="R419" s="40"/>
      <c r="S419" s="40"/>
      <c r="T419" s="41"/>
      <c r="U419" s="42"/>
      <c r="V419" s="42"/>
      <c r="W419" s="43"/>
      <c r="X419" s="44"/>
      <c r="Y419" s="4"/>
      <c r="Z419" s="45"/>
      <c r="AA419" s="45"/>
      <c r="AB419" s="4"/>
    </row>
    <row r="420" spans="1:28" ht="150">
      <c r="A420" s="126" t="s">
        <v>1492</v>
      </c>
      <c r="B420" s="138"/>
      <c r="C420" s="139"/>
      <c r="D420" s="137" t="s">
        <v>1484</v>
      </c>
      <c r="E420" s="137"/>
      <c r="F420" s="137" t="s">
        <v>863</v>
      </c>
      <c r="G420" s="137" t="s">
        <v>772</v>
      </c>
      <c r="H420" s="137" t="s">
        <v>668</v>
      </c>
      <c r="I420" s="39"/>
      <c r="J420" s="39"/>
      <c r="K420" s="39"/>
      <c r="L420" s="39"/>
      <c r="M420" s="39"/>
      <c r="N420" s="39"/>
      <c r="O420" s="39"/>
      <c r="P420" s="39"/>
      <c r="Q420" s="39"/>
      <c r="R420" s="40"/>
      <c r="S420" s="40"/>
      <c r="T420" s="41"/>
      <c r="U420" s="42"/>
      <c r="V420" s="42"/>
      <c r="W420" s="43"/>
      <c r="X420" s="44"/>
      <c r="Y420" s="4"/>
      <c r="Z420" s="45"/>
      <c r="AA420" s="45"/>
      <c r="AB420" s="4"/>
    </row>
    <row r="421" spans="1:28" ht="150">
      <c r="A421" s="126" t="s">
        <v>1494</v>
      </c>
      <c r="B421" s="115" t="s">
        <v>1495</v>
      </c>
      <c r="C421" s="119" t="s">
        <v>1420</v>
      </c>
      <c r="D421" s="116" t="s">
        <v>1496</v>
      </c>
      <c r="E421" s="116"/>
      <c r="F421" s="116" t="s">
        <v>860</v>
      </c>
      <c r="G421" s="116" t="s">
        <v>795</v>
      </c>
      <c r="H421" s="116" t="s">
        <v>796</v>
      </c>
      <c r="I421" s="39"/>
      <c r="J421" s="39"/>
      <c r="K421" s="39"/>
      <c r="L421" s="39"/>
      <c r="M421" s="39"/>
      <c r="N421" s="39"/>
      <c r="O421" s="39"/>
      <c r="P421" s="39"/>
      <c r="Q421" s="39"/>
      <c r="R421" s="40"/>
      <c r="S421" s="40"/>
      <c r="T421" s="41">
        <v>0.33</v>
      </c>
      <c r="U421" s="42" t="s">
        <v>1497</v>
      </c>
      <c r="V421" s="42"/>
      <c r="W421" s="43"/>
      <c r="X421" s="44"/>
      <c r="Y421" s="4"/>
      <c r="Z421" s="45"/>
      <c r="AA421" s="45"/>
      <c r="AB421" s="4"/>
    </row>
    <row r="422" spans="1:28" ht="150">
      <c r="A422" s="126" t="s">
        <v>1494</v>
      </c>
      <c r="B422" s="117"/>
      <c r="C422" s="120"/>
      <c r="D422" s="116" t="s">
        <v>1496</v>
      </c>
      <c r="E422" s="116"/>
      <c r="F422" s="116" t="s">
        <v>863</v>
      </c>
      <c r="G422" s="116" t="s">
        <v>790</v>
      </c>
      <c r="H422" s="116" t="s">
        <v>791</v>
      </c>
      <c r="I422" s="39"/>
      <c r="J422" s="39"/>
      <c r="K422" s="39"/>
      <c r="L422" s="39"/>
      <c r="M422" s="39"/>
      <c r="N422" s="39"/>
      <c r="O422" s="39"/>
      <c r="P422" s="39"/>
      <c r="Q422" s="39"/>
      <c r="R422" s="40"/>
      <c r="S422" s="40"/>
      <c r="T422" s="41"/>
      <c r="U422" s="42"/>
      <c r="V422" s="42"/>
      <c r="W422" s="43"/>
      <c r="X422" s="44"/>
      <c r="Y422" s="4"/>
      <c r="Z422" s="45"/>
      <c r="AA422" s="45"/>
      <c r="AB422" s="4"/>
    </row>
    <row r="423" spans="1:28" ht="150">
      <c r="A423" s="126" t="s">
        <v>1494</v>
      </c>
      <c r="B423" s="118"/>
      <c r="C423" s="121"/>
      <c r="D423" s="116" t="s">
        <v>1496</v>
      </c>
      <c r="E423" s="116"/>
      <c r="F423" s="116" t="s">
        <v>865</v>
      </c>
      <c r="G423" s="116" t="s">
        <v>1498</v>
      </c>
      <c r="H423" s="116" t="s">
        <v>793</v>
      </c>
      <c r="I423" s="39"/>
      <c r="J423" s="39"/>
      <c r="K423" s="39"/>
      <c r="L423" s="39"/>
      <c r="M423" s="39"/>
      <c r="N423" s="39"/>
      <c r="O423" s="39"/>
      <c r="P423" s="39"/>
      <c r="Q423" s="39"/>
      <c r="R423" s="40"/>
      <c r="S423" s="40"/>
      <c r="T423" s="41"/>
      <c r="U423" s="42"/>
      <c r="V423" s="42"/>
      <c r="W423" s="43"/>
      <c r="X423" s="44"/>
      <c r="Y423" s="4"/>
      <c r="Z423" s="45"/>
      <c r="AA423" s="45"/>
      <c r="AB423" s="4"/>
    </row>
    <row r="424" spans="1:28" ht="60">
      <c r="A424" s="126" t="s">
        <v>1499</v>
      </c>
      <c r="B424" s="115" t="s">
        <v>1500</v>
      </c>
      <c r="C424" s="119" t="s">
        <v>788</v>
      </c>
      <c r="D424" s="119" t="s">
        <v>1501</v>
      </c>
      <c r="E424" s="123"/>
      <c r="F424" s="116" t="s">
        <v>860</v>
      </c>
      <c r="G424" s="116" t="s">
        <v>790</v>
      </c>
      <c r="H424" s="116" t="s">
        <v>791</v>
      </c>
      <c r="I424" s="39"/>
      <c r="J424" s="39"/>
      <c r="K424" s="39"/>
      <c r="L424" s="39"/>
      <c r="M424" s="39"/>
      <c r="N424" s="39"/>
      <c r="O424" s="39"/>
      <c r="P424" s="39"/>
      <c r="Q424" s="39"/>
      <c r="R424" s="40"/>
      <c r="S424" s="40"/>
      <c r="T424" s="41"/>
      <c r="U424" s="42"/>
      <c r="V424" s="42"/>
      <c r="W424" s="43"/>
      <c r="X424" s="44"/>
      <c r="Y424" s="4"/>
      <c r="Z424" s="45"/>
      <c r="AA424" s="45"/>
      <c r="AB424" s="4"/>
    </row>
    <row r="425" spans="1:28" ht="60">
      <c r="A425" s="126" t="s">
        <v>1499</v>
      </c>
      <c r="B425" s="117"/>
      <c r="C425" s="120"/>
      <c r="D425" s="120"/>
      <c r="E425" s="131"/>
      <c r="F425" s="116" t="s">
        <v>863</v>
      </c>
      <c r="G425" s="116" t="s">
        <v>1502</v>
      </c>
      <c r="H425" s="116" t="s">
        <v>793</v>
      </c>
      <c r="I425" s="39"/>
      <c r="J425" s="39"/>
      <c r="K425" s="39"/>
      <c r="L425" s="39"/>
      <c r="M425" s="39"/>
      <c r="N425" s="39"/>
      <c r="O425" s="39"/>
      <c r="P425" s="39"/>
      <c r="Q425" s="39"/>
      <c r="R425" s="40"/>
      <c r="S425" s="40"/>
      <c r="T425" s="41"/>
      <c r="U425" s="42"/>
      <c r="V425" s="42"/>
      <c r="W425" s="43"/>
      <c r="X425" s="44"/>
      <c r="Y425" s="4"/>
      <c r="Z425" s="45"/>
      <c r="AA425" s="45"/>
      <c r="AB425" s="4"/>
    </row>
    <row r="426" spans="1:28" ht="90">
      <c r="A426" s="126" t="s">
        <v>1499</v>
      </c>
      <c r="B426" s="118"/>
      <c r="C426" s="121"/>
      <c r="D426" s="121"/>
      <c r="E426" s="132"/>
      <c r="F426" s="116" t="s">
        <v>865</v>
      </c>
      <c r="G426" s="116" t="s">
        <v>795</v>
      </c>
      <c r="H426" s="116" t="s">
        <v>796</v>
      </c>
      <c r="I426" s="39"/>
      <c r="J426" s="39"/>
      <c r="K426" s="39"/>
      <c r="L426" s="39"/>
      <c r="M426" s="39"/>
      <c r="N426" s="39"/>
      <c r="O426" s="39"/>
      <c r="P426" s="39"/>
      <c r="Q426" s="39"/>
      <c r="R426" s="40"/>
      <c r="S426" s="40"/>
      <c r="T426" s="41"/>
      <c r="U426" s="42"/>
      <c r="V426" s="42"/>
      <c r="W426" s="43"/>
      <c r="X426" s="44"/>
      <c r="Y426" s="4"/>
      <c r="Z426" s="45"/>
      <c r="AA426" s="45"/>
      <c r="AB426" s="4"/>
    </row>
    <row r="427" spans="1:28" ht="342">
      <c r="A427" s="126" t="s">
        <v>1503</v>
      </c>
      <c r="B427" s="115" t="s">
        <v>1504</v>
      </c>
      <c r="C427" s="119" t="s">
        <v>788</v>
      </c>
      <c r="D427" s="116" t="s">
        <v>1505</v>
      </c>
      <c r="E427" s="116"/>
      <c r="F427" s="116" t="s">
        <v>860</v>
      </c>
      <c r="G427" s="116" t="s">
        <v>795</v>
      </c>
      <c r="H427" s="116" t="s">
        <v>796</v>
      </c>
      <c r="I427" s="39"/>
      <c r="J427" s="39"/>
      <c r="K427" s="39"/>
      <c r="L427" s="39"/>
      <c r="M427" s="39"/>
      <c r="N427" s="39"/>
      <c r="O427" s="39"/>
      <c r="P427" s="39"/>
      <c r="Q427" s="39"/>
      <c r="R427" s="40"/>
      <c r="S427" s="40"/>
      <c r="T427" s="41"/>
      <c r="U427" s="42"/>
      <c r="V427" s="42"/>
      <c r="W427" s="43"/>
      <c r="X427" s="44"/>
      <c r="Y427" s="4"/>
      <c r="Z427" s="45"/>
      <c r="AA427" s="45"/>
      <c r="AB427" s="4"/>
    </row>
    <row r="428" spans="1:28" ht="342">
      <c r="A428" s="126" t="s">
        <v>1503</v>
      </c>
      <c r="B428" s="117"/>
      <c r="C428" s="120"/>
      <c r="D428" s="116" t="s">
        <v>1505</v>
      </c>
      <c r="E428" s="116"/>
      <c r="F428" s="116" t="s">
        <v>863</v>
      </c>
      <c r="G428" s="116" t="s">
        <v>790</v>
      </c>
      <c r="H428" s="116" t="s">
        <v>791</v>
      </c>
      <c r="I428" s="39"/>
      <c r="J428" s="39"/>
      <c r="K428" s="39"/>
      <c r="L428" s="39"/>
      <c r="M428" s="39"/>
      <c r="N428" s="39"/>
      <c r="O428" s="39"/>
      <c r="P428" s="39"/>
      <c r="Q428" s="39"/>
      <c r="R428" s="40"/>
      <c r="S428" s="40"/>
      <c r="T428" s="41"/>
      <c r="U428" s="42"/>
      <c r="V428" s="42"/>
      <c r="W428" s="43"/>
      <c r="X428" s="44"/>
      <c r="Y428" s="4"/>
      <c r="Z428" s="45"/>
      <c r="AA428" s="45"/>
      <c r="AB428" s="4"/>
    </row>
    <row r="429" spans="1:28" ht="342">
      <c r="A429" s="126" t="s">
        <v>1503</v>
      </c>
      <c r="B429" s="118"/>
      <c r="C429" s="121"/>
      <c r="D429" s="116" t="s">
        <v>1505</v>
      </c>
      <c r="E429" s="116"/>
      <c r="F429" s="116" t="s">
        <v>865</v>
      </c>
      <c r="G429" s="116" t="s">
        <v>1506</v>
      </c>
      <c r="H429" s="116" t="s">
        <v>793</v>
      </c>
      <c r="I429" s="39"/>
      <c r="J429" s="39"/>
      <c r="K429" s="39"/>
      <c r="L429" s="39"/>
      <c r="M429" s="39"/>
      <c r="N429" s="39"/>
      <c r="O429" s="39"/>
      <c r="P429" s="39"/>
      <c r="Q429" s="39"/>
      <c r="R429" s="40"/>
      <c r="S429" s="40"/>
      <c r="T429" s="41"/>
      <c r="U429" s="42"/>
      <c r="V429" s="42"/>
      <c r="W429" s="43"/>
      <c r="X429" s="44"/>
      <c r="Y429" s="4"/>
      <c r="Z429" s="45"/>
      <c r="AA429" s="45"/>
      <c r="AB429" s="4"/>
    </row>
    <row r="430" spans="1:28" ht="409.6">
      <c r="A430" s="126" t="s">
        <v>1507</v>
      </c>
      <c r="B430" s="115" t="s">
        <v>1508</v>
      </c>
      <c r="C430" s="119" t="s">
        <v>1509</v>
      </c>
      <c r="D430" s="116" t="s">
        <v>1510</v>
      </c>
      <c r="E430" s="116"/>
      <c r="F430" s="116" t="s">
        <v>860</v>
      </c>
      <c r="G430" s="116" t="s">
        <v>1511</v>
      </c>
      <c r="H430" s="116" t="s">
        <v>1512</v>
      </c>
      <c r="I430" s="39"/>
      <c r="J430" s="39"/>
      <c r="K430" s="39"/>
      <c r="L430" s="39"/>
      <c r="M430" s="39"/>
      <c r="N430" s="39"/>
      <c r="O430" s="39"/>
      <c r="P430" s="39"/>
      <c r="Q430" s="39"/>
      <c r="R430" s="40"/>
      <c r="S430" s="40"/>
      <c r="T430" s="41"/>
      <c r="U430" s="42"/>
      <c r="V430" s="42"/>
      <c r="W430" s="43"/>
      <c r="X430" s="44"/>
      <c r="Y430" s="4"/>
      <c r="Z430" s="45"/>
      <c r="AA430" s="45"/>
      <c r="AB430" s="4"/>
    </row>
    <row r="431" spans="1:28" ht="409.6">
      <c r="A431" s="126" t="s">
        <v>1507</v>
      </c>
      <c r="B431" s="118"/>
      <c r="C431" s="121"/>
      <c r="D431" s="116" t="s">
        <v>1510</v>
      </c>
      <c r="E431" s="116"/>
      <c r="F431" s="116" t="s">
        <v>863</v>
      </c>
      <c r="G431" s="116" t="s">
        <v>1513</v>
      </c>
      <c r="H431" s="116" t="s">
        <v>1512</v>
      </c>
      <c r="I431" s="39"/>
      <c r="J431" s="39"/>
      <c r="K431" s="39"/>
      <c r="L431" s="39"/>
      <c r="M431" s="39"/>
      <c r="N431" s="39"/>
      <c r="O431" s="39"/>
      <c r="P431" s="39"/>
      <c r="Q431" s="39"/>
      <c r="R431" s="40"/>
      <c r="S431" s="40"/>
      <c r="T431" s="41"/>
      <c r="U431" s="42"/>
      <c r="V431" s="42"/>
      <c r="W431" s="43"/>
      <c r="X431" s="44"/>
      <c r="Y431" s="4"/>
      <c r="Z431" s="45"/>
      <c r="AA431" s="45"/>
      <c r="AB431" s="4"/>
    </row>
    <row r="432" spans="1:28" ht="409.6">
      <c r="A432" s="126" t="s">
        <v>1514</v>
      </c>
      <c r="B432" s="115" t="s">
        <v>1515</v>
      </c>
      <c r="C432" s="119" t="s">
        <v>1516</v>
      </c>
      <c r="D432" s="116" t="s">
        <v>1517</v>
      </c>
      <c r="E432" s="116"/>
      <c r="F432" s="116" t="s">
        <v>860</v>
      </c>
      <c r="G432" s="116" t="s">
        <v>1518</v>
      </c>
      <c r="H432" s="116" t="s">
        <v>1519</v>
      </c>
      <c r="I432" s="39"/>
      <c r="J432" s="39"/>
      <c r="K432" s="39"/>
      <c r="L432" s="39"/>
      <c r="M432" s="39"/>
      <c r="N432" s="39"/>
      <c r="O432" s="39"/>
      <c r="P432" s="39"/>
      <c r="Q432" s="39"/>
      <c r="R432" s="40"/>
      <c r="S432" s="40"/>
      <c r="T432" s="41"/>
      <c r="U432" s="42"/>
      <c r="V432" s="42"/>
      <c r="W432" s="43"/>
      <c r="X432" s="44"/>
      <c r="Y432" s="4"/>
      <c r="Z432" s="45"/>
      <c r="AA432" s="45"/>
      <c r="AB432" s="4"/>
    </row>
    <row r="433" spans="1:28" ht="409.6">
      <c r="A433" s="126" t="s">
        <v>1514</v>
      </c>
      <c r="B433" s="117"/>
      <c r="C433" s="120"/>
      <c r="D433" s="116" t="s">
        <v>1517</v>
      </c>
      <c r="E433" s="116"/>
      <c r="F433" s="116" t="s">
        <v>863</v>
      </c>
      <c r="G433" s="116" t="s">
        <v>1520</v>
      </c>
      <c r="H433" s="116" t="s">
        <v>1521</v>
      </c>
      <c r="I433" s="39"/>
      <c r="J433" s="39"/>
      <c r="K433" s="39"/>
      <c r="L433" s="39"/>
      <c r="M433" s="39"/>
      <c r="N433" s="39"/>
      <c r="O433" s="39"/>
      <c r="P433" s="39"/>
      <c r="Q433" s="39"/>
      <c r="R433" s="40"/>
      <c r="S433" s="40"/>
      <c r="T433" s="41"/>
      <c r="U433" s="42"/>
      <c r="V433" s="42"/>
      <c r="W433" s="43"/>
      <c r="X433" s="44"/>
      <c r="Y433" s="4"/>
      <c r="Z433" s="45"/>
      <c r="AA433" s="45"/>
      <c r="AB433" s="4"/>
    </row>
    <row r="434" spans="1:28" ht="409.6">
      <c r="A434" s="126" t="s">
        <v>1514</v>
      </c>
      <c r="B434" s="118"/>
      <c r="C434" s="121"/>
      <c r="D434" s="116" t="s">
        <v>1517</v>
      </c>
      <c r="E434" s="116"/>
      <c r="F434" s="116" t="s">
        <v>865</v>
      </c>
      <c r="G434" s="116" t="s">
        <v>1522</v>
      </c>
      <c r="H434" s="116" t="s">
        <v>1523</v>
      </c>
      <c r="I434" s="39"/>
      <c r="J434" s="39"/>
      <c r="K434" s="39"/>
      <c r="L434" s="39"/>
      <c r="M434" s="39"/>
      <c r="N434" s="39"/>
      <c r="O434" s="39"/>
      <c r="P434" s="39"/>
      <c r="Q434" s="39"/>
      <c r="R434" s="40"/>
      <c r="S434" s="40"/>
      <c r="T434" s="41"/>
      <c r="U434" s="42"/>
      <c r="V434" s="42"/>
      <c r="W434" s="43"/>
      <c r="X434" s="44"/>
      <c r="Y434" s="4"/>
      <c r="Z434" s="45"/>
      <c r="AA434" s="45"/>
      <c r="AB434" s="4"/>
    </row>
    <row r="435" spans="1:28" ht="120">
      <c r="A435" s="126" t="s">
        <v>1524</v>
      </c>
      <c r="B435" s="115" t="s">
        <v>1525</v>
      </c>
      <c r="C435" s="119" t="s">
        <v>1526</v>
      </c>
      <c r="D435" s="116" t="s">
        <v>1527</v>
      </c>
      <c r="E435" s="116"/>
      <c r="F435" s="116" t="s">
        <v>860</v>
      </c>
      <c r="G435" s="116" t="s">
        <v>1528</v>
      </c>
      <c r="H435" s="116" t="s">
        <v>1529</v>
      </c>
      <c r="I435" s="39"/>
      <c r="J435" s="39"/>
      <c r="K435" s="39"/>
      <c r="L435" s="39"/>
      <c r="M435" s="39"/>
      <c r="N435" s="39"/>
      <c r="O435" s="39"/>
      <c r="P435" s="39"/>
      <c r="Q435" s="39"/>
      <c r="R435" s="40"/>
      <c r="S435" s="40"/>
      <c r="T435" s="41"/>
      <c r="U435" s="42"/>
      <c r="V435" s="42"/>
      <c r="W435" s="43"/>
      <c r="X435" s="44"/>
      <c r="Y435" s="4"/>
      <c r="Z435" s="45"/>
      <c r="AA435" s="45"/>
      <c r="AB435" s="4"/>
    </row>
    <row r="436" spans="1:28" ht="30">
      <c r="A436" s="126" t="s">
        <v>1524</v>
      </c>
      <c r="B436" s="117"/>
      <c r="C436" s="120"/>
      <c r="D436" s="116"/>
      <c r="E436" s="116"/>
      <c r="F436" s="116" t="s">
        <v>863</v>
      </c>
      <c r="G436" s="116" t="s">
        <v>1530</v>
      </c>
      <c r="H436" s="116" t="s">
        <v>1531</v>
      </c>
      <c r="I436" s="39"/>
      <c r="J436" s="39"/>
      <c r="K436" s="39"/>
      <c r="L436" s="39"/>
      <c r="M436" s="39"/>
      <c r="N436" s="39"/>
      <c r="O436" s="39"/>
      <c r="P436" s="39"/>
      <c r="Q436" s="39"/>
      <c r="R436" s="40"/>
      <c r="S436" s="40"/>
      <c r="T436" s="41"/>
      <c r="U436" s="42"/>
      <c r="V436" s="42"/>
      <c r="W436" s="43"/>
      <c r="X436" s="44"/>
      <c r="Y436" s="4"/>
      <c r="Z436" s="45"/>
      <c r="AA436" s="45"/>
      <c r="AB436" s="4"/>
    </row>
    <row r="437" spans="1:28" ht="30">
      <c r="A437" s="126" t="s">
        <v>1524</v>
      </c>
      <c r="B437" s="117"/>
      <c r="C437" s="120"/>
      <c r="D437" s="116"/>
      <c r="E437" s="116"/>
      <c r="F437" s="116" t="s">
        <v>865</v>
      </c>
      <c r="G437" s="116" t="s">
        <v>1532</v>
      </c>
      <c r="H437" s="116" t="s">
        <v>1533</v>
      </c>
      <c r="I437" s="39"/>
      <c r="J437" s="39"/>
      <c r="K437" s="39"/>
      <c r="L437" s="39"/>
      <c r="M437" s="39"/>
      <c r="N437" s="39"/>
      <c r="O437" s="39"/>
      <c r="P437" s="39"/>
      <c r="Q437" s="39"/>
      <c r="R437" s="40"/>
      <c r="S437" s="40"/>
      <c r="T437" s="41"/>
      <c r="U437" s="42"/>
      <c r="V437" s="42"/>
      <c r="W437" s="43"/>
      <c r="X437" s="44"/>
      <c r="Y437" s="4"/>
      <c r="Z437" s="45"/>
      <c r="AA437" s="45"/>
      <c r="AB437" s="4"/>
    </row>
    <row r="438" spans="1:28">
      <c r="A438" s="126" t="s">
        <v>1524</v>
      </c>
      <c r="B438" s="118"/>
      <c r="C438" s="121"/>
      <c r="D438" s="116"/>
      <c r="E438" s="116"/>
      <c r="F438" s="116" t="s">
        <v>867</v>
      </c>
      <c r="G438" s="116" t="s">
        <v>1534</v>
      </c>
      <c r="H438" s="116" t="s">
        <v>1535</v>
      </c>
      <c r="I438" s="39"/>
      <c r="J438" s="39"/>
      <c r="K438" s="39"/>
      <c r="L438" s="39"/>
      <c r="M438" s="39"/>
      <c r="N438" s="39"/>
      <c r="O438" s="39"/>
      <c r="P438" s="39"/>
      <c r="Q438" s="39"/>
      <c r="R438" s="40"/>
      <c r="S438" s="40"/>
      <c r="T438" s="41"/>
      <c r="U438" s="42"/>
      <c r="V438" s="42"/>
      <c r="W438" s="43"/>
      <c r="X438" s="44"/>
      <c r="Y438" s="4"/>
      <c r="Z438" s="45"/>
      <c r="AA438" s="45"/>
      <c r="AB438" s="4"/>
    </row>
    <row r="439" spans="1:28" ht="135">
      <c r="A439" s="126" t="s">
        <v>1536</v>
      </c>
      <c r="B439" s="119" t="s">
        <v>1537</v>
      </c>
      <c r="C439" s="119" t="s">
        <v>1538</v>
      </c>
      <c r="D439" s="116" t="s">
        <v>1539</v>
      </c>
      <c r="E439" s="116"/>
      <c r="F439" s="116" t="s">
        <v>860</v>
      </c>
      <c r="G439" s="116" t="s">
        <v>1540</v>
      </c>
      <c r="H439" s="116" t="s">
        <v>1541</v>
      </c>
      <c r="I439" s="39"/>
      <c r="J439" s="39"/>
      <c r="K439" s="39"/>
      <c r="L439" s="39"/>
      <c r="M439" s="39"/>
      <c r="N439" s="39"/>
      <c r="O439" s="39"/>
      <c r="P439" s="39"/>
      <c r="Q439" s="39"/>
      <c r="R439" s="40"/>
      <c r="S439" s="40"/>
      <c r="T439" s="41">
        <v>0</v>
      </c>
      <c r="U439" s="42"/>
      <c r="V439" s="42"/>
      <c r="W439" s="43"/>
      <c r="X439" s="44"/>
      <c r="Y439" s="4"/>
      <c r="Z439" s="45"/>
      <c r="AA439" s="45"/>
      <c r="AB439" s="4"/>
    </row>
    <row r="440" spans="1:28" ht="30">
      <c r="A440" s="126" t="s">
        <v>1536</v>
      </c>
      <c r="B440" s="120"/>
      <c r="C440" s="120"/>
      <c r="D440" s="116"/>
      <c r="E440" s="116"/>
      <c r="F440" s="116" t="s">
        <v>863</v>
      </c>
      <c r="G440" s="116" t="s">
        <v>1542</v>
      </c>
      <c r="H440" s="116" t="s">
        <v>1543</v>
      </c>
      <c r="I440" s="39"/>
      <c r="J440" s="39"/>
      <c r="K440" s="39"/>
      <c r="L440" s="39"/>
      <c r="M440" s="39"/>
      <c r="N440" s="39"/>
      <c r="O440" s="39"/>
      <c r="P440" s="39"/>
      <c r="Q440" s="39"/>
      <c r="R440" s="40"/>
      <c r="S440" s="40"/>
      <c r="T440" s="41"/>
      <c r="U440" s="42"/>
      <c r="V440" s="42"/>
      <c r="W440" s="43"/>
      <c r="X440" s="44"/>
      <c r="Y440" s="4"/>
      <c r="Z440" s="45"/>
      <c r="AA440" s="45"/>
      <c r="AB440" s="4"/>
    </row>
    <row r="441" spans="1:28">
      <c r="A441" s="126" t="s">
        <v>1536</v>
      </c>
      <c r="B441" s="120"/>
      <c r="C441" s="120"/>
      <c r="D441" s="116"/>
      <c r="E441" s="116"/>
      <c r="F441" s="116" t="s">
        <v>865</v>
      </c>
      <c r="G441" s="116" t="s">
        <v>1534</v>
      </c>
      <c r="H441" s="116" t="s">
        <v>1535</v>
      </c>
      <c r="I441" s="39"/>
      <c r="J441" s="39"/>
      <c r="K441" s="39"/>
      <c r="L441" s="39"/>
      <c r="M441" s="39"/>
      <c r="N441" s="39"/>
      <c r="O441" s="39"/>
      <c r="P441" s="39"/>
      <c r="Q441" s="39"/>
      <c r="R441" s="40"/>
      <c r="S441" s="40"/>
      <c r="T441" s="41"/>
      <c r="U441" s="42"/>
      <c r="V441" s="42"/>
      <c r="W441" s="43"/>
      <c r="X441" s="44"/>
      <c r="Y441" s="4"/>
      <c r="Z441" s="45"/>
      <c r="AA441" s="45"/>
      <c r="AB441" s="4"/>
    </row>
    <row r="442" spans="1:28" ht="30">
      <c r="A442" s="126" t="s">
        <v>1536</v>
      </c>
      <c r="B442" s="121"/>
      <c r="C442" s="121"/>
      <c r="D442" s="116"/>
      <c r="E442" s="116"/>
      <c r="F442" s="116" t="s">
        <v>867</v>
      </c>
      <c r="G442" s="116" t="s">
        <v>1544</v>
      </c>
      <c r="H442" s="116" t="s">
        <v>1545</v>
      </c>
      <c r="I442" s="39"/>
      <c r="J442" s="39"/>
      <c r="K442" s="39"/>
      <c r="L442" s="39"/>
      <c r="M442" s="39"/>
      <c r="N442" s="39"/>
      <c r="O442" s="39"/>
      <c r="P442" s="39"/>
      <c r="Q442" s="39"/>
      <c r="R442" s="40"/>
      <c r="S442" s="40"/>
      <c r="T442" s="41"/>
      <c r="U442" s="42"/>
      <c r="V442" s="42"/>
      <c r="W442" s="43"/>
      <c r="X442" s="44"/>
      <c r="Y442" s="4"/>
      <c r="Z442" s="45"/>
      <c r="AA442" s="45"/>
      <c r="AB442" s="4"/>
    </row>
    <row r="443" spans="1:28" ht="30">
      <c r="A443" s="126" t="s">
        <v>1546</v>
      </c>
      <c r="B443" s="119" t="s">
        <v>1547</v>
      </c>
      <c r="C443" s="119" t="s">
        <v>1548</v>
      </c>
      <c r="D443" s="119" t="s">
        <v>1549</v>
      </c>
      <c r="E443" s="123"/>
      <c r="F443" s="116" t="s">
        <v>860</v>
      </c>
      <c r="G443" s="116" t="s">
        <v>1550</v>
      </c>
      <c r="H443" s="116" t="s">
        <v>1551</v>
      </c>
      <c r="I443" s="39"/>
      <c r="J443" s="39"/>
      <c r="K443" s="39"/>
      <c r="L443" s="39"/>
      <c r="M443" s="39"/>
      <c r="N443" s="39"/>
      <c r="O443" s="39"/>
      <c r="P443" s="39"/>
      <c r="Q443" s="39"/>
      <c r="R443" s="40"/>
      <c r="S443" s="40"/>
      <c r="T443" s="41">
        <v>0</v>
      </c>
      <c r="U443" s="42"/>
      <c r="V443" s="42"/>
      <c r="W443" s="43"/>
      <c r="X443" s="44"/>
      <c r="Y443" s="4"/>
      <c r="Z443" s="45"/>
      <c r="AA443" s="45"/>
      <c r="AB443" s="4"/>
    </row>
    <row r="444" spans="1:28" ht="30">
      <c r="A444" s="126" t="s">
        <v>1546</v>
      </c>
      <c r="B444" s="120"/>
      <c r="C444" s="120"/>
      <c r="D444" s="120"/>
      <c r="E444" s="131"/>
      <c r="F444" s="116" t="s">
        <v>863</v>
      </c>
      <c r="G444" s="116" t="s">
        <v>1552</v>
      </c>
      <c r="H444" s="116" t="s">
        <v>1551</v>
      </c>
      <c r="I444" s="39"/>
      <c r="J444" s="39"/>
      <c r="K444" s="39"/>
      <c r="L444" s="39"/>
      <c r="M444" s="39"/>
      <c r="N444" s="39"/>
      <c r="O444" s="39"/>
      <c r="P444" s="39"/>
      <c r="Q444" s="39"/>
      <c r="R444" s="40"/>
      <c r="S444" s="40"/>
      <c r="T444" s="41"/>
      <c r="U444" s="42"/>
      <c r="V444" s="42"/>
      <c r="W444" s="43"/>
      <c r="X444" s="44"/>
      <c r="Y444" s="4"/>
      <c r="Z444" s="45"/>
      <c r="AA444" s="45"/>
      <c r="AB444" s="4"/>
    </row>
    <row r="445" spans="1:28" ht="45">
      <c r="A445" s="126" t="s">
        <v>1546</v>
      </c>
      <c r="B445" s="120"/>
      <c r="C445" s="120"/>
      <c r="D445" s="120"/>
      <c r="E445" s="131"/>
      <c r="F445" s="116" t="s">
        <v>865</v>
      </c>
      <c r="G445" s="116" t="s">
        <v>1553</v>
      </c>
      <c r="H445" s="116" t="s">
        <v>1554</v>
      </c>
      <c r="I445" s="39"/>
      <c r="J445" s="39"/>
      <c r="K445" s="39"/>
      <c r="L445" s="39"/>
      <c r="M445" s="39"/>
      <c r="N445" s="39"/>
      <c r="O445" s="39"/>
      <c r="P445" s="39"/>
      <c r="Q445" s="39"/>
      <c r="R445" s="40"/>
      <c r="S445" s="40"/>
      <c r="T445" s="41"/>
      <c r="U445" s="42"/>
      <c r="V445" s="42"/>
      <c r="W445" s="43"/>
      <c r="X445" s="44"/>
      <c r="Y445" s="4"/>
      <c r="Z445" s="45"/>
      <c r="AA445" s="45"/>
      <c r="AB445" s="4"/>
    </row>
    <row r="446" spans="1:28" ht="45">
      <c r="A446" s="126" t="s">
        <v>1546</v>
      </c>
      <c r="B446" s="121"/>
      <c r="C446" s="121"/>
      <c r="D446" s="121"/>
      <c r="E446" s="132"/>
      <c r="F446" s="116" t="s">
        <v>867</v>
      </c>
      <c r="G446" s="116" t="s">
        <v>1555</v>
      </c>
      <c r="H446" s="116" t="s">
        <v>1554</v>
      </c>
      <c r="I446" s="39"/>
      <c r="J446" s="39"/>
      <c r="K446" s="39"/>
      <c r="L446" s="39"/>
      <c r="M446" s="39"/>
      <c r="N446" s="39"/>
      <c r="O446" s="39"/>
      <c r="P446" s="39"/>
      <c r="Q446" s="39"/>
      <c r="R446" s="40"/>
      <c r="S446" s="40"/>
      <c r="T446" s="41"/>
      <c r="U446" s="42"/>
      <c r="V446" s="42"/>
      <c r="W446" s="43"/>
      <c r="X446" s="44"/>
      <c r="Y446" s="4"/>
      <c r="Z446" s="45"/>
      <c r="AA446" s="45"/>
      <c r="AB446" s="4"/>
    </row>
    <row r="447" spans="1:28" ht="90">
      <c r="A447" s="126" t="s">
        <v>1556</v>
      </c>
      <c r="B447" s="119" t="s">
        <v>1557</v>
      </c>
      <c r="C447" s="119" t="s">
        <v>599</v>
      </c>
      <c r="D447" s="119" t="s">
        <v>1558</v>
      </c>
      <c r="E447" s="123"/>
      <c r="F447" s="116" t="s">
        <v>860</v>
      </c>
      <c r="G447" s="116" t="s">
        <v>441</v>
      </c>
      <c r="H447" s="116" t="s">
        <v>442</v>
      </c>
      <c r="I447" s="39"/>
      <c r="J447" s="39"/>
      <c r="K447" s="39"/>
      <c r="L447" s="39"/>
      <c r="M447" s="39"/>
      <c r="N447" s="39"/>
      <c r="O447" s="39"/>
      <c r="P447" s="39"/>
      <c r="Q447" s="39"/>
      <c r="R447" s="40"/>
      <c r="S447" s="40"/>
      <c r="T447" s="41"/>
      <c r="U447" s="42"/>
      <c r="V447" s="42"/>
      <c r="W447" s="43"/>
      <c r="X447" s="44"/>
      <c r="Y447" s="4"/>
      <c r="Z447" s="45"/>
      <c r="AA447" s="45"/>
      <c r="AB447" s="4"/>
    </row>
    <row r="448" spans="1:28" ht="60">
      <c r="A448" s="126" t="s">
        <v>1556</v>
      </c>
      <c r="B448" s="121"/>
      <c r="C448" s="121"/>
      <c r="D448" s="121"/>
      <c r="E448" s="132"/>
      <c r="F448" s="116" t="s">
        <v>863</v>
      </c>
      <c r="G448" s="116" t="s">
        <v>1244</v>
      </c>
      <c r="H448" s="116" t="s">
        <v>604</v>
      </c>
      <c r="I448" s="39"/>
      <c r="J448" s="39"/>
      <c r="K448" s="39"/>
      <c r="L448" s="39"/>
      <c r="M448" s="39"/>
      <c r="N448" s="39"/>
      <c r="O448" s="39"/>
      <c r="P448" s="39"/>
      <c r="Q448" s="39"/>
      <c r="R448" s="40"/>
      <c r="S448" s="40"/>
      <c r="T448" s="41"/>
      <c r="U448" s="42"/>
      <c r="V448" s="42"/>
      <c r="W448" s="43"/>
      <c r="X448" s="44"/>
      <c r="Y448" s="4"/>
      <c r="Z448" s="45"/>
      <c r="AA448" s="45"/>
      <c r="AB448" s="4"/>
    </row>
    <row r="449" spans="1:28" ht="90">
      <c r="A449" s="126" t="s">
        <v>1559</v>
      </c>
      <c r="B449" s="116" t="s">
        <v>1560</v>
      </c>
      <c r="C449" s="116" t="s">
        <v>1449</v>
      </c>
      <c r="D449" s="116" t="s">
        <v>1450</v>
      </c>
      <c r="E449" s="116"/>
      <c r="F449" s="116" t="s">
        <v>860</v>
      </c>
      <c r="G449" s="116" t="s">
        <v>422</v>
      </c>
      <c r="H449" s="116" t="s">
        <v>423</v>
      </c>
      <c r="I449" s="39"/>
      <c r="J449" s="39"/>
      <c r="K449" s="39"/>
      <c r="L449" s="39"/>
      <c r="M449" s="39"/>
      <c r="N449" s="39"/>
      <c r="O449" s="39"/>
      <c r="P449" s="39"/>
      <c r="Q449" s="39"/>
      <c r="R449" s="40"/>
      <c r="S449" s="40"/>
      <c r="T449" s="41"/>
      <c r="U449" s="42"/>
      <c r="V449" s="42"/>
      <c r="W449" s="43"/>
      <c r="X449" s="44"/>
      <c r="Y449" s="4"/>
      <c r="Z449" s="45"/>
      <c r="AA449" s="45"/>
      <c r="AB449" s="4"/>
    </row>
    <row r="450" spans="1:28" ht="409.6">
      <c r="A450" s="126" t="s">
        <v>1561</v>
      </c>
      <c r="B450" s="119" t="s">
        <v>1562</v>
      </c>
      <c r="C450" s="119" t="s">
        <v>804</v>
      </c>
      <c r="D450" s="116" t="s">
        <v>805</v>
      </c>
      <c r="E450" s="116"/>
      <c r="F450" s="116" t="s">
        <v>860</v>
      </c>
      <c r="G450" s="116" t="s">
        <v>807</v>
      </c>
      <c r="H450" s="116" t="s">
        <v>808</v>
      </c>
      <c r="I450" s="39"/>
      <c r="J450" s="39"/>
      <c r="K450" s="39"/>
      <c r="L450" s="39"/>
      <c r="M450" s="39"/>
      <c r="N450" s="39"/>
      <c r="O450" s="39"/>
      <c r="P450" s="39"/>
      <c r="Q450" s="39"/>
      <c r="R450" s="40"/>
      <c r="S450" s="40"/>
      <c r="T450" s="41"/>
      <c r="U450" s="42"/>
      <c r="V450" s="42"/>
      <c r="W450" s="43"/>
      <c r="X450" s="44"/>
      <c r="Y450" s="4"/>
      <c r="Z450" s="45"/>
      <c r="AA450" s="45"/>
      <c r="AB450" s="4"/>
    </row>
    <row r="451" spans="1:28" ht="409.6">
      <c r="A451" s="126" t="s">
        <v>1561</v>
      </c>
      <c r="B451" s="121"/>
      <c r="C451" s="121"/>
      <c r="D451" s="116" t="s">
        <v>805</v>
      </c>
      <c r="E451" s="116"/>
      <c r="F451" s="116" t="s">
        <v>863</v>
      </c>
      <c r="G451" s="116" t="s">
        <v>811</v>
      </c>
      <c r="H451" s="116" t="s">
        <v>812</v>
      </c>
      <c r="I451" s="39"/>
      <c r="J451" s="39"/>
      <c r="K451" s="39"/>
      <c r="L451" s="39"/>
      <c r="M451" s="39"/>
      <c r="N451" s="39"/>
      <c r="O451" s="39"/>
      <c r="P451" s="39"/>
      <c r="Q451" s="39"/>
      <c r="R451" s="40"/>
      <c r="S451" s="40"/>
      <c r="T451" s="41"/>
      <c r="U451" s="42"/>
      <c r="V451" s="42"/>
      <c r="W451" s="43"/>
      <c r="X451" s="44"/>
      <c r="Y451" s="4"/>
      <c r="Z451" s="45"/>
      <c r="AA451" s="45"/>
      <c r="AB451" s="4"/>
    </row>
    <row r="452" spans="1:28" ht="270">
      <c r="A452" s="126" t="s">
        <v>1563</v>
      </c>
      <c r="B452" s="115" t="s">
        <v>1564</v>
      </c>
      <c r="C452" s="119" t="s">
        <v>1565</v>
      </c>
      <c r="D452" s="116" t="s">
        <v>1566</v>
      </c>
      <c r="E452" s="116"/>
      <c r="F452" s="116" t="s">
        <v>860</v>
      </c>
      <c r="G452" s="116" t="s">
        <v>257</v>
      </c>
      <c r="H452" s="116" t="s">
        <v>258</v>
      </c>
      <c r="I452" s="39"/>
      <c r="J452" s="39"/>
      <c r="K452" s="39"/>
      <c r="L452" s="39"/>
      <c r="M452" s="39"/>
      <c r="N452" s="39"/>
      <c r="O452" s="39"/>
      <c r="P452" s="39"/>
      <c r="Q452" s="39"/>
      <c r="R452" s="40"/>
      <c r="S452" s="40"/>
      <c r="T452" s="133">
        <v>1</v>
      </c>
      <c r="U452" s="42"/>
      <c r="V452" s="42"/>
      <c r="W452" s="43"/>
      <c r="X452" s="44"/>
      <c r="Y452" s="4"/>
      <c r="Z452" s="45"/>
      <c r="AA452" s="45"/>
      <c r="AB452" s="4"/>
    </row>
    <row r="453" spans="1:28" ht="270">
      <c r="A453" s="126" t="s">
        <v>1563</v>
      </c>
      <c r="B453" s="118"/>
      <c r="C453" s="121"/>
      <c r="D453" s="116" t="s">
        <v>1566</v>
      </c>
      <c r="E453" s="116"/>
      <c r="F453" s="116" t="s">
        <v>863</v>
      </c>
      <c r="G453" s="116" t="s">
        <v>253</v>
      </c>
      <c r="H453" s="116" t="s">
        <v>254</v>
      </c>
      <c r="I453" s="39"/>
      <c r="J453" s="39"/>
      <c r="K453" s="39"/>
      <c r="L453" s="39"/>
      <c r="M453" s="39"/>
      <c r="N453" s="39"/>
      <c r="O453" s="39"/>
      <c r="P453" s="39"/>
      <c r="Q453" s="39"/>
      <c r="R453" s="40"/>
      <c r="S453" s="40"/>
      <c r="T453" s="133"/>
      <c r="U453" s="42"/>
      <c r="V453" s="42"/>
      <c r="W453" s="43"/>
      <c r="X453" s="44"/>
      <c r="Y453" s="4"/>
      <c r="Z453" s="45"/>
      <c r="AA453" s="45"/>
      <c r="AB453" s="4"/>
    </row>
    <row r="454" spans="1:28" ht="314">
      <c r="A454" s="126" t="s">
        <v>1567</v>
      </c>
      <c r="B454" s="115" t="s">
        <v>1568</v>
      </c>
      <c r="C454" s="119" t="s">
        <v>1569</v>
      </c>
      <c r="D454" s="116" t="s">
        <v>1570</v>
      </c>
      <c r="E454" s="116"/>
      <c r="F454" s="116" t="s">
        <v>860</v>
      </c>
      <c r="G454" s="116" t="s">
        <v>257</v>
      </c>
      <c r="H454" s="116" t="s">
        <v>258</v>
      </c>
      <c r="I454" s="39"/>
      <c r="J454" s="39"/>
      <c r="K454" s="39"/>
      <c r="L454" s="39"/>
      <c r="M454" s="39"/>
      <c r="N454" s="39"/>
      <c r="O454" s="39"/>
      <c r="P454" s="39"/>
      <c r="Q454" s="39"/>
      <c r="R454" s="40"/>
      <c r="S454" s="40"/>
      <c r="T454" s="41"/>
      <c r="U454" s="42"/>
      <c r="V454" s="42"/>
      <c r="W454" s="43"/>
      <c r="X454" s="44"/>
      <c r="Y454" s="4"/>
      <c r="Z454" s="45"/>
      <c r="AA454" s="45"/>
      <c r="AB454" s="4"/>
    </row>
    <row r="455" spans="1:28" ht="314">
      <c r="A455" s="126" t="s">
        <v>1567</v>
      </c>
      <c r="B455" s="118"/>
      <c r="C455" s="121"/>
      <c r="D455" s="116" t="s">
        <v>1570</v>
      </c>
      <c r="E455" s="116"/>
      <c r="F455" s="116" t="s">
        <v>863</v>
      </c>
      <c r="G455" s="116" t="s">
        <v>253</v>
      </c>
      <c r="H455" s="116" t="s">
        <v>254</v>
      </c>
      <c r="I455" s="39"/>
      <c r="J455" s="39"/>
      <c r="K455" s="39"/>
      <c r="L455" s="39"/>
      <c r="M455" s="39"/>
      <c r="N455" s="39"/>
      <c r="O455" s="39"/>
      <c r="P455" s="39"/>
      <c r="Q455" s="39"/>
      <c r="R455" s="40"/>
      <c r="S455" s="40"/>
      <c r="T455" s="41"/>
      <c r="U455" s="42"/>
      <c r="V455" s="42"/>
      <c r="W455" s="43"/>
      <c r="X455" s="44"/>
      <c r="Y455" s="4"/>
      <c r="Z455" s="45"/>
      <c r="AA455" s="45"/>
      <c r="AB455" s="4"/>
    </row>
    <row r="456" spans="1:28" ht="90">
      <c r="A456" s="126" t="s">
        <v>1571</v>
      </c>
      <c r="B456" s="115" t="s">
        <v>1572</v>
      </c>
      <c r="C456" s="135" t="s">
        <v>1483</v>
      </c>
      <c r="D456" s="135" t="s">
        <v>1484</v>
      </c>
      <c r="E456" s="136"/>
      <c r="F456" s="137" t="s">
        <v>860</v>
      </c>
      <c r="G456" s="137" t="s">
        <v>772</v>
      </c>
      <c r="H456" s="137" t="s">
        <v>668</v>
      </c>
      <c r="I456" s="39"/>
      <c r="J456" s="39"/>
      <c r="K456" s="39"/>
      <c r="L456" s="39"/>
      <c r="M456" s="39"/>
      <c r="N456" s="39"/>
      <c r="O456" s="39"/>
      <c r="P456" s="39"/>
      <c r="Q456" s="39"/>
      <c r="R456" s="40"/>
      <c r="S456" s="40"/>
      <c r="T456" s="133">
        <v>1</v>
      </c>
      <c r="U456" s="42"/>
      <c r="V456" s="42"/>
      <c r="W456" s="43"/>
      <c r="X456" s="44"/>
      <c r="Y456" s="4"/>
      <c r="Z456" s="45"/>
      <c r="AA456" s="45"/>
      <c r="AB456" s="4"/>
    </row>
    <row r="457" spans="1:28" ht="45">
      <c r="A457" s="126" t="s">
        <v>1571</v>
      </c>
      <c r="B457" s="118"/>
      <c r="C457" s="139"/>
      <c r="D457" s="139"/>
      <c r="E457" s="140"/>
      <c r="F457" s="137" t="s">
        <v>863</v>
      </c>
      <c r="G457" s="137" t="s">
        <v>630</v>
      </c>
      <c r="H457" s="137" t="s">
        <v>631</v>
      </c>
      <c r="I457" s="39"/>
      <c r="J457" s="39"/>
      <c r="K457" s="39"/>
      <c r="L457" s="39"/>
      <c r="M457" s="39"/>
      <c r="N457" s="39"/>
      <c r="O457" s="39"/>
      <c r="P457" s="39"/>
      <c r="Q457" s="39"/>
      <c r="R457" s="40"/>
      <c r="S457" s="40"/>
      <c r="T457" s="133"/>
      <c r="U457" s="42"/>
      <c r="V457" s="42"/>
      <c r="W457" s="43"/>
      <c r="X457" s="44"/>
      <c r="Y457" s="4"/>
      <c r="Z457" s="45"/>
      <c r="AA457" s="45"/>
      <c r="AB457" s="4"/>
    </row>
    <row r="458" spans="1:28" ht="90">
      <c r="A458" s="126" t="s">
        <v>1573</v>
      </c>
      <c r="B458" s="115" t="s">
        <v>1574</v>
      </c>
      <c r="C458" s="135" t="s">
        <v>1483</v>
      </c>
      <c r="D458" s="135" t="s">
        <v>1484</v>
      </c>
      <c r="E458" s="136"/>
      <c r="F458" s="137" t="s">
        <v>860</v>
      </c>
      <c r="G458" s="137" t="s">
        <v>772</v>
      </c>
      <c r="H458" s="137" t="s">
        <v>668</v>
      </c>
      <c r="I458" s="39"/>
      <c r="J458" s="39"/>
      <c r="K458" s="39"/>
      <c r="L458" s="39"/>
      <c r="M458" s="39"/>
      <c r="N458" s="39"/>
      <c r="O458" s="39"/>
      <c r="P458" s="39"/>
      <c r="Q458" s="39"/>
      <c r="R458" s="40"/>
      <c r="S458" s="40"/>
      <c r="T458" s="41"/>
      <c r="U458" s="42"/>
      <c r="V458" s="42"/>
      <c r="W458" s="43"/>
      <c r="X458" s="44"/>
      <c r="Y458" s="4"/>
      <c r="Z458" s="45"/>
      <c r="AA458" s="45"/>
      <c r="AB458" s="4"/>
    </row>
    <row r="459" spans="1:28" ht="45">
      <c r="A459" s="126" t="s">
        <v>1573</v>
      </c>
      <c r="B459" s="118"/>
      <c r="C459" s="139"/>
      <c r="D459" s="139"/>
      <c r="E459" s="140"/>
      <c r="F459" s="137" t="s">
        <v>863</v>
      </c>
      <c r="G459" s="137" t="s">
        <v>630</v>
      </c>
      <c r="H459" s="137" t="s">
        <v>631</v>
      </c>
      <c r="I459" s="39"/>
      <c r="J459" s="39"/>
      <c r="K459" s="39"/>
      <c r="L459" s="39"/>
      <c r="M459" s="39"/>
      <c r="N459" s="39"/>
      <c r="O459" s="39"/>
      <c r="P459" s="39"/>
      <c r="Q459" s="39"/>
      <c r="R459" s="40"/>
      <c r="S459" s="40"/>
      <c r="T459" s="41"/>
      <c r="U459" s="42"/>
      <c r="V459" s="42"/>
      <c r="W459" s="43"/>
      <c r="X459" s="44"/>
      <c r="Y459" s="4"/>
      <c r="Z459" s="45"/>
      <c r="AA459" s="45"/>
      <c r="AB459" s="4"/>
    </row>
    <row r="460" spans="1:28" ht="64">
      <c r="A460" s="126" t="s">
        <v>1575</v>
      </c>
      <c r="B460" s="115" t="s">
        <v>1576</v>
      </c>
      <c r="C460" s="135" t="s">
        <v>1483</v>
      </c>
      <c r="D460" s="135" t="s">
        <v>1484</v>
      </c>
      <c r="E460" s="136"/>
      <c r="F460" s="137" t="s">
        <v>860</v>
      </c>
      <c r="G460" s="137" t="s">
        <v>630</v>
      </c>
      <c r="H460" s="137" t="s">
        <v>631</v>
      </c>
      <c r="I460" s="39"/>
      <c r="J460" s="39"/>
      <c r="K460" s="39"/>
      <c r="L460" s="39"/>
      <c r="M460" s="39"/>
      <c r="N460" s="39"/>
      <c r="O460" s="39"/>
      <c r="P460" s="39"/>
      <c r="Q460" s="39"/>
      <c r="R460" s="40"/>
      <c r="S460" s="40"/>
      <c r="T460" s="41">
        <v>0.8</v>
      </c>
      <c r="U460" s="42" t="s">
        <v>1485</v>
      </c>
      <c r="V460" s="42"/>
      <c r="W460" s="43"/>
      <c r="X460" s="44"/>
      <c r="Y460" s="4"/>
      <c r="Z460" s="45"/>
      <c r="AA460" s="45"/>
      <c r="AB460" s="4"/>
    </row>
    <row r="461" spans="1:28" ht="90">
      <c r="A461" s="126" t="s">
        <v>1575</v>
      </c>
      <c r="B461" s="118"/>
      <c r="C461" s="139"/>
      <c r="D461" s="139"/>
      <c r="E461" s="140"/>
      <c r="F461" s="137" t="s">
        <v>863</v>
      </c>
      <c r="G461" s="137" t="s">
        <v>772</v>
      </c>
      <c r="H461" s="137" t="s">
        <v>668</v>
      </c>
      <c r="I461" s="39"/>
      <c r="J461" s="39"/>
      <c r="K461" s="39"/>
      <c r="L461" s="39"/>
      <c r="M461" s="39"/>
      <c r="N461" s="39"/>
      <c r="O461" s="39"/>
      <c r="P461" s="39"/>
      <c r="Q461" s="39"/>
      <c r="R461" s="40"/>
      <c r="S461" s="40"/>
      <c r="T461" s="41"/>
      <c r="U461" s="42"/>
      <c r="V461" s="42"/>
      <c r="W461" s="43"/>
      <c r="X461" s="44"/>
      <c r="Y461" s="4"/>
      <c r="Z461" s="45"/>
      <c r="AA461" s="45"/>
      <c r="AB461" s="4"/>
    </row>
    <row r="462" spans="1:28" ht="409.6">
      <c r="A462" s="126" t="s">
        <v>1577</v>
      </c>
      <c r="B462" s="115" t="s">
        <v>1578</v>
      </c>
      <c r="C462" s="119" t="s">
        <v>1509</v>
      </c>
      <c r="D462" s="119" t="s">
        <v>1510</v>
      </c>
      <c r="E462" s="123"/>
      <c r="F462" s="116" t="s">
        <v>860</v>
      </c>
      <c r="G462" s="116" t="s">
        <v>1511</v>
      </c>
      <c r="H462" s="116" t="s">
        <v>1512</v>
      </c>
      <c r="I462" s="39"/>
      <c r="J462" s="39"/>
      <c r="K462" s="39"/>
      <c r="L462" s="39"/>
      <c r="M462" s="39"/>
      <c r="N462" s="39"/>
      <c r="O462" s="39"/>
      <c r="P462" s="39"/>
      <c r="Q462" s="39"/>
      <c r="R462" s="40"/>
      <c r="S462" s="40"/>
      <c r="T462" s="41"/>
      <c r="U462" s="42"/>
      <c r="V462" s="42"/>
      <c r="W462" s="43"/>
      <c r="X462" s="44"/>
      <c r="Y462" s="4"/>
      <c r="Z462" s="45"/>
      <c r="AA462" s="45"/>
      <c r="AB462" s="4"/>
    </row>
    <row r="463" spans="1:28" ht="409.6">
      <c r="A463" s="126" t="s">
        <v>1577</v>
      </c>
      <c r="B463" s="118"/>
      <c r="C463" s="121"/>
      <c r="D463" s="121"/>
      <c r="E463" s="132"/>
      <c r="F463" s="116" t="s">
        <v>863</v>
      </c>
      <c r="G463" s="116" t="s">
        <v>1513</v>
      </c>
      <c r="H463" s="116" t="s">
        <v>1512</v>
      </c>
      <c r="I463" s="39"/>
      <c r="J463" s="39"/>
      <c r="K463" s="39"/>
      <c r="L463" s="39"/>
      <c r="M463" s="39"/>
      <c r="N463" s="39"/>
      <c r="O463" s="39"/>
      <c r="P463" s="39"/>
      <c r="Q463" s="39"/>
      <c r="R463" s="40"/>
      <c r="S463" s="40"/>
      <c r="T463" s="41"/>
      <c r="U463" s="42"/>
      <c r="V463" s="42"/>
      <c r="W463" s="43"/>
      <c r="X463" s="44"/>
      <c r="Y463" s="4"/>
      <c r="Z463" s="45"/>
      <c r="AA463" s="45"/>
      <c r="AB463" s="4"/>
    </row>
    <row r="464" spans="1:28" ht="30">
      <c r="A464" s="126" t="s">
        <v>1579</v>
      </c>
      <c r="B464" s="119" t="s">
        <v>1580</v>
      </c>
      <c r="C464" s="119" t="s">
        <v>1581</v>
      </c>
      <c r="D464" s="119" t="s">
        <v>1582</v>
      </c>
      <c r="E464" s="123"/>
      <c r="F464" s="116" t="s">
        <v>860</v>
      </c>
      <c r="G464" s="116" t="s">
        <v>735</v>
      </c>
      <c r="H464" s="116" t="s">
        <v>736</v>
      </c>
      <c r="I464" s="39"/>
      <c r="J464" s="39"/>
      <c r="K464" s="39"/>
      <c r="L464" s="39"/>
      <c r="M464" s="39"/>
      <c r="N464" s="39"/>
      <c r="O464" s="39"/>
      <c r="P464" s="39"/>
      <c r="Q464" s="39"/>
      <c r="R464" s="40"/>
      <c r="S464" s="40"/>
      <c r="T464" s="41"/>
      <c r="U464" s="42"/>
      <c r="V464" s="42"/>
      <c r="W464" s="43"/>
      <c r="X464" s="44"/>
      <c r="Y464" s="4"/>
      <c r="Z464" s="45"/>
      <c r="AA464" s="45"/>
      <c r="AB464" s="4"/>
    </row>
    <row r="465" spans="1:28" ht="30">
      <c r="A465" s="126" t="s">
        <v>1579</v>
      </c>
      <c r="B465" s="120"/>
      <c r="C465" s="120"/>
      <c r="D465" s="120"/>
      <c r="E465" s="131"/>
      <c r="F465" s="116" t="s">
        <v>863</v>
      </c>
      <c r="G465" s="116" t="s">
        <v>1583</v>
      </c>
      <c r="H465" s="116" t="s">
        <v>1584</v>
      </c>
      <c r="I465" s="39"/>
      <c r="J465" s="39"/>
      <c r="K465" s="39"/>
      <c r="L465" s="39"/>
      <c r="M465" s="39"/>
      <c r="N465" s="39"/>
      <c r="O465" s="39"/>
      <c r="P465" s="39"/>
      <c r="Q465" s="39"/>
      <c r="R465" s="40"/>
      <c r="S465" s="40"/>
      <c r="T465" s="41"/>
      <c r="U465" s="42"/>
      <c r="V465" s="42"/>
      <c r="W465" s="43"/>
      <c r="X465" s="44"/>
      <c r="Y465" s="4"/>
      <c r="Z465" s="45"/>
      <c r="AA465" s="45"/>
      <c r="AB465" s="4"/>
    </row>
    <row r="466" spans="1:28" ht="45">
      <c r="A466" s="126" t="s">
        <v>1579</v>
      </c>
      <c r="B466" s="120"/>
      <c r="C466" s="120"/>
      <c r="D466" s="120"/>
      <c r="E466" s="131"/>
      <c r="F466" s="116" t="s">
        <v>865</v>
      </c>
      <c r="G466" s="116" t="s">
        <v>1585</v>
      </c>
      <c r="H466" s="116" t="s">
        <v>1586</v>
      </c>
      <c r="I466" s="39"/>
      <c r="J466" s="39"/>
      <c r="K466" s="39"/>
      <c r="L466" s="39"/>
      <c r="M466" s="39"/>
      <c r="N466" s="39"/>
      <c r="O466" s="39"/>
      <c r="P466" s="39"/>
      <c r="Q466" s="39"/>
      <c r="R466" s="40"/>
      <c r="S466" s="40"/>
      <c r="T466" s="41"/>
      <c r="U466" s="42"/>
      <c r="V466" s="42"/>
      <c r="W466" s="43"/>
      <c r="X466" s="44"/>
      <c r="Y466" s="4"/>
      <c r="Z466" s="45"/>
      <c r="AA466" s="45"/>
      <c r="AB466" s="4"/>
    </row>
    <row r="467" spans="1:28" ht="30">
      <c r="A467" s="126" t="s">
        <v>1579</v>
      </c>
      <c r="B467" s="121"/>
      <c r="C467" s="121"/>
      <c r="D467" s="121"/>
      <c r="E467" s="132"/>
      <c r="F467" s="116" t="s">
        <v>867</v>
      </c>
      <c r="G467" s="116" t="s">
        <v>738</v>
      </c>
      <c r="H467" s="116" t="s">
        <v>739</v>
      </c>
      <c r="I467" s="39"/>
      <c r="J467" s="39"/>
      <c r="K467" s="39"/>
      <c r="L467" s="39"/>
      <c r="M467" s="39"/>
      <c r="N467" s="39"/>
      <c r="O467" s="39"/>
      <c r="P467" s="39"/>
      <c r="Q467" s="39"/>
      <c r="R467" s="40"/>
      <c r="S467" s="40"/>
      <c r="T467" s="41"/>
      <c r="U467" s="42"/>
      <c r="V467" s="42"/>
      <c r="W467" s="43"/>
      <c r="X467" s="44"/>
      <c r="Y467" s="4"/>
      <c r="Z467" s="45"/>
      <c r="AA467" s="45"/>
      <c r="AB467" s="4"/>
    </row>
    <row r="468" spans="1:28" ht="342">
      <c r="A468" s="126" t="s">
        <v>1587</v>
      </c>
      <c r="B468" s="116" t="s">
        <v>1588</v>
      </c>
      <c r="C468" s="116" t="s">
        <v>1589</v>
      </c>
      <c r="D468" s="116" t="s">
        <v>1590</v>
      </c>
      <c r="E468" s="116"/>
      <c r="F468" s="116" t="s">
        <v>860</v>
      </c>
      <c r="G468" s="116" t="s">
        <v>1591</v>
      </c>
      <c r="H468" s="116" t="s">
        <v>1592</v>
      </c>
      <c r="I468" s="39"/>
      <c r="J468" s="39"/>
      <c r="K468" s="39"/>
      <c r="L468" s="39"/>
      <c r="M468" s="39"/>
      <c r="N468" s="39"/>
      <c r="O468" s="39"/>
      <c r="P468" s="39"/>
      <c r="Q468" s="39"/>
      <c r="R468" s="40"/>
      <c r="S468" s="40"/>
      <c r="T468" s="41"/>
      <c r="U468" s="42"/>
      <c r="V468" s="42"/>
      <c r="W468" s="43"/>
      <c r="X468" s="44"/>
      <c r="Y468" s="4"/>
      <c r="Z468" s="45"/>
      <c r="AA468" s="45"/>
      <c r="AB468" s="4"/>
    </row>
    <row r="469" spans="1:28" ht="195">
      <c r="A469" s="126" t="s">
        <v>1593</v>
      </c>
      <c r="B469" s="119" t="s">
        <v>1594</v>
      </c>
      <c r="C469" s="119" t="s">
        <v>1595</v>
      </c>
      <c r="D469" s="119" t="s">
        <v>1596</v>
      </c>
      <c r="E469" s="123"/>
      <c r="F469" s="116" t="s">
        <v>860</v>
      </c>
      <c r="G469" s="116" t="s">
        <v>1596</v>
      </c>
      <c r="H469" s="116" t="s">
        <v>1595</v>
      </c>
      <c r="I469" s="39"/>
      <c r="J469" s="39"/>
      <c r="K469" s="39"/>
      <c r="L469" s="39"/>
      <c r="M469" s="39"/>
      <c r="N469" s="39"/>
      <c r="O469" s="39"/>
      <c r="P469" s="39"/>
      <c r="Q469" s="39"/>
      <c r="R469" s="40"/>
      <c r="S469" s="40"/>
      <c r="T469" s="41">
        <v>0</v>
      </c>
      <c r="U469" s="42"/>
      <c r="V469" s="42"/>
      <c r="W469" s="43"/>
      <c r="X469" s="44"/>
      <c r="Y469" s="4"/>
      <c r="Z469" s="45"/>
      <c r="AA469" s="45"/>
      <c r="AB469" s="4"/>
    </row>
    <row r="470" spans="1:28" ht="195">
      <c r="A470" s="126" t="s">
        <v>1593</v>
      </c>
      <c r="B470" s="120"/>
      <c r="C470" s="120"/>
      <c r="D470" s="120"/>
      <c r="E470" s="131"/>
      <c r="F470" s="116" t="s">
        <v>863</v>
      </c>
      <c r="G470" s="116" t="s">
        <v>1596</v>
      </c>
      <c r="H470" s="116" t="s">
        <v>1595</v>
      </c>
      <c r="I470" s="39"/>
      <c r="J470" s="39"/>
      <c r="K470" s="39"/>
      <c r="L470" s="39"/>
      <c r="M470" s="39"/>
      <c r="N470" s="39"/>
      <c r="O470" s="39"/>
      <c r="P470" s="39"/>
      <c r="Q470" s="39"/>
      <c r="R470" s="40"/>
      <c r="S470" s="40"/>
      <c r="T470" s="41"/>
      <c r="U470" s="42"/>
      <c r="V470" s="42"/>
      <c r="W470" s="43"/>
      <c r="X470" s="44"/>
      <c r="Y470" s="4"/>
      <c r="Z470" s="45"/>
      <c r="AA470" s="45"/>
      <c r="AB470" s="4"/>
    </row>
    <row r="471" spans="1:28" ht="195">
      <c r="A471" s="126" t="s">
        <v>1593</v>
      </c>
      <c r="B471" s="121"/>
      <c r="C471" s="121"/>
      <c r="D471" s="121"/>
      <c r="E471" s="132"/>
      <c r="F471" s="116" t="s">
        <v>865</v>
      </c>
      <c r="G471" s="116" t="s">
        <v>1597</v>
      </c>
      <c r="H471" s="116" t="s">
        <v>1595</v>
      </c>
      <c r="I471" s="39"/>
      <c r="J471" s="39"/>
      <c r="K471" s="39"/>
      <c r="L471" s="39"/>
      <c r="M471" s="39"/>
      <c r="N471" s="39"/>
      <c r="O471" s="39"/>
      <c r="P471" s="39"/>
      <c r="Q471" s="39"/>
      <c r="R471" s="40"/>
      <c r="S471" s="40"/>
      <c r="T471" s="41"/>
      <c r="U471" s="42"/>
      <c r="V471" s="42"/>
      <c r="W471" s="43"/>
      <c r="X471" s="44"/>
      <c r="Y471" s="4"/>
      <c r="Z471" s="45"/>
      <c r="AA471" s="45"/>
      <c r="AB471" s="4"/>
    </row>
    <row r="472" spans="1:28" ht="90">
      <c r="A472" s="126" t="s">
        <v>1598</v>
      </c>
      <c r="B472" s="115" t="s">
        <v>1599</v>
      </c>
      <c r="C472" s="135" t="s">
        <v>1483</v>
      </c>
      <c r="D472" s="135" t="s">
        <v>1484</v>
      </c>
      <c r="E472" s="136"/>
      <c r="F472" s="137" t="s">
        <v>860</v>
      </c>
      <c r="G472" s="137" t="s">
        <v>772</v>
      </c>
      <c r="H472" s="137" t="s">
        <v>668</v>
      </c>
      <c r="I472" s="39"/>
      <c r="J472" s="39"/>
      <c r="K472" s="39"/>
      <c r="L472" s="39"/>
      <c r="M472" s="39"/>
      <c r="N472" s="39"/>
      <c r="O472" s="39"/>
      <c r="P472" s="39"/>
      <c r="Q472" s="39"/>
      <c r="R472" s="40"/>
      <c r="S472" s="40"/>
      <c r="T472" s="41"/>
      <c r="U472" s="42"/>
      <c r="V472" s="42"/>
      <c r="W472" s="43"/>
      <c r="X472" s="44"/>
      <c r="Y472" s="4"/>
      <c r="Z472" s="45"/>
      <c r="AA472" s="45"/>
      <c r="AB472" s="4"/>
    </row>
    <row r="473" spans="1:28" ht="45">
      <c r="A473" s="126" t="s">
        <v>1598</v>
      </c>
      <c r="B473" s="118"/>
      <c r="C473" s="139"/>
      <c r="D473" s="139"/>
      <c r="E473" s="140"/>
      <c r="F473" s="137" t="s">
        <v>863</v>
      </c>
      <c r="G473" s="137" t="s">
        <v>630</v>
      </c>
      <c r="H473" s="137" t="s">
        <v>631</v>
      </c>
      <c r="I473" s="39"/>
      <c r="J473" s="39"/>
      <c r="K473" s="39"/>
      <c r="L473" s="39"/>
      <c r="M473" s="39"/>
      <c r="N473" s="39"/>
      <c r="O473" s="39"/>
      <c r="P473" s="39"/>
      <c r="Q473" s="39"/>
      <c r="R473" s="40"/>
      <c r="S473" s="40"/>
      <c r="T473" s="41"/>
      <c r="U473" s="42"/>
      <c r="V473" s="42"/>
      <c r="W473" s="43"/>
      <c r="X473" s="44"/>
      <c r="Y473" s="4"/>
      <c r="Z473" s="45"/>
      <c r="AA473" s="45"/>
      <c r="AB473" s="4"/>
    </row>
    <row r="474" spans="1:28" ht="90">
      <c r="A474" s="126" t="s">
        <v>1600</v>
      </c>
      <c r="B474" s="115" t="s">
        <v>1601</v>
      </c>
      <c r="C474" s="135" t="s">
        <v>1483</v>
      </c>
      <c r="D474" s="135" t="s">
        <v>1484</v>
      </c>
      <c r="E474" s="136"/>
      <c r="F474" s="137" t="s">
        <v>860</v>
      </c>
      <c r="G474" s="137" t="s">
        <v>772</v>
      </c>
      <c r="H474" s="137" t="s">
        <v>668</v>
      </c>
      <c r="I474" s="39"/>
      <c r="J474" s="39"/>
      <c r="K474" s="39"/>
      <c r="L474" s="39"/>
      <c r="M474" s="39"/>
      <c r="N474" s="39"/>
      <c r="O474" s="39"/>
      <c r="P474" s="39"/>
      <c r="Q474" s="39"/>
      <c r="R474" s="40"/>
      <c r="S474" s="40"/>
      <c r="T474" s="41"/>
      <c r="U474" s="42"/>
      <c r="V474" s="42"/>
      <c r="W474" s="43"/>
      <c r="X474" s="44"/>
      <c r="Y474" s="4"/>
      <c r="Z474" s="45"/>
      <c r="AA474" s="45"/>
      <c r="AB474" s="4"/>
    </row>
    <row r="475" spans="1:28" ht="45">
      <c r="A475" s="126" t="s">
        <v>1600</v>
      </c>
      <c r="B475" s="118"/>
      <c r="C475" s="139"/>
      <c r="D475" s="139"/>
      <c r="E475" s="140"/>
      <c r="F475" s="137" t="s">
        <v>863</v>
      </c>
      <c r="G475" s="137" t="s">
        <v>630</v>
      </c>
      <c r="H475" s="137" t="s">
        <v>631</v>
      </c>
      <c r="I475" s="39"/>
      <c r="J475" s="39"/>
      <c r="K475" s="39"/>
      <c r="L475" s="39"/>
      <c r="M475" s="39"/>
      <c r="N475" s="39"/>
      <c r="O475" s="39"/>
      <c r="P475" s="39"/>
      <c r="Q475" s="39"/>
      <c r="R475" s="40"/>
      <c r="S475" s="40"/>
      <c r="T475" s="41"/>
      <c r="U475" s="42"/>
      <c r="V475" s="42"/>
      <c r="W475" s="43"/>
      <c r="X475" s="44"/>
      <c r="Y475" s="4"/>
      <c r="Z475" s="45"/>
      <c r="AA475" s="45"/>
      <c r="AB475" s="4"/>
    </row>
    <row r="476" spans="1:28" ht="64">
      <c r="A476" s="126" t="s">
        <v>1602</v>
      </c>
      <c r="B476" s="115" t="s">
        <v>1603</v>
      </c>
      <c r="C476" s="119" t="s">
        <v>1604</v>
      </c>
      <c r="D476" s="119" t="s">
        <v>1605</v>
      </c>
      <c r="E476" s="123"/>
      <c r="F476" s="116" t="s">
        <v>860</v>
      </c>
      <c r="G476" s="116" t="s">
        <v>1606</v>
      </c>
      <c r="H476" s="116" t="s">
        <v>1607</v>
      </c>
      <c r="I476" s="39"/>
      <c r="J476" s="39"/>
      <c r="K476" s="39"/>
      <c r="L476" s="39"/>
      <c r="M476" s="39"/>
      <c r="N476" s="39"/>
      <c r="O476" s="39"/>
      <c r="P476" s="39"/>
      <c r="Q476" s="39"/>
      <c r="R476" s="40"/>
      <c r="S476" s="40"/>
      <c r="T476" s="133">
        <v>0.33</v>
      </c>
      <c r="U476" s="42" t="s">
        <v>1608</v>
      </c>
      <c r="V476" s="42"/>
      <c r="W476" s="43"/>
      <c r="X476" s="44"/>
      <c r="Y476" s="4"/>
      <c r="Z476" s="45"/>
      <c r="AA476" s="45"/>
      <c r="AB476" s="4"/>
    </row>
    <row r="477" spans="1:28" ht="45">
      <c r="A477" s="126" t="s">
        <v>1602</v>
      </c>
      <c r="B477" s="117"/>
      <c r="C477" s="120"/>
      <c r="D477" s="120"/>
      <c r="E477" s="131"/>
      <c r="F477" s="116" t="s">
        <v>863</v>
      </c>
      <c r="G477" s="116" t="s">
        <v>1609</v>
      </c>
      <c r="H477" s="116" t="s">
        <v>1607</v>
      </c>
      <c r="I477" s="39"/>
      <c r="J477" s="39"/>
      <c r="K477" s="39"/>
      <c r="L477" s="39"/>
      <c r="M477" s="39"/>
      <c r="N477" s="39"/>
      <c r="O477" s="39"/>
      <c r="P477" s="39"/>
      <c r="Q477" s="39"/>
      <c r="R477" s="40"/>
      <c r="S477" s="40"/>
      <c r="T477" s="133"/>
      <c r="U477" s="42"/>
      <c r="V477" s="42"/>
      <c r="W477" s="43"/>
      <c r="X477" s="44"/>
      <c r="Y477" s="4"/>
      <c r="Z477" s="45"/>
      <c r="AA477" s="45"/>
      <c r="AB477" s="4"/>
    </row>
    <row r="478" spans="1:28" ht="45">
      <c r="A478" s="126" t="s">
        <v>1602</v>
      </c>
      <c r="B478" s="117"/>
      <c r="C478" s="120"/>
      <c r="D478" s="120"/>
      <c r="E478" s="131"/>
      <c r="F478" s="116" t="s">
        <v>865</v>
      </c>
      <c r="G478" s="116" t="s">
        <v>1610</v>
      </c>
      <c r="H478" s="116" t="s">
        <v>1607</v>
      </c>
      <c r="I478" s="39"/>
      <c r="J478" s="39"/>
      <c r="K478" s="39"/>
      <c r="L478" s="39"/>
      <c r="M478" s="39"/>
      <c r="N478" s="39"/>
      <c r="O478" s="39"/>
      <c r="P478" s="39"/>
      <c r="Q478" s="39"/>
      <c r="R478" s="40"/>
      <c r="S478" s="40"/>
      <c r="T478" s="133"/>
      <c r="U478" s="42"/>
      <c r="V478" s="42"/>
      <c r="W478" s="43"/>
      <c r="X478" s="44"/>
      <c r="Y478" s="4"/>
      <c r="Z478" s="45"/>
      <c r="AA478" s="45"/>
      <c r="AB478" s="4"/>
    </row>
    <row r="479" spans="1:28" ht="45">
      <c r="A479" s="126" t="s">
        <v>1602</v>
      </c>
      <c r="B479" s="118"/>
      <c r="C479" s="121"/>
      <c r="D479" s="121"/>
      <c r="E479" s="132"/>
      <c r="F479" s="116" t="s">
        <v>867</v>
      </c>
      <c r="G479" s="116" t="s">
        <v>1611</v>
      </c>
      <c r="H479" s="116" t="s">
        <v>1607</v>
      </c>
      <c r="I479" s="39"/>
      <c r="J479" s="39"/>
      <c r="K479" s="39"/>
      <c r="L479" s="39"/>
      <c r="M479" s="39"/>
      <c r="N479" s="39"/>
      <c r="O479" s="39"/>
      <c r="P479" s="39"/>
      <c r="Q479" s="39"/>
      <c r="R479" s="40"/>
      <c r="S479" s="40"/>
      <c r="T479" s="133"/>
      <c r="U479" s="42"/>
      <c r="V479" s="42"/>
      <c r="W479" s="43"/>
      <c r="X479" s="44"/>
      <c r="Y479" s="4"/>
      <c r="Z479" s="45"/>
      <c r="AA479" s="45"/>
      <c r="AB479" s="4"/>
    </row>
    <row r="480" spans="1:28" ht="120">
      <c r="A480" s="126" t="s">
        <v>1612</v>
      </c>
      <c r="B480" s="119" t="s">
        <v>1613</v>
      </c>
      <c r="C480" s="119" t="s">
        <v>1614</v>
      </c>
      <c r="D480" s="116" t="s">
        <v>1615</v>
      </c>
      <c r="E480" s="116"/>
      <c r="F480" s="116" t="s">
        <v>860</v>
      </c>
      <c r="G480" s="116" t="s">
        <v>1616</v>
      </c>
      <c r="H480" s="116" t="s">
        <v>1617</v>
      </c>
      <c r="I480" s="39"/>
      <c r="J480" s="39"/>
      <c r="K480" s="39"/>
      <c r="L480" s="39"/>
      <c r="M480" s="39"/>
      <c r="N480" s="39"/>
      <c r="O480" s="39"/>
      <c r="P480" s="39"/>
      <c r="Q480" s="39"/>
      <c r="R480" s="40"/>
      <c r="S480" s="40"/>
      <c r="T480" s="41" t="s">
        <v>293</v>
      </c>
      <c r="U480" s="42"/>
      <c r="V480" s="42"/>
      <c r="W480" s="43"/>
      <c r="X480" s="44"/>
      <c r="Y480" s="4"/>
      <c r="Z480" s="45"/>
      <c r="AA480" s="45"/>
      <c r="AB480" s="4"/>
    </row>
    <row r="481" spans="1:28" ht="120">
      <c r="A481" s="126" t="s">
        <v>1612</v>
      </c>
      <c r="B481" s="120"/>
      <c r="C481" s="120"/>
      <c r="D481" s="116" t="s">
        <v>1615</v>
      </c>
      <c r="E481" s="116"/>
      <c r="F481" s="116" t="s">
        <v>863</v>
      </c>
      <c r="G481" s="116" t="s">
        <v>1618</v>
      </c>
      <c r="H481" s="116" t="s">
        <v>1617</v>
      </c>
      <c r="I481" s="39"/>
      <c r="J481" s="39"/>
      <c r="K481" s="39"/>
      <c r="L481" s="39"/>
      <c r="M481" s="39"/>
      <c r="N481" s="39"/>
      <c r="O481" s="39"/>
      <c r="P481" s="39"/>
      <c r="Q481" s="39"/>
      <c r="R481" s="40"/>
      <c r="S481" s="40"/>
      <c r="T481" s="41"/>
      <c r="U481" s="42"/>
      <c r="V481" s="42"/>
      <c r="W481" s="43"/>
      <c r="X481" s="44"/>
      <c r="Y481" s="4"/>
      <c r="Z481" s="45"/>
      <c r="AA481" s="45"/>
      <c r="AB481" s="4"/>
    </row>
    <row r="482" spans="1:28" ht="120">
      <c r="A482" s="126" t="s">
        <v>1612</v>
      </c>
      <c r="B482" s="121"/>
      <c r="C482" s="121"/>
      <c r="D482" s="116" t="s">
        <v>1615</v>
      </c>
      <c r="E482" s="116"/>
      <c r="F482" s="116" t="s">
        <v>865</v>
      </c>
      <c r="G482" s="116" t="s">
        <v>1619</v>
      </c>
      <c r="H482" s="116" t="s">
        <v>1617</v>
      </c>
      <c r="I482" s="39"/>
      <c r="J482" s="39"/>
      <c r="K482" s="39"/>
      <c r="L482" s="39"/>
      <c r="M482" s="39"/>
      <c r="N482" s="39"/>
      <c r="O482" s="39"/>
      <c r="P482" s="39"/>
      <c r="Q482" s="39"/>
      <c r="R482" s="40"/>
      <c r="S482" s="40"/>
      <c r="T482" s="41"/>
      <c r="U482" s="42"/>
      <c r="V482" s="42"/>
      <c r="W482" s="43"/>
      <c r="X482" s="44"/>
      <c r="Y482" s="4"/>
      <c r="Z482" s="45"/>
      <c r="AA482" s="45"/>
      <c r="AB482" s="4"/>
    </row>
    <row r="483" spans="1:28" ht="75">
      <c r="A483" s="126" t="s">
        <v>1620</v>
      </c>
      <c r="B483" s="119" t="s">
        <v>1621</v>
      </c>
      <c r="C483" s="119" t="s">
        <v>1622</v>
      </c>
      <c r="D483" s="119" t="s">
        <v>1623</v>
      </c>
      <c r="E483" s="123"/>
      <c r="F483" s="116" t="s">
        <v>860</v>
      </c>
      <c r="G483" s="116" t="s">
        <v>1624</v>
      </c>
      <c r="H483" s="116" t="s">
        <v>1625</v>
      </c>
      <c r="I483" s="39"/>
      <c r="J483" s="39"/>
      <c r="K483" s="39"/>
      <c r="L483" s="39"/>
      <c r="M483" s="39"/>
      <c r="N483" s="39"/>
      <c r="O483" s="39"/>
      <c r="P483" s="39"/>
      <c r="Q483" s="39"/>
      <c r="R483" s="40"/>
      <c r="S483" s="40"/>
      <c r="T483" s="133">
        <v>1</v>
      </c>
      <c r="U483" s="42"/>
      <c r="V483" s="42"/>
      <c r="W483" s="43"/>
      <c r="X483" s="44"/>
      <c r="Y483" s="4"/>
      <c r="Z483" s="45"/>
      <c r="AA483" s="45"/>
      <c r="AB483" s="4"/>
    </row>
    <row r="484" spans="1:28" ht="75">
      <c r="A484" s="126" t="s">
        <v>1620</v>
      </c>
      <c r="B484" s="120"/>
      <c r="C484" s="120"/>
      <c r="D484" s="120"/>
      <c r="E484" s="131"/>
      <c r="F484" s="116" t="s">
        <v>863</v>
      </c>
      <c r="G484" s="116" t="s">
        <v>1626</v>
      </c>
      <c r="H484" s="116" t="s">
        <v>1627</v>
      </c>
      <c r="I484" s="39"/>
      <c r="J484" s="39"/>
      <c r="K484" s="39"/>
      <c r="L484" s="39"/>
      <c r="M484" s="39"/>
      <c r="N484" s="39"/>
      <c r="O484" s="39"/>
      <c r="P484" s="39"/>
      <c r="Q484" s="39"/>
      <c r="R484" s="40"/>
      <c r="S484" s="40"/>
      <c r="T484" s="133"/>
      <c r="U484" s="42"/>
      <c r="V484" s="42"/>
      <c r="W484" s="43"/>
      <c r="X484" s="44"/>
      <c r="Y484" s="4"/>
      <c r="Z484" s="45"/>
      <c r="AA484" s="45"/>
      <c r="AB484" s="4"/>
    </row>
    <row r="485" spans="1:28" ht="75">
      <c r="A485" s="126" t="s">
        <v>1620</v>
      </c>
      <c r="B485" s="120"/>
      <c r="C485" s="120"/>
      <c r="D485" s="120"/>
      <c r="E485" s="131"/>
      <c r="F485" s="116" t="s">
        <v>865</v>
      </c>
      <c r="G485" s="116" t="s">
        <v>1628</v>
      </c>
      <c r="H485" s="116" t="s">
        <v>1629</v>
      </c>
      <c r="I485" s="39"/>
      <c r="J485" s="39"/>
      <c r="K485" s="39"/>
      <c r="L485" s="39"/>
      <c r="M485" s="39"/>
      <c r="N485" s="39"/>
      <c r="O485" s="39"/>
      <c r="P485" s="39"/>
      <c r="Q485" s="39"/>
      <c r="R485" s="40"/>
      <c r="S485" s="40"/>
      <c r="T485" s="133"/>
      <c r="U485" s="42"/>
      <c r="V485" s="42"/>
      <c r="W485" s="43"/>
      <c r="X485" s="44"/>
      <c r="Y485" s="4"/>
      <c r="Z485" s="45"/>
      <c r="AA485" s="45"/>
      <c r="AB485" s="4"/>
    </row>
    <row r="486" spans="1:28" ht="75">
      <c r="A486" s="126" t="s">
        <v>1620</v>
      </c>
      <c r="B486" s="121"/>
      <c r="C486" s="121"/>
      <c r="D486" s="121"/>
      <c r="E486" s="132"/>
      <c r="F486" s="116" t="s">
        <v>867</v>
      </c>
      <c r="G486" s="116" t="s">
        <v>1630</v>
      </c>
      <c r="H486" s="116" t="s">
        <v>1631</v>
      </c>
      <c r="I486" s="39"/>
      <c r="J486" s="39"/>
      <c r="K486" s="39"/>
      <c r="L486" s="39"/>
      <c r="M486" s="39"/>
      <c r="N486" s="39"/>
      <c r="O486" s="39"/>
      <c r="P486" s="39"/>
      <c r="Q486" s="39"/>
      <c r="R486" s="40"/>
      <c r="S486" s="40"/>
      <c r="T486" s="133"/>
      <c r="U486" s="42"/>
      <c r="V486" s="42"/>
      <c r="W486" s="43"/>
      <c r="X486" s="44"/>
      <c r="Y486" s="4"/>
      <c r="Z486" s="45"/>
      <c r="AA486" s="45"/>
      <c r="AB486" s="4"/>
    </row>
    <row r="487" spans="1:28" ht="75">
      <c r="A487" s="126" t="s">
        <v>1632</v>
      </c>
      <c r="B487" s="119" t="s">
        <v>1633</v>
      </c>
      <c r="C487" s="119" t="s">
        <v>1634</v>
      </c>
      <c r="D487" s="119" t="s">
        <v>1635</v>
      </c>
      <c r="E487" s="123"/>
      <c r="F487" s="116" t="s">
        <v>860</v>
      </c>
      <c r="G487" s="116" t="s">
        <v>1626</v>
      </c>
      <c r="H487" s="116" t="s">
        <v>1627</v>
      </c>
      <c r="I487" s="39"/>
      <c r="J487" s="39"/>
      <c r="K487" s="39"/>
      <c r="L487" s="39"/>
      <c r="M487" s="39"/>
      <c r="N487" s="39"/>
      <c r="O487" s="39"/>
      <c r="P487" s="39"/>
      <c r="Q487" s="39"/>
      <c r="R487" s="40"/>
      <c r="S487" s="40"/>
      <c r="T487" s="133">
        <v>1</v>
      </c>
      <c r="U487" s="42"/>
      <c r="V487" s="42"/>
      <c r="W487" s="43"/>
      <c r="X487" s="44"/>
      <c r="Y487" s="4"/>
      <c r="Z487" s="45"/>
      <c r="AA487" s="45"/>
      <c r="AB487" s="4"/>
    </row>
    <row r="488" spans="1:28" ht="75">
      <c r="A488" s="126" t="s">
        <v>1632</v>
      </c>
      <c r="B488" s="120"/>
      <c r="C488" s="120"/>
      <c r="D488" s="120"/>
      <c r="E488" s="131"/>
      <c r="F488" s="116" t="s">
        <v>863</v>
      </c>
      <c r="G488" s="116" t="s">
        <v>1628</v>
      </c>
      <c r="H488" s="116" t="s">
        <v>1629</v>
      </c>
      <c r="I488" s="39"/>
      <c r="J488" s="39"/>
      <c r="K488" s="39"/>
      <c r="L488" s="39"/>
      <c r="M488" s="39"/>
      <c r="N488" s="39"/>
      <c r="O488" s="39"/>
      <c r="P488" s="39"/>
      <c r="Q488" s="39"/>
      <c r="R488" s="40"/>
      <c r="S488" s="40"/>
      <c r="T488" s="133"/>
      <c r="U488" s="42"/>
      <c r="V488" s="42"/>
      <c r="W488" s="43"/>
      <c r="X488" s="44"/>
      <c r="Y488" s="4"/>
      <c r="Z488" s="45"/>
      <c r="AA488" s="45"/>
      <c r="AB488" s="4"/>
    </row>
    <row r="489" spans="1:28" ht="75">
      <c r="A489" s="126" t="s">
        <v>1632</v>
      </c>
      <c r="B489" s="120"/>
      <c r="C489" s="120"/>
      <c r="D489" s="120"/>
      <c r="E489" s="131"/>
      <c r="F489" s="116" t="s">
        <v>865</v>
      </c>
      <c r="G489" s="116" t="s">
        <v>1624</v>
      </c>
      <c r="H489" s="116" t="s">
        <v>1625</v>
      </c>
      <c r="I489" s="39"/>
      <c r="J489" s="39"/>
      <c r="K489" s="39"/>
      <c r="L489" s="39"/>
      <c r="M489" s="39"/>
      <c r="N489" s="39"/>
      <c r="O489" s="39"/>
      <c r="P489" s="39"/>
      <c r="Q489" s="39"/>
      <c r="R489" s="40"/>
      <c r="S489" s="40"/>
      <c r="T489" s="133"/>
      <c r="U489" s="42"/>
      <c r="V489" s="42"/>
      <c r="W489" s="43"/>
      <c r="X489" s="44"/>
      <c r="Y489" s="4"/>
      <c r="Z489" s="45"/>
      <c r="AA489" s="45"/>
      <c r="AB489" s="4"/>
    </row>
    <row r="490" spans="1:28" ht="75">
      <c r="A490" s="126" t="s">
        <v>1632</v>
      </c>
      <c r="B490" s="121"/>
      <c r="C490" s="121"/>
      <c r="D490" s="121"/>
      <c r="E490" s="132"/>
      <c r="F490" s="116" t="s">
        <v>867</v>
      </c>
      <c r="G490" s="116" t="s">
        <v>1636</v>
      </c>
      <c r="H490" s="116" t="s">
        <v>1637</v>
      </c>
      <c r="I490" s="39"/>
      <c r="J490" s="39"/>
      <c r="K490" s="39"/>
      <c r="L490" s="39"/>
      <c r="M490" s="39"/>
      <c r="N490" s="39"/>
      <c r="O490" s="39"/>
      <c r="P490" s="39"/>
      <c r="Q490" s="39"/>
      <c r="R490" s="40"/>
      <c r="S490" s="40"/>
      <c r="T490" s="133"/>
      <c r="U490" s="42"/>
      <c r="V490" s="42"/>
      <c r="W490" s="43"/>
      <c r="X490" s="44"/>
      <c r="Y490" s="4"/>
      <c r="Z490" s="45"/>
      <c r="AA490" s="45"/>
      <c r="AB490" s="4"/>
    </row>
    <row r="491" spans="1:28" ht="409.6">
      <c r="A491" s="126" t="s">
        <v>1638</v>
      </c>
      <c r="B491" s="115" t="s">
        <v>1639</v>
      </c>
      <c r="C491" s="119" t="s">
        <v>1640</v>
      </c>
      <c r="D491" s="116" t="s">
        <v>1641</v>
      </c>
      <c r="E491" s="116"/>
      <c r="F491" s="116" t="s">
        <v>860</v>
      </c>
      <c r="G491" s="116" t="s">
        <v>1626</v>
      </c>
      <c r="H491" s="116" t="s">
        <v>1627</v>
      </c>
      <c r="I491" s="39"/>
      <c r="J491" s="39"/>
      <c r="K491" s="39"/>
      <c r="L491" s="39"/>
      <c r="M491" s="39"/>
      <c r="N491" s="39"/>
      <c r="O491" s="39"/>
      <c r="P491" s="39"/>
      <c r="Q491" s="39"/>
      <c r="R491" s="40"/>
      <c r="S491" s="40"/>
      <c r="T491" s="133">
        <v>1</v>
      </c>
      <c r="U491" s="42"/>
      <c r="V491" s="42"/>
      <c r="W491" s="43"/>
      <c r="X491" s="44"/>
      <c r="Y491" s="4"/>
      <c r="Z491" s="45"/>
      <c r="AA491" s="45"/>
      <c r="AB491" s="4"/>
    </row>
    <row r="492" spans="1:28" ht="409.6">
      <c r="A492" s="126" t="s">
        <v>1638</v>
      </c>
      <c r="B492" s="117"/>
      <c r="C492" s="120"/>
      <c r="D492" s="116" t="s">
        <v>1641</v>
      </c>
      <c r="E492" s="116"/>
      <c r="F492" s="116" t="s">
        <v>863</v>
      </c>
      <c r="G492" s="116" t="s">
        <v>1642</v>
      </c>
      <c r="H492" s="116" t="s">
        <v>1643</v>
      </c>
      <c r="I492" s="39"/>
      <c r="J492" s="39"/>
      <c r="K492" s="39"/>
      <c r="L492" s="39"/>
      <c r="M492" s="39"/>
      <c r="N492" s="39"/>
      <c r="O492" s="39"/>
      <c r="P492" s="39"/>
      <c r="Q492" s="39"/>
      <c r="R492" s="40"/>
      <c r="S492" s="40"/>
      <c r="T492" s="133"/>
      <c r="U492" s="42"/>
      <c r="V492" s="42"/>
      <c r="W492" s="43"/>
      <c r="X492" s="44"/>
      <c r="Y492" s="4"/>
      <c r="Z492" s="45"/>
      <c r="AA492" s="45"/>
      <c r="AB492" s="4"/>
    </row>
    <row r="493" spans="1:28" ht="409.6">
      <c r="A493" s="126" t="s">
        <v>1638</v>
      </c>
      <c r="B493" s="117"/>
      <c r="C493" s="120"/>
      <c r="D493" s="116" t="s">
        <v>1641</v>
      </c>
      <c r="E493" s="116"/>
      <c r="F493" s="116" t="s">
        <v>865</v>
      </c>
      <c r="G493" s="116" t="s">
        <v>1628</v>
      </c>
      <c r="H493" s="116" t="s">
        <v>1629</v>
      </c>
      <c r="I493" s="39"/>
      <c r="J493" s="39"/>
      <c r="K493" s="39"/>
      <c r="L493" s="39"/>
      <c r="M493" s="39"/>
      <c r="N493" s="39"/>
      <c r="O493" s="39"/>
      <c r="P493" s="39"/>
      <c r="Q493" s="39"/>
      <c r="R493" s="40"/>
      <c r="S493" s="40"/>
      <c r="T493" s="133"/>
      <c r="U493" s="42"/>
      <c r="V493" s="42"/>
      <c r="W493" s="43"/>
      <c r="X493" s="44"/>
      <c r="Y493" s="4"/>
      <c r="Z493" s="45"/>
      <c r="AA493" s="45"/>
      <c r="AB493" s="4"/>
    </row>
    <row r="494" spans="1:28" ht="409.6">
      <c r="A494" s="126" t="s">
        <v>1638</v>
      </c>
      <c r="B494" s="118"/>
      <c r="C494" s="121"/>
      <c r="D494" s="116" t="s">
        <v>1641</v>
      </c>
      <c r="E494" s="116"/>
      <c r="F494" s="116" t="s">
        <v>867</v>
      </c>
      <c r="G494" s="116" t="s">
        <v>1624</v>
      </c>
      <c r="H494" s="116" t="s">
        <v>1625</v>
      </c>
      <c r="I494" s="39"/>
      <c r="J494" s="39"/>
      <c r="K494" s="39"/>
      <c r="L494" s="39"/>
      <c r="M494" s="39"/>
      <c r="N494" s="39"/>
      <c r="O494" s="39"/>
      <c r="P494" s="39"/>
      <c r="Q494" s="39"/>
      <c r="R494" s="40"/>
      <c r="S494" s="40"/>
      <c r="T494" s="133"/>
      <c r="U494" s="42"/>
      <c r="V494" s="42"/>
      <c r="W494" s="43"/>
      <c r="X494" s="44"/>
      <c r="Y494" s="4"/>
      <c r="Z494" s="45"/>
      <c r="AA494" s="45"/>
      <c r="AB494" s="4"/>
    </row>
    <row r="495" spans="1:28" ht="255">
      <c r="A495" s="126" t="s">
        <v>1644</v>
      </c>
      <c r="B495" s="119" t="s">
        <v>1645</v>
      </c>
      <c r="C495" s="135" t="s">
        <v>804</v>
      </c>
      <c r="D495" s="137" t="s">
        <v>1646</v>
      </c>
      <c r="E495" s="137"/>
      <c r="F495" s="137" t="s">
        <v>860</v>
      </c>
      <c r="G495" s="137" t="s">
        <v>807</v>
      </c>
      <c r="H495" s="137" t="s">
        <v>808</v>
      </c>
      <c r="I495" s="39"/>
      <c r="J495" s="39"/>
      <c r="K495" s="39"/>
      <c r="L495" s="39"/>
      <c r="M495" s="39"/>
      <c r="N495" s="39"/>
      <c r="O495" s="39"/>
      <c r="P495" s="39"/>
      <c r="Q495" s="39"/>
      <c r="R495" s="40"/>
      <c r="S495" s="40"/>
      <c r="T495" s="41"/>
      <c r="U495" s="42"/>
      <c r="V495" s="42"/>
      <c r="W495" s="43"/>
      <c r="X495" s="44"/>
      <c r="Y495" s="4"/>
      <c r="Z495" s="45"/>
      <c r="AA495" s="45"/>
      <c r="AB495" s="4"/>
    </row>
    <row r="496" spans="1:28" ht="255">
      <c r="A496" s="126" t="s">
        <v>1644</v>
      </c>
      <c r="B496" s="121"/>
      <c r="C496" s="139"/>
      <c r="D496" s="137" t="s">
        <v>1646</v>
      </c>
      <c r="E496" s="137"/>
      <c r="F496" s="137" t="s">
        <v>863</v>
      </c>
      <c r="G496" s="137" t="s">
        <v>811</v>
      </c>
      <c r="H496" s="137" t="s">
        <v>812</v>
      </c>
      <c r="I496" s="39"/>
      <c r="J496" s="39"/>
      <c r="K496" s="39"/>
      <c r="L496" s="39"/>
      <c r="M496" s="39"/>
      <c r="N496" s="39"/>
      <c r="O496" s="39"/>
      <c r="P496" s="39"/>
      <c r="Q496" s="39"/>
      <c r="R496" s="40"/>
      <c r="S496" s="40"/>
      <c r="T496" s="41"/>
      <c r="U496" s="42"/>
      <c r="V496" s="42"/>
      <c r="W496" s="43"/>
      <c r="X496" s="44"/>
      <c r="Y496" s="4"/>
      <c r="Z496" s="45"/>
      <c r="AA496" s="45"/>
      <c r="AB496" s="4"/>
    </row>
    <row r="497" spans="1:28" ht="409.6">
      <c r="A497" s="126" t="s">
        <v>1647</v>
      </c>
      <c r="B497" s="115" t="s">
        <v>1648</v>
      </c>
      <c r="C497" s="119" t="s">
        <v>804</v>
      </c>
      <c r="D497" s="116" t="s">
        <v>805</v>
      </c>
      <c r="E497" s="116"/>
      <c r="F497" s="116" t="s">
        <v>860</v>
      </c>
      <c r="G497" s="116" t="s">
        <v>811</v>
      </c>
      <c r="H497" s="116" t="s">
        <v>812</v>
      </c>
      <c r="I497" s="39"/>
      <c r="J497" s="39"/>
      <c r="K497" s="39"/>
      <c r="L497" s="39"/>
      <c r="M497" s="39"/>
      <c r="N497" s="39"/>
      <c r="O497" s="39"/>
      <c r="P497" s="39"/>
      <c r="Q497" s="39"/>
      <c r="R497" s="40"/>
      <c r="S497" s="40"/>
      <c r="T497" s="133">
        <v>0</v>
      </c>
      <c r="U497" s="42"/>
      <c r="V497" s="42"/>
      <c r="W497" s="43"/>
      <c r="X497" s="44"/>
      <c r="Y497" s="4"/>
      <c r="Z497" s="45"/>
      <c r="AA497" s="45"/>
      <c r="AB497" s="4"/>
    </row>
    <row r="498" spans="1:28" ht="409.6">
      <c r="A498" s="126" t="s">
        <v>1647</v>
      </c>
      <c r="B498" s="118"/>
      <c r="C498" s="121"/>
      <c r="D498" s="116" t="s">
        <v>805</v>
      </c>
      <c r="E498" s="116"/>
      <c r="F498" s="116" t="s">
        <v>863</v>
      </c>
      <c r="G498" s="116" t="s">
        <v>807</v>
      </c>
      <c r="H498" s="116" t="s">
        <v>808</v>
      </c>
      <c r="I498" s="39"/>
      <c r="J498" s="39"/>
      <c r="K498" s="39"/>
      <c r="L498" s="39"/>
      <c r="M498" s="39"/>
      <c r="N498" s="39"/>
      <c r="O498" s="39"/>
      <c r="P498" s="39"/>
      <c r="Q498" s="39"/>
      <c r="R498" s="40"/>
      <c r="S498" s="40"/>
      <c r="T498" s="133"/>
      <c r="U498" s="42"/>
      <c r="V498" s="42"/>
      <c r="W498" s="43"/>
      <c r="X498" s="44"/>
      <c r="Y498" s="4"/>
      <c r="Z498" s="45"/>
      <c r="AA498" s="45"/>
      <c r="AB498" s="4"/>
    </row>
    <row r="499" spans="1:28" ht="409.6">
      <c r="A499" s="126" t="s">
        <v>1649</v>
      </c>
      <c r="B499" s="115" t="s">
        <v>1650</v>
      </c>
      <c r="C499" s="135" t="s">
        <v>804</v>
      </c>
      <c r="D499" s="137" t="s">
        <v>805</v>
      </c>
      <c r="E499" s="137"/>
      <c r="F499" s="137" t="s">
        <v>860</v>
      </c>
      <c r="G499" s="137" t="s">
        <v>811</v>
      </c>
      <c r="H499" s="137" t="s">
        <v>812</v>
      </c>
      <c r="I499" s="39"/>
      <c r="J499" s="39"/>
      <c r="K499" s="39"/>
      <c r="L499" s="39"/>
      <c r="M499" s="39"/>
      <c r="N499" s="39"/>
      <c r="O499" s="39"/>
      <c r="P499" s="39"/>
      <c r="Q499" s="39"/>
      <c r="R499" s="40"/>
      <c r="S499" s="40"/>
      <c r="T499" s="41"/>
      <c r="U499" s="42"/>
      <c r="V499" s="42"/>
      <c r="W499" s="43"/>
      <c r="X499" s="44"/>
      <c r="Y499" s="4"/>
      <c r="Z499" s="45"/>
      <c r="AA499" s="45"/>
      <c r="AB499" s="4"/>
    </row>
    <row r="500" spans="1:28" ht="409.6">
      <c r="A500" s="126" t="s">
        <v>1649</v>
      </c>
      <c r="B500" s="118"/>
      <c r="C500" s="139"/>
      <c r="D500" s="137" t="s">
        <v>805</v>
      </c>
      <c r="E500" s="137"/>
      <c r="F500" s="137" t="s">
        <v>863</v>
      </c>
      <c r="G500" s="137" t="s">
        <v>807</v>
      </c>
      <c r="H500" s="137" t="s">
        <v>808</v>
      </c>
      <c r="I500" s="39"/>
      <c r="J500" s="39"/>
      <c r="K500" s="39"/>
      <c r="L500" s="39"/>
      <c r="M500" s="39"/>
      <c r="N500" s="39"/>
      <c r="O500" s="39"/>
      <c r="P500" s="39"/>
      <c r="Q500" s="39"/>
      <c r="R500" s="40"/>
      <c r="S500" s="40"/>
      <c r="T500" s="41"/>
      <c r="U500" s="42"/>
      <c r="V500" s="42"/>
      <c r="W500" s="43"/>
      <c r="X500" s="44"/>
      <c r="Y500" s="4"/>
      <c r="Z500" s="45"/>
      <c r="AA500" s="45"/>
      <c r="AB500" s="4"/>
    </row>
    <row r="501" spans="1:28" ht="165">
      <c r="A501" s="126" t="s">
        <v>1651</v>
      </c>
      <c r="B501" s="119" t="s">
        <v>1652</v>
      </c>
      <c r="C501" s="119" t="s">
        <v>1653</v>
      </c>
      <c r="D501" s="116" t="s">
        <v>1654</v>
      </c>
      <c r="E501" s="116"/>
      <c r="F501" s="116" t="s">
        <v>860</v>
      </c>
      <c r="G501" s="116" t="s">
        <v>1655</v>
      </c>
      <c r="H501" s="116" t="s">
        <v>1656</v>
      </c>
      <c r="I501" s="39"/>
      <c r="J501" s="39"/>
      <c r="K501" s="39"/>
      <c r="L501" s="39"/>
      <c r="M501" s="39"/>
      <c r="N501" s="39"/>
      <c r="O501" s="39"/>
      <c r="P501" s="39"/>
      <c r="Q501" s="39"/>
      <c r="R501" s="40"/>
      <c r="S501" s="40"/>
      <c r="T501" s="133"/>
      <c r="U501" s="42"/>
      <c r="V501" s="42"/>
      <c r="W501" s="43"/>
      <c r="X501" s="44"/>
      <c r="Y501" s="4"/>
      <c r="Z501" s="45"/>
      <c r="AA501" s="45"/>
      <c r="AB501" s="4"/>
    </row>
    <row r="502" spans="1:28" ht="356">
      <c r="A502" s="126" t="s">
        <v>1651</v>
      </c>
      <c r="B502" s="120"/>
      <c r="C502" s="120"/>
      <c r="D502" s="116" t="s">
        <v>1654</v>
      </c>
      <c r="E502" s="116"/>
      <c r="F502" s="116" t="s">
        <v>863</v>
      </c>
      <c r="G502" s="116" t="s">
        <v>547</v>
      </c>
      <c r="H502" s="116" t="s">
        <v>1657</v>
      </c>
      <c r="I502" s="39"/>
      <c r="J502" s="39"/>
      <c r="K502" s="39"/>
      <c r="L502" s="39"/>
      <c r="M502" s="39"/>
      <c r="N502" s="39"/>
      <c r="O502" s="39"/>
      <c r="P502" s="39"/>
      <c r="Q502" s="39"/>
      <c r="R502" s="40"/>
      <c r="S502" s="40"/>
      <c r="T502" s="133"/>
      <c r="U502" s="42"/>
      <c r="V502" s="42"/>
      <c r="W502" s="43"/>
      <c r="X502" s="44"/>
      <c r="Y502" s="4"/>
      <c r="Z502" s="45"/>
      <c r="AA502" s="45"/>
      <c r="AB502" s="4"/>
    </row>
    <row r="503" spans="1:28" ht="165">
      <c r="A503" s="126" t="s">
        <v>1651</v>
      </c>
      <c r="B503" s="121"/>
      <c r="C503" s="121"/>
      <c r="D503" s="116" t="s">
        <v>1654</v>
      </c>
      <c r="E503" s="116"/>
      <c r="F503" s="116" t="s">
        <v>865</v>
      </c>
      <c r="G503" s="116" t="s">
        <v>540</v>
      </c>
      <c r="H503" s="116" t="s">
        <v>1658</v>
      </c>
      <c r="I503" s="39"/>
      <c r="J503" s="39"/>
      <c r="K503" s="39"/>
      <c r="L503" s="39"/>
      <c r="M503" s="39"/>
      <c r="N503" s="39"/>
      <c r="O503" s="39"/>
      <c r="P503" s="39"/>
      <c r="Q503" s="39"/>
      <c r="R503" s="40"/>
      <c r="S503" s="40"/>
      <c r="T503" s="133"/>
      <c r="U503" s="42"/>
      <c r="V503" s="42"/>
      <c r="W503" s="43"/>
      <c r="X503" s="44"/>
      <c r="Y503" s="4"/>
      <c r="Z503" s="45"/>
      <c r="AA503" s="45"/>
      <c r="AB503" s="4"/>
    </row>
    <row r="504" spans="1:28" ht="409.6">
      <c r="A504" s="126" t="s">
        <v>1659</v>
      </c>
      <c r="B504" s="115" t="s">
        <v>1660</v>
      </c>
      <c r="C504" s="115" t="s">
        <v>804</v>
      </c>
      <c r="D504" s="116" t="s">
        <v>805</v>
      </c>
      <c r="E504" s="116"/>
      <c r="F504" s="116" t="s">
        <v>860</v>
      </c>
      <c r="G504" s="116" t="s">
        <v>811</v>
      </c>
      <c r="H504" s="116" t="s">
        <v>812</v>
      </c>
      <c r="I504" s="39"/>
      <c r="J504" s="39"/>
      <c r="K504" s="39"/>
      <c r="L504" s="39"/>
      <c r="M504" s="39"/>
      <c r="N504" s="39"/>
      <c r="O504" s="39"/>
      <c r="P504" s="39"/>
      <c r="Q504" s="39"/>
      <c r="R504" s="40"/>
      <c r="S504" s="40"/>
      <c r="T504" s="133">
        <v>0</v>
      </c>
      <c r="U504" s="42"/>
      <c r="V504" s="42"/>
      <c r="W504" s="43"/>
      <c r="X504" s="44"/>
      <c r="Y504" s="4"/>
      <c r="Z504" s="45"/>
      <c r="AA504" s="45"/>
      <c r="AB504" s="4"/>
    </row>
    <row r="505" spans="1:28" ht="409.6">
      <c r="A505" s="126" t="s">
        <v>1659</v>
      </c>
      <c r="B505" s="118"/>
      <c r="C505" s="118"/>
      <c r="D505" s="116" t="s">
        <v>805</v>
      </c>
      <c r="E505" s="116"/>
      <c r="F505" s="116" t="s">
        <v>863</v>
      </c>
      <c r="G505" s="116" t="s">
        <v>807</v>
      </c>
      <c r="H505" s="116" t="s">
        <v>808</v>
      </c>
      <c r="I505" s="39"/>
      <c r="J505" s="39"/>
      <c r="K505" s="39"/>
      <c r="L505" s="39"/>
      <c r="M505" s="39"/>
      <c r="N505" s="39"/>
      <c r="O505" s="39"/>
      <c r="P505" s="39"/>
      <c r="Q505" s="39"/>
      <c r="R505" s="40"/>
      <c r="S505" s="40"/>
      <c r="T505" s="133"/>
      <c r="U505" s="42"/>
      <c r="V505" s="42"/>
      <c r="W505" s="43"/>
      <c r="X505" s="44"/>
      <c r="Y505" s="4"/>
      <c r="Z505" s="45"/>
      <c r="AA505" s="45"/>
      <c r="AB505" s="4"/>
    </row>
    <row r="506" spans="1:28" ht="210">
      <c r="A506" s="126" t="s">
        <v>1661</v>
      </c>
      <c r="B506" s="119" t="s">
        <v>1662</v>
      </c>
      <c r="C506" s="119" t="s">
        <v>815</v>
      </c>
      <c r="D506" s="116" t="s">
        <v>816</v>
      </c>
      <c r="E506" s="116"/>
      <c r="F506" s="116" t="s">
        <v>860</v>
      </c>
      <c r="G506" s="116" t="s">
        <v>821</v>
      </c>
      <c r="H506" s="116" t="s">
        <v>818</v>
      </c>
      <c r="I506" s="39"/>
      <c r="J506" s="39"/>
      <c r="K506" s="39"/>
      <c r="L506" s="39"/>
      <c r="M506" s="39"/>
      <c r="N506" s="39"/>
      <c r="O506" s="39"/>
      <c r="P506" s="39"/>
      <c r="Q506" s="39"/>
      <c r="R506" s="40"/>
      <c r="S506" s="40"/>
      <c r="T506" s="41"/>
      <c r="U506" s="42"/>
      <c r="V506" s="42"/>
      <c r="W506" s="43"/>
      <c r="X506" s="44"/>
      <c r="Y506" s="4"/>
      <c r="Z506" s="45"/>
      <c r="AA506" s="45"/>
      <c r="AB506" s="4"/>
    </row>
    <row r="507" spans="1:28" ht="210">
      <c r="A507" s="126" t="s">
        <v>1661</v>
      </c>
      <c r="B507" s="120"/>
      <c r="C507" s="120"/>
      <c r="D507" s="116" t="s">
        <v>816</v>
      </c>
      <c r="E507" s="116"/>
      <c r="F507" s="116" t="s">
        <v>863</v>
      </c>
      <c r="G507" s="116" t="s">
        <v>817</v>
      </c>
      <c r="H507" s="116" t="s">
        <v>818</v>
      </c>
      <c r="I507" s="39"/>
      <c r="J507" s="39"/>
      <c r="K507" s="39"/>
      <c r="L507" s="39"/>
      <c r="M507" s="39"/>
      <c r="N507" s="39"/>
      <c r="O507" s="39"/>
      <c r="P507" s="39"/>
      <c r="Q507" s="39"/>
      <c r="R507" s="40"/>
      <c r="S507" s="40"/>
      <c r="T507" s="41"/>
      <c r="U507" s="42"/>
      <c r="V507" s="42"/>
      <c r="W507" s="43"/>
      <c r="X507" s="44"/>
      <c r="Y507" s="4"/>
      <c r="Z507" s="45"/>
      <c r="AA507" s="45"/>
      <c r="AB507" s="4"/>
    </row>
    <row r="508" spans="1:28" ht="210">
      <c r="A508" s="126" t="s">
        <v>1661</v>
      </c>
      <c r="B508" s="120"/>
      <c r="C508" s="120"/>
      <c r="D508" s="116" t="s">
        <v>816</v>
      </c>
      <c r="E508" s="116"/>
      <c r="F508" s="116" t="s">
        <v>865</v>
      </c>
      <c r="G508" s="116" t="s">
        <v>819</v>
      </c>
      <c r="H508" s="116" t="s">
        <v>818</v>
      </c>
      <c r="I508" s="39"/>
      <c r="J508" s="39"/>
      <c r="K508" s="39"/>
      <c r="L508" s="39"/>
      <c r="M508" s="39"/>
      <c r="N508" s="39"/>
      <c r="O508" s="39"/>
      <c r="P508" s="39"/>
      <c r="Q508" s="39"/>
      <c r="R508" s="40"/>
      <c r="S508" s="40"/>
      <c r="T508" s="41"/>
      <c r="U508" s="42"/>
      <c r="V508" s="42"/>
      <c r="W508" s="43"/>
      <c r="X508" s="44"/>
      <c r="Y508" s="4"/>
      <c r="Z508" s="45"/>
      <c r="AA508" s="45"/>
      <c r="AB508" s="4"/>
    </row>
    <row r="509" spans="1:28" ht="210">
      <c r="A509" s="126" t="s">
        <v>1661</v>
      </c>
      <c r="B509" s="121"/>
      <c r="C509" s="121"/>
      <c r="D509" s="116" t="s">
        <v>816</v>
      </c>
      <c r="E509" s="116"/>
      <c r="F509" s="116" t="s">
        <v>867</v>
      </c>
      <c r="G509" s="116" t="s">
        <v>823</v>
      </c>
      <c r="H509" s="116" t="s">
        <v>818</v>
      </c>
      <c r="I509" s="39"/>
      <c r="J509" s="39"/>
      <c r="K509" s="39"/>
      <c r="L509" s="39"/>
      <c r="M509" s="39"/>
      <c r="N509" s="39"/>
      <c r="O509" s="39"/>
      <c r="P509" s="39"/>
      <c r="Q509" s="39"/>
      <c r="R509" s="40"/>
      <c r="S509" s="40"/>
      <c r="T509" s="41"/>
      <c r="U509" s="42"/>
      <c r="V509" s="42"/>
      <c r="W509" s="43"/>
      <c r="X509" s="44"/>
      <c r="Y509" s="4"/>
      <c r="Z509" s="45"/>
      <c r="AA509" s="45"/>
      <c r="AB509" s="4"/>
    </row>
    <row r="510" spans="1:28" ht="210">
      <c r="A510" s="126" t="s">
        <v>1663</v>
      </c>
      <c r="B510" s="119" t="s">
        <v>1664</v>
      </c>
      <c r="C510" s="119" t="s">
        <v>815</v>
      </c>
      <c r="D510" s="116" t="s">
        <v>816</v>
      </c>
      <c r="E510" s="116"/>
      <c r="F510" s="116" t="s">
        <v>860</v>
      </c>
      <c r="G510" s="116" t="s">
        <v>819</v>
      </c>
      <c r="H510" s="116" t="s">
        <v>818</v>
      </c>
      <c r="I510" s="39"/>
      <c r="J510" s="39"/>
      <c r="K510" s="39"/>
      <c r="L510" s="39"/>
      <c r="M510" s="39"/>
      <c r="N510" s="39"/>
      <c r="O510" s="39"/>
      <c r="P510" s="39"/>
      <c r="Q510" s="39"/>
      <c r="R510" s="40"/>
      <c r="S510" s="40"/>
      <c r="T510" s="133">
        <v>0.08</v>
      </c>
      <c r="U510" s="42" t="s">
        <v>1665</v>
      </c>
      <c r="V510" s="42"/>
      <c r="W510" s="43"/>
      <c r="X510" s="44"/>
      <c r="Y510" s="4"/>
      <c r="Z510" s="45"/>
      <c r="AA510" s="45"/>
      <c r="AB510" s="4"/>
    </row>
    <row r="511" spans="1:28" ht="210">
      <c r="A511" s="126" t="s">
        <v>1663</v>
      </c>
      <c r="B511" s="120"/>
      <c r="C511" s="120"/>
      <c r="D511" s="116" t="s">
        <v>816</v>
      </c>
      <c r="E511" s="116"/>
      <c r="F511" s="116" t="s">
        <v>863</v>
      </c>
      <c r="G511" s="116" t="s">
        <v>821</v>
      </c>
      <c r="H511" s="116" t="s">
        <v>818</v>
      </c>
      <c r="I511" s="39"/>
      <c r="J511" s="39"/>
      <c r="K511" s="39"/>
      <c r="L511" s="39"/>
      <c r="M511" s="39"/>
      <c r="N511" s="39"/>
      <c r="O511" s="39"/>
      <c r="P511" s="39"/>
      <c r="Q511" s="39"/>
      <c r="R511" s="40"/>
      <c r="S511" s="40"/>
      <c r="T511" s="133"/>
      <c r="U511" s="42"/>
      <c r="V511" s="42"/>
      <c r="W511" s="43"/>
      <c r="X511" s="44"/>
      <c r="Y511" s="4"/>
      <c r="Z511" s="45"/>
      <c r="AA511" s="45"/>
      <c r="AB511" s="4"/>
    </row>
    <row r="512" spans="1:28" ht="210">
      <c r="A512" s="126" t="s">
        <v>1663</v>
      </c>
      <c r="B512" s="120"/>
      <c r="C512" s="120"/>
      <c r="D512" s="116" t="s">
        <v>816</v>
      </c>
      <c r="E512" s="116"/>
      <c r="F512" s="116" t="s">
        <v>865</v>
      </c>
      <c r="G512" s="116" t="s">
        <v>823</v>
      </c>
      <c r="H512" s="116" t="s">
        <v>818</v>
      </c>
      <c r="I512" s="39"/>
      <c r="J512" s="39"/>
      <c r="K512" s="39"/>
      <c r="L512" s="39"/>
      <c r="M512" s="39"/>
      <c r="N512" s="39"/>
      <c r="O512" s="39"/>
      <c r="P512" s="39"/>
      <c r="Q512" s="39"/>
      <c r="R512" s="40"/>
      <c r="S512" s="40"/>
      <c r="T512" s="133"/>
      <c r="U512" s="42"/>
      <c r="V512" s="42"/>
      <c r="W512" s="43"/>
      <c r="X512" s="44"/>
      <c r="Y512" s="4"/>
      <c r="Z512" s="45"/>
      <c r="AA512" s="45"/>
      <c r="AB512" s="4"/>
    </row>
    <row r="513" spans="1:28" ht="210">
      <c r="A513" s="126" t="s">
        <v>1663</v>
      </c>
      <c r="B513" s="121"/>
      <c r="C513" s="121"/>
      <c r="D513" s="116" t="s">
        <v>816</v>
      </c>
      <c r="E513" s="116"/>
      <c r="F513" s="116" t="s">
        <v>867</v>
      </c>
      <c r="G513" s="116" t="s">
        <v>817</v>
      </c>
      <c r="H513" s="116" t="s">
        <v>818</v>
      </c>
      <c r="I513" s="39"/>
      <c r="J513" s="39"/>
      <c r="K513" s="39"/>
      <c r="L513" s="39"/>
      <c r="M513" s="39"/>
      <c r="N513" s="39"/>
      <c r="O513" s="39"/>
      <c r="P513" s="39"/>
      <c r="Q513" s="39"/>
      <c r="R513" s="40"/>
      <c r="S513" s="40"/>
      <c r="T513" s="133"/>
      <c r="U513" s="42"/>
      <c r="V513" s="42"/>
      <c r="W513" s="43"/>
      <c r="X513" s="44"/>
      <c r="Y513" s="4"/>
      <c r="Z513" s="45"/>
      <c r="AA513" s="45"/>
      <c r="AB513" s="4"/>
    </row>
    <row r="514" spans="1:28" ht="135">
      <c r="A514" s="126" t="s">
        <v>1666</v>
      </c>
      <c r="B514" s="116" t="s">
        <v>1667</v>
      </c>
      <c r="C514" s="116" t="s">
        <v>1668</v>
      </c>
      <c r="D514" s="116" t="s">
        <v>1669</v>
      </c>
      <c r="E514" s="116"/>
      <c r="F514" s="116" t="s">
        <v>860</v>
      </c>
      <c r="G514" s="116" t="s">
        <v>404</v>
      </c>
      <c r="H514" s="116" t="s">
        <v>405</v>
      </c>
      <c r="I514" s="39"/>
      <c r="J514" s="39"/>
      <c r="K514" s="39"/>
      <c r="L514" s="39"/>
      <c r="M514" s="39"/>
      <c r="N514" s="39"/>
      <c r="O514" s="39"/>
      <c r="P514" s="39"/>
      <c r="Q514" s="39"/>
      <c r="R514" s="40"/>
      <c r="S514" s="40"/>
      <c r="T514" s="41"/>
      <c r="U514" s="42"/>
      <c r="V514" s="42"/>
      <c r="W514" s="43"/>
      <c r="X514" s="44"/>
      <c r="Y514" s="4"/>
      <c r="Z514" s="45"/>
      <c r="AA514" s="45"/>
      <c r="AB514" s="4"/>
    </row>
    <row r="515" spans="1:28" ht="409.6">
      <c r="A515" s="126" t="s">
        <v>1670</v>
      </c>
      <c r="B515" s="119" t="s">
        <v>1671</v>
      </c>
      <c r="C515" s="135" t="s">
        <v>804</v>
      </c>
      <c r="D515" s="137" t="s">
        <v>805</v>
      </c>
      <c r="E515" s="137"/>
      <c r="F515" s="137" t="s">
        <v>860</v>
      </c>
      <c r="G515" s="137" t="s">
        <v>807</v>
      </c>
      <c r="H515" s="137" t="s">
        <v>808</v>
      </c>
      <c r="I515" s="39"/>
      <c r="J515" s="39"/>
      <c r="K515" s="39"/>
      <c r="L515" s="39"/>
      <c r="M515" s="39"/>
      <c r="N515" s="39"/>
      <c r="O515" s="39"/>
      <c r="P515" s="39"/>
      <c r="Q515" s="39"/>
      <c r="R515" s="40"/>
      <c r="S515" s="40"/>
      <c r="T515" s="41"/>
      <c r="U515" s="42"/>
      <c r="V515" s="42"/>
      <c r="W515" s="43"/>
      <c r="X515" s="44"/>
      <c r="Y515" s="4"/>
      <c r="Z515" s="45"/>
      <c r="AA515" s="45"/>
      <c r="AB515" s="4"/>
    </row>
    <row r="516" spans="1:28" ht="409.6">
      <c r="A516" s="126" t="s">
        <v>1670</v>
      </c>
      <c r="B516" s="121"/>
      <c r="C516" s="139"/>
      <c r="D516" s="137" t="s">
        <v>805</v>
      </c>
      <c r="E516" s="137"/>
      <c r="F516" s="137" t="s">
        <v>863</v>
      </c>
      <c r="G516" s="137" t="s">
        <v>811</v>
      </c>
      <c r="H516" s="137" t="s">
        <v>812</v>
      </c>
      <c r="I516" s="39"/>
      <c r="J516" s="39"/>
      <c r="K516" s="39"/>
      <c r="L516" s="39"/>
      <c r="M516" s="39"/>
      <c r="N516" s="39"/>
      <c r="O516" s="39"/>
      <c r="P516" s="39"/>
      <c r="Q516" s="39"/>
      <c r="R516" s="40"/>
      <c r="S516" s="40"/>
      <c r="T516" s="41"/>
      <c r="U516" s="42"/>
      <c r="V516" s="42"/>
      <c r="W516" s="43"/>
      <c r="X516" s="44"/>
      <c r="Y516" s="4"/>
      <c r="Z516" s="45"/>
      <c r="AA516" s="45"/>
      <c r="AB516" s="4"/>
    </row>
    <row r="517" spans="1:28" ht="255">
      <c r="A517" s="126" t="s">
        <v>1672</v>
      </c>
      <c r="B517" s="115" t="s">
        <v>1673</v>
      </c>
      <c r="C517" s="115" t="s">
        <v>804</v>
      </c>
      <c r="D517" s="116" t="s">
        <v>1646</v>
      </c>
      <c r="E517" s="116"/>
      <c r="F517" s="116" t="s">
        <v>860</v>
      </c>
      <c r="G517" s="116" t="s">
        <v>811</v>
      </c>
      <c r="H517" s="116" t="s">
        <v>812</v>
      </c>
      <c r="I517" s="39"/>
      <c r="J517" s="39"/>
      <c r="K517" s="39"/>
      <c r="L517" s="39"/>
      <c r="M517" s="39"/>
      <c r="N517" s="39"/>
      <c r="O517" s="39"/>
      <c r="P517" s="39"/>
      <c r="Q517" s="39"/>
      <c r="R517" s="40"/>
      <c r="S517" s="40"/>
      <c r="T517" s="41"/>
      <c r="U517" s="42"/>
      <c r="V517" s="42"/>
      <c r="W517" s="43"/>
      <c r="X517" s="44"/>
      <c r="Y517" s="4"/>
      <c r="Z517" s="45"/>
      <c r="AA517" s="45"/>
      <c r="AB517" s="4"/>
    </row>
    <row r="518" spans="1:28" ht="255">
      <c r="A518" s="126" t="s">
        <v>1672</v>
      </c>
      <c r="B518" s="118"/>
      <c r="C518" s="118"/>
      <c r="D518" s="116" t="s">
        <v>1646</v>
      </c>
      <c r="E518" s="116"/>
      <c r="F518" s="116" t="s">
        <v>863</v>
      </c>
      <c r="G518" s="116" t="s">
        <v>807</v>
      </c>
      <c r="H518" s="116" t="s">
        <v>808</v>
      </c>
      <c r="I518" s="39"/>
      <c r="J518" s="39"/>
      <c r="K518" s="39"/>
      <c r="L518" s="39"/>
      <c r="M518" s="39"/>
      <c r="N518" s="39"/>
      <c r="O518" s="39"/>
      <c r="P518" s="39"/>
      <c r="Q518" s="39"/>
      <c r="R518" s="40"/>
      <c r="S518" s="40"/>
      <c r="T518" s="41"/>
      <c r="U518" s="42"/>
      <c r="V518" s="42"/>
      <c r="W518" s="43"/>
      <c r="X518" s="44"/>
      <c r="Y518" s="4"/>
      <c r="Z518" s="45"/>
      <c r="AA518" s="45"/>
      <c r="AB518" s="4"/>
    </row>
    <row r="519" spans="1:28" ht="210">
      <c r="A519" s="126" t="s">
        <v>1674</v>
      </c>
      <c r="B519" s="119" t="s">
        <v>1675</v>
      </c>
      <c r="C519" s="119" t="s">
        <v>815</v>
      </c>
      <c r="D519" s="116" t="s">
        <v>816</v>
      </c>
      <c r="E519" s="116"/>
      <c r="F519" s="116" t="s">
        <v>860</v>
      </c>
      <c r="G519" s="116" t="s">
        <v>817</v>
      </c>
      <c r="H519" s="116" t="s">
        <v>818</v>
      </c>
      <c r="I519" s="39"/>
      <c r="J519" s="39"/>
      <c r="K519" s="39"/>
      <c r="L519" s="39"/>
      <c r="M519" s="39"/>
      <c r="N519" s="39"/>
      <c r="O519" s="39"/>
      <c r="P519" s="39"/>
      <c r="Q519" s="39"/>
      <c r="R519" s="40"/>
      <c r="S519" s="40"/>
      <c r="T519" s="41">
        <v>0</v>
      </c>
      <c r="U519" s="42"/>
      <c r="V519" s="42"/>
      <c r="W519" s="43"/>
      <c r="X519" s="44"/>
      <c r="Y519" s="4"/>
      <c r="Z519" s="45"/>
      <c r="AA519" s="45"/>
      <c r="AB519" s="4"/>
    </row>
    <row r="520" spans="1:28" ht="210">
      <c r="A520" s="126" t="s">
        <v>1674</v>
      </c>
      <c r="B520" s="120"/>
      <c r="C520" s="120"/>
      <c r="D520" s="116" t="s">
        <v>816</v>
      </c>
      <c r="E520" s="116"/>
      <c r="F520" s="116" t="s">
        <v>863</v>
      </c>
      <c r="G520" s="116" t="s">
        <v>819</v>
      </c>
      <c r="H520" s="116" t="s">
        <v>818</v>
      </c>
      <c r="I520" s="39"/>
      <c r="J520" s="39"/>
      <c r="K520" s="39"/>
      <c r="L520" s="39"/>
      <c r="M520" s="39"/>
      <c r="N520" s="39"/>
      <c r="O520" s="39"/>
      <c r="P520" s="39"/>
      <c r="Q520" s="39"/>
      <c r="R520" s="40"/>
      <c r="S520" s="40"/>
      <c r="T520" s="41"/>
      <c r="U520" s="42"/>
      <c r="V520" s="42"/>
      <c r="W520" s="43"/>
      <c r="X520" s="44"/>
      <c r="Y520" s="4"/>
      <c r="Z520" s="45"/>
      <c r="AA520" s="45"/>
      <c r="AB520" s="4"/>
    </row>
    <row r="521" spans="1:28" ht="210">
      <c r="A521" s="126" t="s">
        <v>1674</v>
      </c>
      <c r="B521" s="120"/>
      <c r="C521" s="120"/>
      <c r="D521" s="116" t="s">
        <v>816</v>
      </c>
      <c r="E521" s="116"/>
      <c r="F521" s="116" t="s">
        <v>865</v>
      </c>
      <c r="G521" s="116" t="s">
        <v>821</v>
      </c>
      <c r="H521" s="116" t="s">
        <v>818</v>
      </c>
      <c r="I521" s="39"/>
      <c r="J521" s="39"/>
      <c r="K521" s="39"/>
      <c r="L521" s="39"/>
      <c r="M521" s="39"/>
      <c r="N521" s="39"/>
      <c r="O521" s="39"/>
      <c r="P521" s="39"/>
      <c r="Q521" s="39"/>
      <c r="R521" s="40"/>
      <c r="S521" s="40"/>
      <c r="T521" s="41"/>
      <c r="U521" s="42"/>
      <c r="V521" s="42"/>
      <c r="W521" s="43"/>
      <c r="X521" s="44"/>
      <c r="Y521" s="4"/>
      <c r="Z521" s="45"/>
      <c r="AA521" s="45"/>
      <c r="AB521" s="4"/>
    </row>
    <row r="522" spans="1:28" ht="210">
      <c r="A522" s="126" t="s">
        <v>1674</v>
      </c>
      <c r="B522" s="121"/>
      <c r="C522" s="121"/>
      <c r="D522" s="116" t="s">
        <v>816</v>
      </c>
      <c r="E522" s="116"/>
      <c r="F522" s="116" t="s">
        <v>867</v>
      </c>
      <c r="G522" s="116" t="s">
        <v>823</v>
      </c>
      <c r="H522" s="116" t="s">
        <v>818</v>
      </c>
      <c r="I522" s="39"/>
      <c r="J522" s="39"/>
      <c r="K522" s="39"/>
      <c r="L522" s="39"/>
      <c r="M522" s="39"/>
      <c r="N522" s="39"/>
      <c r="O522" s="39"/>
      <c r="P522" s="39"/>
      <c r="Q522" s="39"/>
      <c r="R522" s="40"/>
      <c r="S522" s="40"/>
      <c r="T522" s="41"/>
      <c r="U522" s="42"/>
      <c r="V522" s="42"/>
      <c r="W522" s="43"/>
      <c r="X522" s="44"/>
      <c r="Y522" s="4"/>
      <c r="Z522" s="45"/>
      <c r="AA522" s="45"/>
      <c r="AB522" s="4"/>
    </row>
    <row r="523" spans="1:28" ht="210">
      <c r="A523" s="126" t="s">
        <v>1676</v>
      </c>
      <c r="B523" s="119" t="s">
        <v>1677</v>
      </c>
      <c r="C523" s="135" t="s">
        <v>815</v>
      </c>
      <c r="D523" s="137" t="s">
        <v>816</v>
      </c>
      <c r="E523" s="137"/>
      <c r="F523" s="137" t="s">
        <v>860</v>
      </c>
      <c r="G523" s="137" t="s">
        <v>817</v>
      </c>
      <c r="H523" s="137" t="s">
        <v>818</v>
      </c>
      <c r="I523" s="39"/>
      <c r="J523" s="39"/>
      <c r="K523" s="39"/>
      <c r="L523" s="39"/>
      <c r="M523" s="39"/>
      <c r="N523" s="39"/>
      <c r="O523" s="39"/>
      <c r="P523" s="39"/>
      <c r="Q523" s="39"/>
      <c r="R523" s="40"/>
      <c r="S523" s="40"/>
      <c r="T523" s="41">
        <v>0</v>
      </c>
      <c r="U523" s="42"/>
      <c r="V523" s="42"/>
      <c r="W523" s="43"/>
      <c r="X523" s="44"/>
      <c r="Y523" s="4"/>
      <c r="Z523" s="45"/>
      <c r="AA523" s="45"/>
      <c r="AB523" s="4"/>
    </row>
    <row r="524" spans="1:28" ht="210">
      <c r="A524" s="126" t="s">
        <v>1676</v>
      </c>
      <c r="B524" s="120"/>
      <c r="C524" s="141"/>
      <c r="D524" s="137" t="s">
        <v>816</v>
      </c>
      <c r="E524" s="137"/>
      <c r="F524" s="137" t="s">
        <v>863</v>
      </c>
      <c r="G524" s="137" t="s">
        <v>823</v>
      </c>
      <c r="H524" s="137" t="s">
        <v>818</v>
      </c>
      <c r="I524" s="39"/>
      <c r="J524" s="39"/>
      <c r="K524" s="39"/>
      <c r="L524" s="39"/>
      <c r="M524" s="39"/>
      <c r="N524" s="39"/>
      <c r="O524" s="39"/>
      <c r="P524" s="39"/>
      <c r="Q524" s="39"/>
      <c r="R524" s="40"/>
      <c r="S524" s="40"/>
      <c r="T524" s="41"/>
      <c r="U524" s="42"/>
      <c r="V524" s="42"/>
      <c r="W524" s="43"/>
      <c r="X524" s="44"/>
      <c r="Y524" s="4"/>
      <c r="Z524" s="45"/>
      <c r="AA524" s="45"/>
      <c r="AB524" s="4"/>
    </row>
    <row r="525" spans="1:28" ht="210">
      <c r="A525" s="126" t="s">
        <v>1676</v>
      </c>
      <c r="B525" s="120"/>
      <c r="C525" s="141"/>
      <c r="D525" s="137" t="s">
        <v>816</v>
      </c>
      <c r="E525" s="137"/>
      <c r="F525" s="137" t="s">
        <v>865</v>
      </c>
      <c r="G525" s="137" t="s">
        <v>819</v>
      </c>
      <c r="H525" s="137" t="s">
        <v>818</v>
      </c>
      <c r="I525" s="39"/>
      <c r="J525" s="39"/>
      <c r="K525" s="39"/>
      <c r="L525" s="39"/>
      <c r="M525" s="39"/>
      <c r="N525" s="39"/>
      <c r="O525" s="39"/>
      <c r="P525" s="39"/>
      <c r="Q525" s="39"/>
      <c r="R525" s="40"/>
      <c r="S525" s="40"/>
      <c r="T525" s="41"/>
      <c r="U525" s="42"/>
      <c r="V525" s="42"/>
      <c r="W525" s="43"/>
      <c r="X525" s="44"/>
      <c r="Y525" s="4"/>
      <c r="Z525" s="45"/>
      <c r="AA525" s="45"/>
      <c r="AB525" s="4"/>
    </row>
    <row r="526" spans="1:28" ht="210">
      <c r="A526" s="126" t="s">
        <v>1676</v>
      </c>
      <c r="B526" s="121"/>
      <c r="C526" s="139"/>
      <c r="D526" s="137" t="s">
        <v>816</v>
      </c>
      <c r="E526" s="137"/>
      <c r="F526" s="137" t="s">
        <v>867</v>
      </c>
      <c r="G526" s="137" t="s">
        <v>821</v>
      </c>
      <c r="H526" s="137" t="s">
        <v>818</v>
      </c>
      <c r="I526" s="39"/>
      <c r="J526" s="39"/>
      <c r="K526" s="39"/>
      <c r="L526" s="39"/>
      <c r="M526" s="39"/>
      <c r="N526" s="39"/>
      <c r="O526" s="39"/>
      <c r="P526" s="39"/>
      <c r="Q526" s="39"/>
      <c r="R526" s="40"/>
      <c r="S526" s="40"/>
      <c r="T526" s="41"/>
      <c r="U526" s="42"/>
      <c r="V526" s="42"/>
      <c r="W526" s="43"/>
      <c r="X526" s="44"/>
      <c r="Y526" s="4"/>
      <c r="Z526" s="45"/>
      <c r="AA526" s="45"/>
      <c r="AB526" s="4"/>
    </row>
    <row r="527" spans="1:28" ht="150">
      <c r="A527" s="126" t="s">
        <v>1678</v>
      </c>
      <c r="B527" s="115" t="s">
        <v>1679</v>
      </c>
      <c r="C527" s="119" t="s">
        <v>1680</v>
      </c>
      <c r="D527" s="116" t="s">
        <v>1681</v>
      </c>
      <c r="E527" s="116"/>
      <c r="F527" s="116" t="s">
        <v>860</v>
      </c>
      <c r="G527" s="116" t="s">
        <v>630</v>
      </c>
      <c r="H527" s="116" t="s">
        <v>631</v>
      </c>
      <c r="I527" s="39"/>
      <c r="J527" s="39"/>
      <c r="K527" s="39"/>
      <c r="L527" s="39"/>
      <c r="M527" s="39"/>
      <c r="N527" s="39"/>
      <c r="O527" s="39"/>
      <c r="P527" s="39"/>
      <c r="Q527" s="39"/>
      <c r="R527" s="40"/>
      <c r="S527" s="40"/>
      <c r="T527" s="41"/>
      <c r="U527" s="42"/>
      <c r="V527" s="42"/>
      <c r="W527" s="43"/>
      <c r="X527" s="44"/>
      <c r="Y527" s="4"/>
      <c r="Z527" s="45"/>
      <c r="AA527" s="45"/>
      <c r="AB527" s="4"/>
    </row>
    <row r="528" spans="1:28" ht="150">
      <c r="A528" s="126" t="s">
        <v>1678</v>
      </c>
      <c r="B528" s="118"/>
      <c r="C528" s="121"/>
      <c r="D528" s="116" t="s">
        <v>1681</v>
      </c>
      <c r="E528" s="116"/>
      <c r="F528" s="116" t="s">
        <v>863</v>
      </c>
      <c r="G528" s="116" t="s">
        <v>772</v>
      </c>
      <c r="H528" s="116" t="s">
        <v>668</v>
      </c>
      <c r="I528" s="39"/>
      <c r="J528" s="39"/>
      <c r="K528" s="39"/>
      <c r="L528" s="39"/>
      <c r="M528" s="39"/>
      <c r="N528" s="39"/>
      <c r="O528" s="39"/>
      <c r="P528" s="39"/>
      <c r="Q528" s="39"/>
      <c r="R528" s="40"/>
      <c r="S528" s="40"/>
      <c r="T528" s="41"/>
      <c r="U528" s="42"/>
      <c r="V528" s="42"/>
      <c r="W528" s="43"/>
      <c r="X528" s="44"/>
      <c r="Y528" s="4"/>
      <c r="Z528" s="45"/>
      <c r="AA528" s="45"/>
      <c r="AB528" s="4"/>
    </row>
    <row r="529" spans="1:28" ht="210">
      <c r="A529" s="126" t="s">
        <v>1682</v>
      </c>
      <c r="B529" s="119" t="s">
        <v>1683</v>
      </c>
      <c r="C529" s="119" t="s">
        <v>815</v>
      </c>
      <c r="D529" s="116" t="s">
        <v>816</v>
      </c>
      <c r="E529" s="116"/>
      <c r="F529" s="116" t="s">
        <v>860</v>
      </c>
      <c r="G529" s="116" t="s">
        <v>819</v>
      </c>
      <c r="H529" s="116" t="s">
        <v>818</v>
      </c>
      <c r="I529" s="39"/>
      <c r="J529" s="39"/>
      <c r="K529" s="39"/>
      <c r="L529" s="39"/>
      <c r="M529" s="39"/>
      <c r="N529" s="39"/>
      <c r="O529" s="39"/>
      <c r="P529" s="39"/>
      <c r="Q529" s="39"/>
      <c r="R529" s="40"/>
      <c r="S529" s="40"/>
      <c r="T529" s="41">
        <v>0</v>
      </c>
      <c r="U529" s="42"/>
      <c r="V529" s="42"/>
      <c r="W529" s="43"/>
      <c r="X529" s="44"/>
      <c r="Y529" s="4"/>
      <c r="Z529" s="45"/>
      <c r="AA529" s="45"/>
      <c r="AB529" s="4"/>
    </row>
    <row r="530" spans="1:28" ht="210">
      <c r="A530" s="126" t="s">
        <v>1682</v>
      </c>
      <c r="B530" s="120"/>
      <c r="C530" s="120"/>
      <c r="D530" s="116" t="s">
        <v>816</v>
      </c>
      <c r="E530" s="116"/>
      <c r="F530" s="116" t="s">
        <v>863</v>
      </c>
      <c r="G530" s="116" t="s">
        <v>817</v>
      </c>
      <c r="H530" s="116" t="s">
        <v>818</v>
      </c>
      <c r="I530" s="39"/>
      <c r="J530" s="39"/>
      <c r="K530" s="39"/>
      <c r="L530" s="39"/>
      <c r="M530" s="39"/>
      <c r="N530" s="39"/>
      <c r="O530" s="39"/>
      <c r="P530" s="39"/>
      <c r="Q530" s="39"/>
      <c r="R530" s="40"/>
      <c r="S530" s="40"/>
      <c r="T530" s="41"/>
      <c r="U530" s="42"/>
      <c r="V530" s="42"/>
      <c r="W530" s="43"/>
      <c r="X530" s="44"/>
      <c r="Y530" s="4"/>
      <c r="Z530" s="45"/>
      <c r="AA530" s="45"/>
      <c r="AB530" s="4"/>
    </row>
    <row r="531" spans="1:28" ht="210">
      <c r="A531" s="126" t="s">
        <v>1682</v>
      </c>
      <c r="B531" s="120"/>
      <c r="C531" s="120"/>
      <c r="D531" s="116" t="s">
        <v>816</v>
      </c>
      <c r="E531" s="116"/>
      <c r="F531" s="116" t="s">
        <v>865</v>
      </c>
      <c r="G531" s="116" t="s">
        <v>821</v>
      </c>
      <c r="H531" s="116" t="s">
        <v>818</v>
      </c>
      <c r="I531" s="39"/>
      <c r="J531" s="39"/>
      <c r="K531" s="39"/>
      <c r="L531" s="39"/>
      <c r="M531" s="39"/>
      <c r="N531" s="39"/>
      <c r="O531" s="39"/>
      <c r="P531" s="39"/>
      <c r="Q531" s="39"/>
      <c r="R531" s="40"/>
      <c r="S531" s="40"/>
      <c r="T531" s="41"/>
      <c r="U531" s="42"/>
      <c r="V531" s="42"/>
      <c r="W531" s="43"/>
      <c r="X531" s="44"/>
      <c r="Y531" s="4"/>
      <c r="Z531" s="45"/>
      <c r="AA531" s="45"/>
      <c r="AB531" s="4"/>
    </row>
    <row r="532" spans="1:28" ht="210">
      <c r="A532" s="126" t="s">
        <v>1682</v>
      </c>
      <c r="B532" s="121"/>
      <c r="C532" s="121"/>
      <c r="D532" s="116" t="s">
        <v>816</v>
      </c>
      <c r="E532" s="116"/>
      <c r="F532" s="116" t="s">
        <v>867</v>
      </c>
      <c r="G532" s="116" t="s">
        <v>823</v>
      </c>
      <c r="H532" s="116" t="s">
        <v>818</v>
      </c>
      <c r="I532" s="39"/>
      <c r="J532" s="39"/>
      <c r="K532" s="39"/>
      <c r="L532" s="39"/>
      <c r="M532" s="39"/>
      <c r="N532" s="39"/>
      <c r="O532" s="39"/>
      <c r="P532" s="39"/>
      <c r="Q532" s="39"/>
      <c r="R532" s="40"/>
      <c r="S532" s="40"/>
      <c r="T532" s="41"/>
      <c r="U532" s="42"/>
      <c r="V532" s="42"/>
      <c r="W532" s="43"/>
      <c r="X532" s="44"/>
      <c r="Y532" s="4"/>
      <c r="Z532" s="45"/>
      <c r="AA532" s="45"/>
      <c r="AB532" s="4"/>
    </row>
    <row r="533" spans="1:28" ht="150">
      <c r="A533" s="126" t="s">
        <v>1684</v>
      </c>
      <c r="B533" s="119" t="s">
        <v>1685</v>
      </c>
      <c r="C533" s="119" t="s">
        <v>1680</v>
      </c>
      <c r="D533" s="116" t="s">
        <v>1681</v>
      </c>
      <c r="E533" s="116"/>
      <c r="F533" s="116" t="s">
        <v>860</v>
      </c>
      <c r="G533" s="116" t="s">
        <v>772</v>
      </c>
      <c r="H533" s="116" t="s">
        <v>668</v>
      </c>
      <c r="I533" s="39"/>
      <c r="J533" s="39"/>
      <c r="K533" s="39"/>
      <c r="L533" s="39"/>
      <c r="M533" s="39"/>
      <c r="N533" s="39"/>
      <c r="O533" s="39"/>
      <c r="P533" s="39"/>
      <c r="Q533" s="39"/>
      <c r="R533" s="40"/>
      <c r="S533" s="40"/>
      <c r="T533" s="41">
        <v>0</v>
      </c>
      <c r="U533" s="42"/>
      <c r="V533" s="42"/>
      <c r="W533" s="43"/>
      <c r="X533" s="44"/>
      <c r="Y533" s="4"/>
      <c r="Z533" s="45"/>
      <c r="AA533" s="45"/>
      <c r="AB533" s="4"/>
    </row>
    <row r="534" spans="1:28" ht="150">
      <c r="A534" s="126" t="s">
        <v>1684</v>
      </c>
      <c r="B534" s="121"/>
      <c r="C534" s="121"/>
      <c r="D534" s="116" t="s">
        <v>1681</v>
      </c>
      <c r="E534" s="116"/>
      <c r="F534" s="116" t="s">
        <v>863</v>
      </c>
      <c r="G534" s="116" t="s">
        <v>630</v>
      </c>
      <c r="H534" s="116" t="s">
        <v>631</v>
      </c>
      <c r="I534" s="39"/>
      <c r="J534" s="39"/>
      <c r="K534" s="39"/>
      <c r="L534" s="39"/>
      <c r="M534" s="39"/>
      <c r="N534" s="39"/>
      <c r="O534" s="39"/>
      <c r="P534" s="39"/>
      <c r="Q534" s="39"/>
      <c r="R534" s="40"/>
      <c r="S534" s="40"/>
      <c r="T534" s="41">
        <v>0</v>
      </c>
      <c r="U534" s="42"/>
      <c r="V534" s="42"/>
      <c r="W534" s="43"/>
      <c r="X534" s="44"/>
      <c r="Y534" s="4"/>
      <c r="Z534" s="45"/>
      <c r="AA534" s="45"/>
      <c r="AB534" s="4"/>
    </row>
    <row r="535" spans="1:28" ht="150">
      <c r="A535" s="126" t="s">
        <v>1686</v>
      </c>
      <c r="B535" s="115" t="s">
        <v>1687</v>
      </c>
      <c r="C535" s="119" t="s">
        <v>1680</v>
      </c>
      <c r="D535" s="116" t="s">
        <v>1681</v>
      </c>
      <c r="E535" s="116"/>
      <c r="F535" s="116" t="s">
        <v>860</v>
      </c>
      <c r="G535" s="116" t="s">
        <v>630</v>
      </c>
      <c r="H535" s="116" t="s">
        <v>631</v>
      </c>
      <c r="I535" s="39"/>
      <c r="J535" s="39"/>
      <c r="K535" s="39"/>
      <c r="L535" s="39"/>
      <c r="M535" s="39"/>
      <c r="N535" s="39"/>
      <c r="O535" s="39"/>
      <c r="P535" s="39"/>
      <c r="Q535" s="39"/>
      <c r="R535" s="40"/>
      <c r="S535" s="40"/>
      <c r="T535" s="41"/>
      <c r="U535" s="42"/>
      <c r="V535" s="42"/>
      <c r="W535" s="43"/>
      <c r="X535" s="44"/>
      <c r="Y535" s="4"/>
      <c r="Z535" s="45"/>
      <c r="AA535" s="45"/>
      <c r="AB535" s="4"/>
    </row>
    <row r="536" spans="1:28" ht="150">
      <c r="A536" s="126" t="s">
        <v>1686</v>
      </c>
      <c r="B536" s="118"/>
      <c r="C536" s="121"/>
      <c r="D536" s="116" t="s">
        <v>1681</v>
      </c>
      <c r="E536" s="116"/>
      <c r="F536" s="116" t="s">
        <v>863</v>
      </c>
      <c r="G536" s="116" t="s">
        <v>772</v>
      </c>
      <c r="H536" s="116" t="s">
        <v>668</v>
      </c>
      <c r="I536" s="39"/>
      <c r="J536" s="39"/>
      <c r="K536" s="39"/>
      <c r="L536" s="39"/>
      <c r="M536" s="39"/>
      <c r="N536" s="39"/>
      <c r="O536" s="39"/>
      <c r="P536" s="39"/>
      <c r="Q536" s="39"/>
      <c r="R536" s="40"/>
      <c r="S536" s="40"/>
      <c r="T536" s="41"/>
      <c r="U536" s="42"/>
      <c r="V536" s="42"/>
      <c r="W536" s="43"/>
      <c r="X536" s="44"/>
      <c r="Y536" s="4"/>
      <c r="Z536" s="45"/>
      <c r="AA536" s="45"/>
      <c r="AB536" s="4"/>
    </row>
    <row r="537" spans="1:28" ht="150">
      <c r="A537" s="126" t="s">
        <v>1688</v>
      </c>
      <c r="B537" s="115" t="s">
        <v>1689</v>
      </c>
      <c r="C537" s="119" t="s">
        <v>1680</v>
      </c>
      <c r="D537" s="116" t="s">
        <v>1681</v>
      </c>
      <c r="E537" s="116"/>
      <c r="F537" s="116" t="s">
        <v>860</v>
      </c>
      <c r="G537" s="116" t="s">
        <v>772</v>
      </c>
      <c r="H537" s="116" t="s">
        <v>668</v>
      </c>
      <c r="I537" s="39"/>
      <c r="J537" s="39"/>
      <c r="K537" s="39"/>
      <c r="L537" s="39"/>
      <c r="M537" s="39"/>
      <c r="N537" s="39"/>
      <c r="O537" s="39"/>
      <c r="P537" s="39"/>
      <c r="Q537" s="39"/>
      <c r="R537" s="40"/>
      <c r="S537" s="40"/>
      <c r="T537" s="41">
        <v>0</v>
      </c>
      <c r="U537" s="42"/>
      <c r="V537" s="42"/>
      <c r="W537" s="43"/>
      <c r="X537" s="44"/>
      <c r="Y537" s="4"/>
      <c r="Z537" s="45"/>
      <c r="AA537" s="45"/>
      <c r="AB537" s="4"/>
    </row>
    <row r="538" spans="1:28" ht="150">
      <c r="A538" s="126" t="s">
        <v>1688</v>
      </c>
      <c r="B538" s="118"/>
      <c r="C538" s="121"/>
      <c r="D538" s="116" t="s">
        <v>1681</v>
      </c>
      <c r="E538" s="116"/>
      <c r="F538" s="116" t="s">
        <v>863</v>
      </c>
      <c r="G538" s="116" t="s">
        <v>630</v>
      </c>
      <c r="H538" s="116" t="s">
        <v>631</v>
      </c>
      <c r="I538" s="39"/>
      <c r="J538" s="39"/>
      <c r="K538" s="39"/>
      <c r="L538" s="39"/>
      <c r="M538" s="39"/>
      <c r="N538" s="39"/>
      <c r="O538" s="39"/>
      <c r="P538" s="39"/>
      <c r="Q538" s="39"/>
      <c r="R538" s="40"/>
      <c r="S538" s="40"/>
      <c r="T538" s="41"/>
      <c r="U538" s="42"/>
      <c r="V538" s="42"/>
      <c r="W538" s="43"/>
      <c r="X538" s="44"/>
      <c r="Y538" s="4"/>
      <c r="Z538" s="45"/>
      <c r="AA538" s="45"/>
      <c r="AB538" s="4"/>
    </row>
    <row r="539" spans="1:28" ht="150">
      <c r="A539" s="126" t="s">
        <v>1690</v>
      </c>
      <c r="B539" s="115" t="s">
        <v>1691</v>
      </c>
      <c r="C539" s="119" t="s">
        <v>1680</v>
      </c>
      <c r="D539" s="116" t="s">
        <v>1681</v>
      </c>
      <c r="E539" s="116"/>
      <c r="F539" s="116" t="s">
        <v>860</v>
      </c>
      <c r="G539" s="116" t="s">
        <v>630</v>
      </c>
      <c r="H539" s="116" t="s">
        <v>631</v>
      </c>
      <c r="I539" s="39"/>
      <c r="J539" s="39"/>
      <c r="K539" s="39"/>
      <c r="L539" s="39"/>
      <c r="M539" s="39"/>
      <c r="N539" s="39"/>
      <c r="O539" s="39"/>
      <c r="P539" s="39"/>
      <c r="Q539" s="39"/>
      <c r="R539" s="40"/>
      <c r="S539" s="40"/>
      <c r="T539" s="41">
        <v>0</v>
      </c>
      <c r="U539" s="42"/>
      <c r="V539" s="42"/>
      <c r="W539" s="43"/>
      <c r="X539" s="44"/>
      <c r="Y539" s="4"/>
      <c r="Z539" s="45"/>
      <c r="AA539" s="45"/>
      <c r="AB539" s="4"/>
    </row>
    <row r="540" spans="1:28" ht="150">
      <c r="A540" s="126" t="s">
        <v>1690</v>
      </c>
      <c r="B540" s="118"/>
      <c r="C540" s="121"/>
      <c r="D540" s="116" t="s">
        <v>1681</v>
      </c>
      <c r="E540" s="116"/>
      <c r="F540" s="116" t="s">
        <v>863</v>
      </c>
      <c r="G540" s="116" t="s">
        <v>772</v>
      </c>
      <c r="H540" s="116" t="s">
        <v>668</v>
      </c>
      <c r="I540" s="39"/>
      <c r="J540" s="39"/>
      <c r="K540" s="39"/>
      <c r="L540" s="39"/>
      <c r="M540" s="39"/>
      <c r="N540" s="39"/>
      <c r="O540" s="39"/>
      <c r="P540" s="39"/>
      <c r="Q540" s="39"/>
      <c r="R540" s="40"/>
      <c r="S540" s="40"/>
      <c r="T540" s="41"/>
      <c r="U540" s="42"/>
      <c r="V540" s="42"/>
      <c r="W540" s="43"/>
      <c r="X540" s="44"/>
      <c r="Y540" s="4"/>
      <c r="Z540" s="45"/>
      <c r="AA540" s="45"/>
      <c r="AB540" s="4"/>
    </row>
    <row r="541" spans="1:28" ht="150">
      <c r="A541" s="126" t="s">
        <v>1692</v>
      </c>
      <c r="B541" s="115" t="s">
        <v>1693</v>
      </c>
      <c r="C541" s="119" t="s">
        <v>1680</v>
      </c>
      <c r="D541" s="116" t="s">
        <v>1681</v>
      </c>
      <c r="E541" s="116"/>
      <c r="F541" s="116" t="s">
        <v>860</v>
      </c>
      <c r="G541" s="116" t="s">
        <v>772</v>
      </c>
      <c r="H541" s="116" t="s">
        <v>668</v>
      </c>
      <c r="I541" s="39"/>
      <c r="J541" s="39"/>
      <c r="K541" s="39"/>
      <c r="L541" s="39"/>
      <c r="M541" s="39"/>
      <c r="N541" s="39"/>
      <c r="O541" s="39"/>
      <c r="P541" s="39"/>
      <c r="Q541" s="39"/>
      <c r="R541" s="40"/>
      <c r="S541" s="40"/>
      <c r="T541" s="41">
        <v>0</v>
      </c>
      <c r="U541" s="42"/>
      <c r="V541" s="42"/>
      <c r="W541" s="43"/>
      <c r="X541" s="44"/>
      <c r="Y541" s="4"/>
      <c r="Z541" s="45"/>
      <c r="AA541" s="45"/>
      <c r="AB541" s="4"/>
    </row>
    <row r="542" spans="1:28" ht="150">
      <c r="A542" s="126" t="s">
        <v>1692</v>
      </c>
      <c r="B542" s="118"/>
      <c r="C542" s="121"/>
      <c r="D542" s="116" t="s">
        <v>1681</v>
      </c>
      <c r="E542" s="116"/>
      <c r="F542" s="116" t="s">
        <v>863</v>
      </c>
      <c r="G542" s="116" t="s">
        <v>630</v>
      </c>
      <c r="H542" s="116" t="s">
        <v>631</v>
      </c>
      <c r="I542" s="39"/>
      <c r="J542" s="39"/>
      <c r="K542" s="39"/>
      <c r="L542" s="39"/>
      <c r="M542" s="39"/>
      <c r="N542" s="39"/>
      <c r="O542" s="39"/>
      <c r="P542" s="39"/>
      <c r="Q542" s="39"/>
      <c r="R542" s="40"/>
      <c r="S542" s="40"/>
      <c r="T542" s="41"/>
      <c r="U542" s="42"/>
      <c r="V542" s="42"/>
      <c r="W542" s="43"/>
      <c r="X542" s="44"/>
      <c r="Y542" s="4"/>
      <c r="Z542" s="45"/>
      <c r="AA542" s="45"/>
      <c r="AB542" s="4"/>
    </row>
    <row r="543" spans="1:28" ht="150">
      <c r="A543" s="126" t="s">
        <v>1694</v>
      </c>
      <c r="B543" s="115" t="s">
        <v>1695</v>
      </c>
      <c r="C543" s="119" t="s">
        <v>1680</v>
      </c>
      <c r="D543" s="116" t="s">
        <v>1681</v>
      </c>
      <c r="E543" s="116"/>
      <c r="F543" s="116" t="s">
        <v>860</v>
      </c>
      <c r="G543" s="116" t="s">
        <v>772</v>
      </c>
      <c r="H543" s="116" t="s">
        <v>668</v>
      </c>
      <c r="I543" s="39"/>
      <c r="J543" s="39"/>
      <c r="K543" s="39"/>
      <c r="L543" s="39"/>
      <c r="M543" s="39"/>
      <c r="N543" s="39"/>
      <c r="O543" s="39"/>
      <c r="P543" s="39"/>
      <c r="Q543" s="39"/>
      <c r="R543" s="40"/>
      <c r="S543" s="40"/>
      <c r="T543" s="41">
        <v>0</v>
      </c>
      <c r="U543" s="42"/>
      <c r="V543" s="42"/>
      <c r="W543" s="43"/>
      <c r="X543" s="44"/>
      <c r="Y543" s="4"/>
      <c r="Z543" s="45"/>
      <c r="AA543" s="45"/>
      <c r="AB543" s="4"/>
    </row>
    <row r="544" spans="1:28" ht="150">
      <c r="A544" s="126" t="s">
        <v>1694</v>
      </c>
      <c r="B544" s="118"/>
      <c r="C544" s="121"/>
      <c r="D544" s="116" t="s">
        <v>1681</v>
      </c>
      <c r="E544" s="116"/>
      <c r="F544" s="116" t="s">
        <v>863</v>
      </c>
      <c r="G544" s="116" t="s">
        <v>630</v>
      </c>
      <c r="H544" s="116" t="s">
        <v>631</v>
      </c>
      <c r="I544" s="39"/>
      <c r="J544" s="39"/>
      <c r="K544" s="39"/>
      <c r="L544" s="39"/>
      <c r="M544" s="39"/>
      <c r="N544" s="39"/>
      <c r="O544" s="39"/>
      <c r="P544" s="39"/>
      <c r="Q544" s="39"/>
      <c r="R544" s="40"/>
      <c r="S544" s="40"/>
      <c r="T544" s="41"/>
      <c r="U544" s="42"/>
      <c r="V544" s="42"/>
      <c r="W544" s="43"/>
      <c r="X544" s="44"/>
      <c r="Y544" s="4"/>
      <c r="Z544" s="45"/>
      <c r="AA544" s="45"/>
      <c r="AB544" s="4"/>
    </row>
    <row r="545" spans="1:28" ht="150">
      <c r="A545" s="126" t="s">
        <v>1696</v>
      </c>
      <c r="B545" s="115" t="s">
        <v>1697</v>
      </c>
      <c r="C545" s="119" t="s">
        <v>1680</v>
      </c>
      <c r="D545" s="116" t="s">
        <v>1681</v>
      </c>
      <c r="E545" s="116"/>
      <c r="F545" s="116" t="s">
        <v>860</v>
      </c>
      <c r="G545" s="116" t="s">
        <v>630</v>
      </c>
      <c r="H545" s="116" t="s">
        <v>631</v>
      </c>
      <c r="I545" s="39"/>
      <c r="J545" s="39"/>
      <c r="K545" s="39"/>
      <c r="L545" s="39"/>
      <c r="M545" s="39"/>
      <c r="N545" s="39"/>
      <c r="O545" s="39"/>
      <c r="P545" s="39"/>
      <c r="Q545" s="39"/>
      <c r="R545" s="40"/>
      <c r="S545" s="40"/>
      <c r="T545" s="41">
        <v>0</v>
      </c>
      <c r="U545" s="42"/>
      <c r="V545" s="42"/>
      <c r="W545" s="43"/>
      <c r="X545" s="44"/>
      <c r="Y545" s="4"/>
      <c r="Z545" s="45"/>
      <c r="AA545" s="45"/>
      <c r="AB545" s="4"/>
    </row>
    <row r="546" spans="1:28" ht="150">
      <c r="A546" s="126" t="s">
        <v>1696</v>
      </c>
      <c r="B546" s="118"/>
      <c r="C546" s="121"/>
      <c r="D546" s="116" t="s">
        <v>1681</v>
      </c>
      <c r="E546" s="116"/>
      <c r="F546" s="116" t="s">
        <v>863</v>
      </c>
      <c r="G546" s="116" t="s">
        <v>772</v>
      </c>
      <c r="H546" s="116" t="s">
        <v>668</v>
      </c>
      <c r="I546" s="39"/>
      <c r="J546" s="39"/>
      <c r="K546" s="39"/>
      <c r="L546" s="39"/>
      <c r="M546" s="39"/>
      <c r="N546" s="39"/>
      <c r="O546" s="39"/>
      <c r="P546" s="39"/>
      <c r="Q546" s="39"/>
      <c r="R546" s="40"/>
      <c r="S546" s="40"/>
      <c r="T546" s="41"/>
      <c r="U546" s="42"/>
      <c r="V546" s="42"/>
      <c r="W546" s="43"/>
      <c r="X546" s="44"/>
      <c r="Y546" s="4"/>
      <c r="Z546" s="45"/>
      <c r="AA546" s="45"/>
      <c r="AB546" s="4"/>
    </row>
    <row r="547" spans="1:28" ht="150">
      <c r="A547" s="126" t="s">
        <v>1698</v>
      </c>
      <c r="B547" s="115" t="s">
        <v>1699</v>
      </c>
      <c r="C547" s="119" t="s">
        <v>1680</v>
      </c>
      <c r="D547" s="116" t="s">
        <v>1681</v>
      </c>
      <c r="E547" s="116"/>
      <c r="F547" s="116" t="s">
        <v>860</v>
      </c>
      <c r="G547" s="116" t="s">
        <v>772</v>
      </c>
      <c r="H547" s="116" t="s">
        <v>668</v>
      </c>
      <c r="I547" s="39"/>
      <c r="J547" s="39"/>
      <c r="K547" s="39"/>
      <c r="L547" s="39"/>
      <c r="M547" s="39"/>
      <c r="N547" s="39"/>
      <c r="O547" s="39"/>
      <c r="P547" s="39"/>
      <c r="Q547" s="39"/>
      <c r="R547" s="40"/>
      <c r="S547" s="40"/>
      <c r="T547" s="41">
        <v>0</v>
      </c>
      <c r="U547" s="42"/>
      <c r="V547" s="42"/>
      <c r="W547" s="43"/>
      <c r="X547" s="44"/>
      <c r="Y547" s="4"/>
      <c r="Z547" s="45"/>
      <c r="AA547" s="45"/>
      <c r="AB547" s="4"/>
    </row>
    <row r="548" spans="1:28" ht="150">
      <c r="A548" s="126" t="s">
        <v>1698</v>
      </c>
      <c r="B548" s="118" t="s">
        <v>1699</v>
      </c>
      <c r="C548" s="121"/>
      <c r="D548" s="116" t="s">
        <v>1681</v>
      </c>
      <c r="E548" s="116"/>
      <c r="F548" s="116" t="s">
        <v>863</v>
      </c>
      <c r="G548" s="116" t="s">
        <v>630</v>
      </c>
      <c r="H548" s="116" t="s">
        <v>631</v>
      </c>
      <c r="I548" s="39"/>
      <c r="J548" s="39"/>
      <c r="K548" s="39"/>
      <c r="L548" s="39"/>
      <c r="M548" s="39"/>
      <c r="N548" s="39"/>
      <c r="O548" s="39"/>
      <c r="P548" s="39"/>
      <c r="Q548" s="39"/>
      <c r="R548" s="40"/>
      <c r="S548" s="40"/>
      <c r="T548" s="41"/>
      <c r="U548" s="42"/>
      <c r="V548" s="42"/>
      <c r="W548" s="43"/>
      <c r="X548" s="44"/>
      <c r="Y548" s="4"/>
      <c r="Z548" s="45"/>
      <c r="AA548" s="45"/>
      <c r="AB548" s="4"/>
    </row>
    <row r="549" spans="1:28" ht="210">
      <c r="A549" s="126" t="s">
        <v>1700</v>
      </c>
      <c r="B549" s="115" t="s">
        <v>1701</v>
      </c>
      <c r="C549" s="119" t="s">
        <v>1702</v>
      </c>
      <c r="D549" s="116" t="s">
        <v>1703</v>
      </c>
      <c r="E549" s="116"/>
      <c r="F549" s="116" t="s">
        <v>860</v>
      </c>
      <c r="G549" s="116" t="s">
        <v>540</v>
      </c>
      <c r="H549" s="116" t="s">
        <v>1704</v>
      </c>
      <c r="I549" s="39"/>
      <c r="J549" s="39"/>
      <c r="K549" s="39"/>
      <c r="L549" s="39"/>
      <c r="M549" s="39"/>
      <c r="N549" s="39"/>
      <c r="O549" s="39"/>
      <c r="P549" s="39"/>
      <c r="Q549" s="39"/>
      <c r="R549" s="40"/>
      <c r="S549" s="40"/>
      <c r="T549" s="41">
        <v>0</v>
      </c>
      <c r="U549" s="42"/>
      <c r="V549" s="42"/>
      <c r="W549" s="43"/>
      <c r="X549" s="44"/>
      <c r="Y549" s="4"/>
      <c r="Z549" s="45"/>
      <c r="AA549" s="45"/>
      <c r="AB549" s="4"/>
    </row>
    <row r="550" spans="1:28" ht="210">
      <c r="A550" s="126" t="s">
        <v>1700</v>
      </c>
      <c r="B550" s="117"/>
      <c r="C550" s="120"/>
      <c r="D550" s="116" t="s">
        <v>1703</v>
      </c>
      <c r="E550" s="116"/>
      <c r="F550" s="116" t="s">
        <v>863</v>
      </c>
      <c r="G550" s="116" t="s">
        <v>1655</v>
      </c>
      <c r="H550" s="116" t="s">
        <v>1705</v>
      </c>
      <c r="I550" s="39"/>
      <c r="J550" s="39"/>
      <c r="K550" s="39"/>
      <c r="L550" s="39"/>
      <c r="M550" s="39"/>
      <c r="N550" s="39"/>
      <c r="O550" s="39"/>
      <c r="P550" s="39"/>
      <c r="Q550" s="39"/>
      <c r="R550" s="40"/>
      <c r="S550" s="40"/>
      <c r="T550" s="41"/>
      <c r="U550" s="42"/>
      <c r="V550" s="42"/>
      <c r="W550" s="43"/>
      <c r="X550" s="44"/>
      <c r="Y550" s="4"/>
      <c r="Z550" s="45"/>
      <c r="AA550" s="45"/>
      <c r="AB550" s="4"/>
    </row>
    <row r="551" spans="1:28" ht="210">
      <c r="A551" s="126" t="s">
        <v>1700</v>
      </c>
      <c r="B551" s="118"/>
      <c r="C551" s="121"/>
      <c r="D551" s="116" t="s">
        <v>1703</v>
      </c>
      <c r="E551" s="116"/>
      <c r="F551" s="116" t="s">
        <v>865</v>
      </c>
      <c r="G551" s="116" t="s">
        <v>1706</v>
      </c>
      <c r="H551" s="116" t="s">
        <v>1707</v>
      </c>
      <c r="I551" s="39"/>
      <c r="J551" s="39"/>
      <c r="K551" s="39"/>
      <c r="L551" s="39"/>
      <c r="M551" s="39"/>
      <c r="N551" s="39"/>
      <c r="O551" s="39"/>
      <c r="P551" s="39"/>
      <c r="Q551" s="39"/>
      <c r="R551" s="40"/>
      <c r="S551" s="40"/>
      <c r="T551" s="41"/>
      <c r="U551" s="42"/>
      <c r="V551" s="42"/>
      <c r="W551" s="43"/>
      <c r="X551" s="44"/>
      <c r="Y551" s="4"/>
      <c r="Z551" s="45"/>
      <c r="AA551" s="45"/>
      <c r="AB551" s="4"/>
    </row>
    <row r="552" spans="1:28" ht="240">
      <c r="A552" s="126" t="s">
        <v>1708</v>
      </c>
      <c r="B552" s="115" t="s">
        <v>1709</v>
      </c>
      <c r="C552" s="119" t="s">
        <v>1595</v>
      </c>
      <c r="D552" s="116" t="s">
        <v>1596</v>
      </c>
      <c r="E552" s="116"/>
      <c r="F552" s="116" t="s">
        <v>860</v>
      </c>
      <c r="G552" s="116" t="s">
        <v>1596</v>
      </c>
      <c r="H552" s="116" t="s">
        <v>1595</v>
      </c>
      <c r="I552" s="39"/>
      <c r="J552" s="39"/>
      <c r="K552" s="39"/>
      <c r="L552" s="39"/>
      <c r="M552" s="39"/>
      <c r="N552" s="39"/>
      <c r="O552" s="39"/>
      <c r="P552" s="39"/>
      <c r="Q552" s="39"/>
      <c r="R552" s="40"/>
      <c r="S552" s="40"/>
      <c r="T552" s="41">
        <v>0</v>
      </c>
      <c r="U552" s="42"/>
      <c r="V552" s="42"/>
      <c r="W552" s="43"/>
      <c r="X552" s="44"/>
      <c r="Y552" s="4"/>
      <c r="Z552" s="45"/>
      <c r="AA552" s="45"/>
      <c r="AB552" s="4"/>
    </row>
    <row r="553" spans="1:28" ht="240">
      <c r="A553" s="126" t="s">
        <v>1708</v>
      </c>
      <c r="B553" s="117"/>
      <c r="C553" s="120"/>
      <c r="D553" s="116" t="s">
        <v>1596</v>
      </c>
      <c r="E553" s="116"/>
      <c r="F553" s="116" t="s">
        <v>863</v>
      </c>
      <c r="G553" s="116" t="s">
        <v>1596</v>
      </c>
      <c r="H553" s="116" t="s">
        <v>1595</v>
      </c>
      <c r="I553" s="39"/>
      <c r="J553" s="39"/>
      <c r="K553" s="39"/>
      <c r="L553" s="39"/>
      <c r="M553" s="39"/>
      <c r="N553" s="39"/>
      <c r="O553" s="39"/>
      <c r="P553" s="39"/>
      <c r="Q553" s="39"/>
      <c r="R553" s="40"/>
      <c r="S553" s="40"/>
      <c r="T553" s="41"/>
      <c r="U553" s="42"/>
      <c r="V553" s="42"/>
      <c r="W553" s="43"/>
      <c r="X553" s="44"/>
      <c r="Y553" s="4"/>
      <c r="Z553" s="45"/>
      <c r="AA553" s="45"/>
      <c r="AB553" s="4"/>
    </row>
    <row r="554" spans="1:28" ht="240">
      <c r="A554" s="126" t="s">
        <v>1708</v>
      </c>
      <c r="B554" s="118"/>
      <c r="C554" s="121"/>
      <c r="D554" s="116" t="s">
        <v>1596</v>
      </c>
      <c r="E554" s="116"/>
      <c r="F554" s="116" t="s">
        <v>865</v>
      </c>
      <c r="G554" s="116" t="s">
        <v>1597</v>
      </c>
      <c r="H554" s="116" t="s">
        <v>1595</v>
      </c>
      <c r="I554" s="39"/>
      <c r="J554" s="39"/>
      <c r="K554" s="39"/>
      <c r="L554" s="39"/>
      <c r="M554" s="39"/>
      <c r="N554" s="39"/>
      <c r="O554" s="39"/>
      <c r="P554" s="39"/>
      <c r="Q554" s="39"/>
      <c r="R554" s="40"/>
      <c r="S554" s="40"/>
      <c r="T554" s="41"/>
      <c r="U554" s="42"/>
      <c r="V554" s="42"/>
      <c r="W554" s="43"/>
      <c r="X554" s="44"/>
      <c r="Y554" s="4"/>
      <c r="Z554" s="45"/>
      <c r="AA554" s="45"/>
      <c r="AB554" s="4"/>
    </row>
    <row r="555" spans="1:28" ht="409.6">
      <c r="A555" s="168" t="s">
        <v>1710</v>
      </c>
      <c r="B555" s="115" t="s">
        <v>1711</v>
      </c>
      <c r="C555" s="119" t="s">
        <v>1712</v>
      </c>
      <c r="D555" s="116" t="s">
        <v>1713</v>
      </c>
      <c r="E555" s="116"/>
      <c r="F555" s="116" t="s">
        <v>860</v>
      </c>
      <c r="G555" s="116" t="s">
        <v>1713</v>
      </c>
      <c r="H555" s="116" t="s">
        <v>1712</v>
      </c>
      <c r="I555" s="39"/>
      <c r="J555" s="39"/>
      <c r="K555" s="39"/>
      <c r="L555" s="39"/>
      <c r="M555" s="39"/>
      <c r="N555" s="39"/>
      <c r="O555" s="39"/>
      <c r="P555" s="39"/>
      <c r="Q555" s="39"/>
      <c r="R555" s="40"/>
      <c r="S555" s="40"/>
      <c r="T555" s="41">
        <v>0.74</v>
      </c>
      <c r="U555" s="42" t="s">
        <v>1714</v>
      </c>
      <c r="V555" s="42"/>
      <c r="W555" s="43"/>
      <c r="X555" s="44"/>
      <c r="Y555" s="4"/>
      <c r="Z555" s="45"/>
      <c r="AA555" s="45"/>
      <c r="AB555" s="4"/>
    </row>
    <row r="556" spans="1:28" ht="409.6">
      <c r="A556" s="168"/>
      <c r="B556" s="117"/>
      <c r="C556" s="120"/>
      <c r="D556" s="116"/>
      <c r="E556" s="116"/>
      <c r="F556" s="116" t="s">
        <v>863</v>
      </c>
      <c r="G556" s="116" t="s">
        <v>1715</v>
      </c>
      <c r="H556" s="116" t="s">
        <v>1712</v>
      </c>
      <c r="I556" s="39"/>
      <c r="J556" s="39"/>
      <c r="K556" s="39"/>
      <c r="L556" s="39"/>
      <c r="M556" s="39"/>
      <c r="N556" s="39"/>
      <c r="O556" s="39"/>
      <c r="P556" s="39"/>
      <c r="Q556" s="39"/>
      <c r="R556" s="40"/>
      <c r="S556" s="40"/>
      <c r="T556" s="41"/>
      <c r="U556" s="42"/>
      <c r="V556" s="42"/>
      <c r="W556" s="43"/>
      <c r="X556" s="44"/>
      <c r="Y556" s="4"/>
      <c r="Z556" s="45"/>
      <c r="AA556" s="45"/>
      <c r="AB556" s="4"/>
    </row>
    <row r="557" spans="1:28" ht="409.6">
      <c r="A557" s="168"/>
      <c r="B557" s="117"/>
      <c r="C557" s="120"/>
      <c r="D557" s="116"/>
      <c r="E557" s="116"/>
      <c r="F557" s="116" t="s">
        <v>865</v>
      </c>
      <c r="G557" s="116" t="s">
        <v>1716</v>
      </c>
      <c r="H557" s="116" t="s">
        <v>1712</v>
      </c>
      <c r="I557" s="39"/>
      <c r="J557" s="39"/>
      <c r="K557" s="39"/>
      <c r="L557" s="39"/>
      <c r="M557" s="39"/>
      <c r="N557" s="39"/>
      <c r="O557" s="39"/>
      <c r="P557" s="39"/>
      <c r="Q557" s="39"/>
      <c r="R557" s="40"/>
      <c r="S557" s="40"/>
      <c r="T557" s="41"/>
      <c r="U557" s="42"/>
      <c r="V557" s="42"/>
      <c r="W557" s="43"/>
      <c r="X557" s="44"/>
      <c r="Y557" s="4"/>
      <c r="Z557" s="45"/>
      <c r="AA557" s="45"/>
      <c r="AB557" s="4"/>
    </row>
    <row r="558" spans="1:28" ht="409.6">
      <c r="A558" s="168"/>
      <c r="B558" s="118"/>
      <c r="C558" s="121"/>
      <c r="D558" s="116"/>
      <c r="E558" s="116"/>
      <c r="F558" s="116" t="s">
        <v>867</v>
      </c>
      <c r="G558" s="116" t="s">
        <v>1717</v>
      </c>
      <c r="H558" s="116" t="s">
        <v>1712</v>
      </c>
      <c r="I558" s="39"/>
      <c r="J558" s="39"/>
      <c r="K558" s="39"/>
      <c r="L558" s="39"/>
      <c r="M558" s="39"/>
      <c r="N558" s="39"/>
      <c r="O558" s="39"/>
      <c r="P558" s="39"/>
      <c r="Q558" s="39"/>
      <c r="R558" s="40"/>
      <c r="S558" s="40"/>
      <c r="T558" s="41"/>
      <c r="U558" s="42"/>
      <c r="V558" s="42"/>
      <c r="W558" s="43"/>
      <c r="X558" s="44"/>
      <c r="Y558" s="4"/>
      <c r="Z558" s="45"/>
      <c r="AA558" s="45"/>
      <c r="AB558" s="4"/>
    </row>
    <row r="559" spans="1:28" ht="409.6">
      <c r="A559" s="126" t="s">
        <v>1718</v>
      </c>
      <c r="B559" s="134" t="s">
        <v>1719</v>
      </c>
      <c r="C559" s="134" t="s">
        <v>1712</v>
      </c>
      <c r="D559" s="137" t="s">
        <v>1713</v>
      </c>
      <c r="E559" s="137"/>
      <c r="F559" s="137" t="s">
        <v>860</v>
      </c>
      <c r="G559" s="137" t="s">
        <v>1715</v>
      </c>
      <c r="H559" s="137" t="s">
        <v>1712</v>
      </c>
      <c r="I559" s="39"/>
      <c r="J559" s="39"/>
      <c r="K559" s="39"/>
      <c r="L559" s="39"/>
      <c r="M559" s="39"/>
      <c r="N559" s="39"/>
      <c r="O559" s="39"/>
      <c r="P559" s="39"/>
      <c r="Q559" s="39"/>
      <c r="R559" s="40"/>
      <c r="S559" s="40"/>
      <c r="T559" s="41">
        <v>0.74</v>
      </c>
      <c r="U559" s="42" t="s">
        <v>1714</v>
      </c>
      <c r="V559" s="42"/>
      <c r="W559" s="43"/>
      <c r="X559" s="44"/>
      <c r="Y559" s="4"/>
      <c r="Z559" s="45"/>
      <c r="AA559" s="45"/>
      <c r="AB559" s="4"/>
    </row>
    <row r="560" spans="1:28" ht="409.6">
      <c r="A560" s="126" t="s">
        <v>1718</v>
      </c>
      <c r="B560" s="142"/>
      <c r="C560" s="142"/>
      <c r="D560" s="137" t="s">
        <v>1713</v>
      </c>
      <c r="E560" s="137"/>
      <c r="F560" s="137" t="s">
        <v>863</v>
      </c>
      <c r="G560" s="137" t="s">
        <v>1716</v>
      </c>
      <c r="H560" s="137" t="s">
        <v>1712</v>
      </c>
      <c r="I560" s="39"/>
      <c r="J560" s="39"/>
      <c r="K560" s="39"/>
      <c r="L560" s="39"/>
      <c r="M560" s="39"/>
      <c r="N560" s="39"/>
      <c r="O560" s="39"/>
      <c r="P560" s="39"/>
      <c r="Q560" s="39"/>
      <c r="R560" s="40"/>
      <c r="S560" s="40"/>
      <c r="T560" s="41"/>
      <c r="U560" s="42"/>
      <c r="V560" s="42"/>
      <c r="W560" s="43"/>
      <c r="X560" s="44"/>
      <c r="Y560" s="4"/>
      <c r="Z560" s="45"/>
      <c r="AA560" s="45"/>
      <c r="AB560" s="4"/>
    </row>
    <row r="561" spans="1:28" ht="409.6">
      <c r="A561" s="126" t="s">
        <v>1718</v>
      </c>
      <c r="B561" s="142"/>
      <c r="C561" s="142"/>
      <c r="D561" s="137" t="s">
        <v>1713</v>
      </c>
      <c r="E561" s="137"/>
      <c r="F561" s="137" t="s">
        <v>865</v>
      </c>
      <c r="G561" s="137" t="s">
        <v>1717</v>
      </c>
      <c r="H561" s="137" t="s">
        <v>1712</v>
      </c>
      <c r="I561" s="39"/>
      <c r="J561" s="39"/>
      <c r="K561" s="39"/>
      <c r="L561" s="39"/>
      <c r="M561" s="39"/>
      <c r="N561" s="39"/>
      <c r="O561" s="39"/>
      <c r="P561" s="39"/>
      <c r="Q561" s="39"/>
      <c r="R561" s="40"/>
      <c r="S561" s="40"/>
      <c r="T561" s="41"/>
      <c r="U561" s="42"/>
      <c r="V561" s="42"/>
      <c r="W561" s="43"/>
      <c r="X561" s="44"/>
      <c r="Y561" s="4"/>
      <c r="Z561" s="45"/>
      <c r="AA561" s="45"/>
      <c r="AB561" s="4"/>
    </row>
    <row r="562" spans="1:28" ht="409.6">
      <c r="A562" s="126" t="s">
        <v>1718</v>
      </c>
      <c r="B562" s="138"/>
      <c r="C562" s="138"/>
      <c r="D562" s="137" t="s">
        <v>1713</v>
      </c>
      <c r="E562" s="137"/>
      <c r="F562" s="137" t="s">
        <v>867</v>
      </c>
      <c r="G562" s="137" t="s">
        <v>1713</v>
      </c>
      <c r="H562" s="137" t="s">
        <v>1712</v>
      </c>
      <c r="I562" s="39"/>
      <c r="J562" s="39"/>
      <c r="K562" s="39"/>
      <c r="L562" s="39"/>
      <c r="M562" s="39"/>
      <c r="N562" s="39"/>
      <c r="O562" s="39"/>
      <c r="P562" s="39"/>
      <c r="Q562" s="39"/>
      <c r="R562" s="40"/>
      <c r="S562" s="40"/>
      <c r="T562" s="41"/>
      <c r="U562" s="42"/>
      <c r="V562" s="42"/>
      <c r="W562" s="43"/>
      <c r="X562" s="44"/>
      <c r="Y562" s="4"/>
      <c r="Z562" s="45"/>
      <c r="AA562" s="45"/>
      <c r="AB562" s="4"/>
    </row>
    <row r="563" spans="1:28" ht="409.6">
      <c r="A563" s="126" t="s">
        <v>1720</v>
      </c>
      <c r="B563" s="134" t="s">
        <v>1721</v>
      </c>
      <c r="C563" s="135" t="s">
        <v>1712</v>
      </c>
      <c r="D563" s="137" t="s">
        <v>1713</v>
      </c>
      <c r="E563" s="137"/>
      <c r="F563" s="137" t="s">
        <v>860</v>
      </c>
      <c r="G563" s="137" t="s">
        <v>1717</v>
      </c>
      <c r="H563" s="137" t="s">
        <v>1712</v>
      </c>
      <c r="I563" s="39"/>
      <c r="J563" s="39"/>
      <c r="K563" s="39"/>
      <c r="L563" s="39"/>
      <c r="M563" s="39"/>
      <c r="N563" s="39"/>
      <c r="O563" s="39"/>
      <c r="P563" s="39"/>
      <c r="Q563" s="39"/>
      <c r="R563" s="40"/>
      <c r="S563" s="40"/>
      <c r="T563" s="41"/>
      <c r="U563" s="42"/>
      <c r="V563" s="42"/>
      <c r="W563" s="43"/>
      <c r="X563" s="44"/>
      <c r="Y563" s="4"/>
      <c r="Z563" s="45"/>
      <c r="AA563" s="45"/>
      <c r="AB563" s="4"/>
    </row>
    <row r="564" spans="1:28" ht="409.6">
      <c r="A564" s="126" t="s">
        <v>1720</v>
      </c>
      <c r="B564" s="142"/>
      <c r="C564" s="141"/>
      <c r="D564" s="137"/>
      <c r="E564" s="137"/>
      <c r="F564" s="137" t="s">
        <v>863</v>
      </c>
      <c r="G564" s="137" t="s">
        <v>1713</v>
      </c>
      <c r="H564" s="137" t="s">
        <v>1712</v>
      </c>
      <c r="I564" s="39"/>
      <c r="J564" s="39"/>
      <c r="K564" s="39"/>
      <c r="L564" s="39"/>
      <c r="M564" s="39"/>
      <c r="N564" s="39"/>
      <c r="O564" s="39"/>
      <c r="P564" s="39"/>
      <c r="Q564" s="39"/>
      <c r="R564" s="40"/>
      <c r="S564" s="40"/>
      <c r="T564" s="41"/>
      <c r="U564" s="42"/>
      <c r="V564" s="42"/>
      <c r="W564" s="43"/>
      <c r="X564" s="44"/>
      <c r="Y564" s="4"/>
      <c r="Z564" s="45"/>
      <c r="AA564" s="45"/>
      <c r="AB564" s="4"/>
    </row>
    <row r="565" spans="1:28" ht="409.6">
      <c r="A565" s="126" t="s">
        <v>1720</v>
      </c>
      <c r="B565" s="142"/>
      <c r="C565" s="141"/>
      <c r="D565" s="137"/>
      <c r="E565" s="137"/>
      <c r="F565" s="137" t="s">
        <v>865</v>
      </c>
      <c r="G565" s="137" t="s">
        <v>1722</v>
      </c>
      <c r="H565" s="137" t="s">
        <v>1712</v>
      </c>
      <c r="I565" s="39"/>
      <c r="J565" s="39"/>
      <c r="K565" s="39"/>
      <c r="L565" s="39"/>
      <c r="M565" s="39"/>
      <c r="N565" s="39"/>
      <c r="O565" s="39"/>
      <c r="P565" s="39"/>
      <c r="Q565" s="39"/>
      <c r="R565" s="40"/>
      <c r="S565" s="40"/>
      <c r="T565" s="41"/>
      <c r="U565" s="42"/>
      <c r="V565" s="42"/>
      <c r="W565" s="43"/>
      <c r="X565" s="44"/>
      <c r="Y565" s="4"/>
      <c r="Z565" s="45"/>
      <c r="AA565" s="45"/>
      <c r="AB565" s="4"/>
    </row>
    <row r="566" spans="1:28" ht="409.6">
      <c r="A566" s="126" t="s">
        <v>1720</v>
      </c>
      <c r="B566" s="138"/>
      <c r="C566" s="139"/>
      <c r="D566" s="137"/>
      <c r="E566" s="137"/>
      <c r="F566" s="137" t="s">
        <v>867</v>
      </c>
      <c r="G566" s="137" t="s">
        <v>1716</v>
      </c>
      <c r="H566" s="137" t="s">
        <v>1712</v>
      </c>
      <c r="I566" s="39"/>
      <c r="J566" s="39"/>
      <c r="K566" s="39"/>
      <c r="L566" s="39"/>
      <c r="M566" s="39"/>
      <c r="N566" s="39"/>
      <c r="O566" s="39"/>
      <c r="P566" s="39"/>
      <c r="Q566" s="39"/>
      <c r="R566" s="40"/>
      <c r="S566" s="40"/>
      <c r="T566" s="41"/>
      <c r="U566" s="42"/>
      <c r="V566" s="42"/>
      <c r="W566" s="43"/>
      <c r="X566" s="44"/>
      <c r="Y566" s="4"/>
      <c r="Z566" s="45"/>
      <c r="AA566" s="45"/>
      <c r="AB566" s="4"/>
    </row>
    <row r="567" spans="1:28" ht="409.6">
      <c r="A567" s="126" t="s">
        <v>1723</v>
      </c>
      <c r="B567" s="115" t="s">
        <v>1724</v>
      </c>
      <c r="C567" s="119" t="s">
        <v>1725</v>
      </c>
      <c r="D567" s="116" t="s">
        <v>1726</v>
      </c>
      <c r="E567" s="116"/>
      <c r="F567" s="116" t="s">
        <v>860</v>
      </c>
      <c r="G567" s="116" t="s">
        <v>1522</v>
      </c>
      <c r="H567" s="116" t="s">
        <v>1523</v>
      </c>
      <c r="I567" s="39"/>
      <c r="J567" s="39"/>
      <c r="K567" s="39"/>
      <c r="L567" s="39"/>
      <c r="M567" s="39"/>
      <c r="N567" s="39"/>
      <c r="O567" s="39"/>
      <c r="P567" s="39"/>
      <c r="Q567" s="39"/>
      <c r="R567" s="40"/>
      <c r="S567" s="40"/>
      <c r="T567" s="41" t="s">
        <v>293</v>
      </c>
      <c r="U567" s="42"/>
      <c r="V567" s="42"/>
      <c r="W567" s="43"/>
      <c r="X567" s="44"/>
      <c r="Y567" s="4"/>
      <c r="Z567" s="45"/>
      <c r="AA567" s="45"/>
      <c r="AB567" s="4"/>
    </row>
    <row r="568" spans="1:28" ht="409.6">
      <c r="A568" s="126" t="s">
        <v>1723</v>
      </c>
      <c r="B568" s="117"/>
      <c r="C568" s="120"/>
      <c r="D568" s="116" t="s">
        <v>1726</v>
      </c>
      <c r="E568" s="116"/>
      <c r="F568" s="116" t="s">
        <v>863</v>
      </c>
      <c r="G568" s="116" t="s">
        <v>1520</v>
      </c>
      <c r="H568" s="116" t="s">
        <v>1521</v>
      </c>
      <c r="I568" s="39"/>
      <c r="J568" s="39"/>
      <c r="K568" s="39"/>
      <c r="L568" s="39"/>
      <c r="M568" s="39"/>
      <c r="N568" s="39"/>
      <c r="O568" s="39"/>
      <c r="P568" s="39"/>
      <c r="Q568" s="39"/>
      <c r="R568" s="40"/>
      <c r="S568" s="40"/>
      <c r="T568" s="41"/>
      <c r="U568" s="42"/>
      <c r="V568" s="42"/>
      <c r="W568" s="43"/>
      <c r="X568" s="44"/>
      <c r="Y568" s="4"/>
      <c r="Z568" s="45"/>
      <c r="AA568" s="45"/>
      <c r="AB568" s="4"/>
    </row>
    <row r="569" spans="1:28" ht="409.6">
      <c r="A569" s="126" t="s">
        <v>1723</v>
      </c>
      <c r="B569" s="118"/>
      <c r="C569" s="121"/>
      <c r="D569" s="116" t="s">
        <v>1726</v>
      </c>
      <c r="E569" s="116"/>
      <c r="F569" s="116" t="s">
        <v>865</v>
      </c>
      <c r="G569" s="116" t="s">
        <v>1518</v>
      </c>
      <c r="H569" s="116" t="s">
        <v>1519</v>
      </c>
      <c r="I569" s="39"/>
      <c r="J569" s="39"/>
      <c r="K569" s="39"/>
      <c r="L569" s="39"/>
      <c r="M569" s="39"/>
      <c r="N569" s="39"/>
      <c r="O569" s="39"/>
      <c r="P569" s="39"/>
      <c r="Q569" s="39"/>
      <c r="R569" s="40"/>
      <c r="S569" s="40"/>
      <c r="T569" s="41"/>
      <c r="U569" s="42"/>
      <c r="V569" s="42"/>
      <c r="W569" s="43"/>
      <c r="X569" s="44"/>
      <c r="Y569" s="4"/>
      <c r="Z569" s="45"/>
      <c r="AA569" s="45"/>
      <c r="AB569" s="4"/>
    </row>
    <row r="570" spans="1:28" ht="409.6">
      <c r="A570" s="126" t="s">
        <v>1727</v>
      </c>
      <c r="B570" s="115" t="s">
        <v>1728</v>
      </c>
      <c r="C570" s="119" t="s">
        <v>1516</v>
      </c>
      <c r="D570" s="116" t="s">
        <v>1517</v>
      </c>
      <c r="E570" s="116"/>
      <c r="F570" s="116" t="s">
        <v>860</v>
      </c>
      <c r="G570" s="116" t="s">
        <v>1522</v>
      </c>
      <c r="H570" s="116" t="s">
        <v>1523</v>
      </c>
      <c r="I570" s="39"/>
      <c r="J570" s="39"/>
      <c r="K570" s="39"/>
      <c r="L570" s="39"/>
      <c r="M570" s="39"/>
      <c r="N570" s="39"/>
      <c r="O570" s="39"/>
      <c r="P570" s="39"/>
      <c r="Q570" s="39"/>
      <c r="R570" s="40"/>
      <c r="S570" s="40"/>
      <c r="T570" s="41" t="s">
        <v>1729</v>
      </c>
      <c r="U570" s="42"/>
      <c r="V570" s="42"/>
      <c r="W570" s="43"/>
      <c r="X570" s="44"/>
      <c r="Y570" s="4"/>
      <c r="Z570" s="45"/>
      <c r="AA570" s="45"/>
      <c r="AB570" s="4"/>
    </row>
    <row r="571" spans="1:28" ht="409.6">
      <c r="A571" s="126" t="s">
        <v>1727</v>
      </c>
      <c r="B571" s="117"/>
      <c r="C571" s="120"/>
      <c r="D571" s="116" t="s">
        <v>1517</v>
      </c>
      <c r="E571" s="116"/>
      <c r="F571" s="116" t="s">
        <v>863</v>
      </c>
      <c r="G571" s="116" t="s">
        <v>1520</v>
      </c>
      <c r="H571" s="116" t="s">
        <v>1521</v>
      </c>
      <c r="I571" s="39"/>
      <c r="J571" s="39"/>
      <c r="K571" s="39"/>
      <c r="L571" s="39"/>
      <c r="M571" s="39"/>
      <c r="N571" s="39"/>
      <c r="O571" s="39"/>
      <c r="P571" s="39"/>
      <c r="Q571" s="39"/>
      <c r="R571" s="40"/>
      <c r="S571" s="40"/>
      <c r="T571" s="41"/>
      <c r="U571" s="42"/>
      <c r="V571" s="42"/>
      <c r="W571" s="43"/>
      <c r="X571" s="44"/>
      <c r="Y571" s="4"/>
      <c r="Z571" s="45"/>
      <c r="AA571" s="45"/>
      <c r="AB571" s="4"/>
    </row>
    <row r="572" spans="1:28" ht="409.6">
      <c r="A572" s="126" t="s">
        <v>1727</v>
      </c>
      <c r="B572" s="118"/>
      <c r="C572" s="121"/>
      <c r="D572" s="116" t="s">
        <v>1517</v>
      </c>
      <c r="E572" s="116"/>
      <c r="F572" s="116" t="s">
        <v>865</v>
      </c>
      <c r="G572" s="116" t="s">
        <v>1518</v>
      </c>
      <c r="H572" s="116" t="s">
        <v>1519</v>
      </c>
      <c r="I572" s="39"/>
      <c r="J572" s="39"/>
      <c r="K572" s="39"/>
      <c r="L572" s="39"/>
      <c r="M572" s="39"/>
      <c r="N572" s="39"/>
      <c r="O572" s="39"/>
      <c r="P572" s="39"/>
      <c r="Q572" s="39"/>
      <c r="R572" s="40"/>
      <c r="S572" s="40"/>
      <c r="T572" s="41"/>
      <c r="U572" s="42"/>
      <c r="V572" s="42"/>
      <c r="W572" s="43"/>
      <c r="X572" s="44"/>
      <c r="Y572" s="4"/>
      <c r="Z572" s="45"/>
      <c r="AA572" s="45"/>
      <c r="AB572" s="4"/>
    </row>
    <row r="573" spans="1:28" ht="120">
      <c r="A573" s="126" t="s">
        <v>1730</v>
      </c>
      <c r="B573" s="115" t="s">
        <v>1731</v>
      </c>
      <c r="C573" s="119" t="s">
        <v>1526</v>
      </c>
      <c r="D573" s="116" t="s">
        <v>1527</v>
      </c>
      <c r="E573" s="116"/>
      <c r="F573" s="116" t="s">
        <v>860</v>
      </c>
      <c r="G573" s="116" t="s">
        <v>1532</v>
      </c>
      <c r="H573" s="116" t="s">
        <v>1533</v>
      </c>
      <c r="I573" s="39"/>
      <c r="J573" s="39"/>
      <c r="K573" s="39"/>
      <c r="L573" s="39"/>
      <c r="M573" s="39"/>
      <c r="N573" s="39"/>
      <c r="O573" s="39"/>
      <c r="P573" s="39"/>
      <c r="Q573" s="39"/>
      <c r="R573" s="40"/>
      <c r="S573" s="40"/>
      <c r="T573" s="41"/>
      <c r="U573" s="42"/>
      <c r="V573" s="42"/>
      <c r="W573" s="43"/>
      <c r="X573" s="44"/>
      <c r="Y573" s="4"/>
      <c r="Z573" s="45"/>
      <c r="AA573" s="45"/>
      <c r="AB573" s="4"/>
    </row>
    <row r="574" spans="1:28" ht="120">
      <c r="A574" s="126" t="s">
        <v>1730</v>
      </c>
      <c r="B574" s="117"/>
      <c r="C574" s="120"/>
      <c r="D574" s="116" t="s">
        <v>1527</v>
      </c>
      <c r="E574" s="116"/>
      <c r="F574" s="116" t="s">
        <v>863</v>
      </c>
      <c r="G574" s="116" t="s">
        <v>1528</v>
      </c>
      <c r="H574" s="116" t="s">
        <v>1529</v>
      </c>
      <c r="I574" s="39"/>
      <c r="J574" s="39"/>
      <c r="K574" s="39"/>
      <c r="L574" s="39"/>
      <c r="M574" s="39"/>
      <c r="N574" s="39"/>
      <c r="O574" s="39"/>
      <c r="P574" s="39"/>
      <c r="Q574" s="39"/>
      <c r="R574" s="40"/>
      <c r="S574" s="40"/>
      <c r="T574" s="41"/>
      <c r="U574" s="42"/>
      <c r="V574" s="42"/>
      <c r="W574" s="43"/>
      <c r="X574" s="44"/>
      <c r="Y574" s="4"/>
      <c r="Z574" s="45"/>
      <c r="AA574" s="45"/>
      <c r="AB574" s="4"/>
    </row>
    <row r="575" spans="1:28" ht="120">
      <c r="A575" s="126" t="s">
        <v>1730</v>
      </c>
      <c r="B575" s="117"/>
      <c r="C575" s="120"/>
      <c r="D575" s="116" t="s">
        <v>1527</v>
      </c>
      <c r="E575" s="116"/>
      <c r="F575" s="116" t="s">
        <v>865</v>
      </c>
      <c r="G575" s="116" t="s">
        <v>1530</v>
      </c>
      <c r="H575" s="116" t="s">
        <v>1531</v>
      </c>
      <c r="I575" s="39"/>
      <c r="J575" s="39"/>
      <c r="K575" s="39"/>
      <c r="L575" s="39"/>
      <c r="M575" s="39"/>
      <c r="N575" s="39"/>
      <c r="O575" s="39"/>
      <c r="P575" s="39"/>
      <c r="Q575" s="39"/>
      <c r="R575" s="40"/>
      <c r="S575" s="40"/>
      <c r="T575" s="41"/>
      <c r="U575" s="42"/>
      <c r="V575" s="42"/>
      <c r="W575" s="43"/>
      <c r="X575" s="44"/>
      <c r="Y575" s="4"/>
      <c r="Z575" s="45"/>
      <c r="AA575" s="45"/>
      <c r="AB575" s="4"/>
    </row>
    <row r="576" spans="1:28" ht="120">
      <c r="A576" s="126" t="s">
        <v>1730</v>
      </c>
      <c r="B576" s="118"/>
      <c r="C576" s="121"/>
      <c r="D576" s="116" t="s">
        <v>1527</v>
      </c>
      <c r="E576" s="116"/>
      <c r="F576" s="116" t="s">
        <v>867</v>
      </c>
      <c r="G576" s="116" t="s">
        <v>1534</v>
      </c>
      <c r="H576" s="116" t="s">
        <v>1535</v>
      </c>
      <c r="I576" s="39"/>
      <c r="J576" s="39"/>
      <c r="K576" s="39"/>
      <c r="L576" s="39"/>
      <c r="M576" s="39"/>
      <c r="N576" s="39"/>
      <c r="O576" s="39"/>
      <c r="P576" s="39"/>
      <c r="Q576" s="39"/>
      <c r="R576" s="40"/>
      <c r="S576" s="40"/>
      <c r="T576" s="41"/>
      <c r="U576" s="42"/>
      <c r="V576" s="42"/>
      <c r="W576" s="43"/>
      <c r="X576" s="44"/>
      <c r="Y576" s="4"/>
      <c r="Z576" s="45"/>
      <c r="AA576" s="45"/>
      <c r="AB576" s="4"/>
    </row>
    <row r="577" spans="1:28" ht="409.6">
      <c r="A577" s="126" t="s">
        <v>1732</v>
      </c>
      <c r="B577" s="119" t="s">
        <v>1733</v>
      </c>
      <c r="C577" s="119" t="s">
        <v>1734</v>
      </c>
      <c r="D577" s="116" t="s">
        <v>1735</v>
      </c>
      <c r="E577" s="116"/>
      <c r="F577" s="116" t="s">
        <v>860</v>
      </c>
      <c r="G577" s="116" t="s">
        <v>1736</v>
      </c>
      <c r="H577" s="116" t="s">
        <v>1406</v>
      </c>
      <c r="I577" s="39"/>
      <c r="J577" s="39"/>
      <c r="K577" s="39"/>
      <c r="L577" s="39"/>
      <c r="M577" s="39"/>
      <c r="N577" s="39"/>
      <c r="O577" s="39"/>
      <c r="P577" s="39"/>
      <c r="Q577" s="39"/>
      <c r="R577" s="40"/>
      <c r="S577" s="40"/>
      <c r="T577" s="41"/>
      <c r="U577" s="42"/>
      <c r="V577" s="42"/>
      <c r="W577" s="43"/>
      <c r="X577" s="44"/>
      <c r="Y577" s="4"/>
      <c r="Z577" s="45"/>
      <c r="AA577" s="45"/>
      <c r="AB577" s="4"/>
    </row>
    <row r="578" spans="1:28" ht="150">
      <c r="A578" s="126" t="s">
        <v>1732</v>
      </c>
      <c r="B578" s="120"/>
      <c r="C578" s="120"/>
      <c r="D578" s="116" t="s">
        <v>1735</v>
      </c>
      <c r="E578" s="116"/>
      <c r="F578" s="116" t="s">
        <v>863</v>
      </c>
      <c r="G578" s="116" t="s">
        <v>1737</v>
      </c>
      <c r="H578" s="116" t="s">
        <v>1402</v>
      </c>
      <c r="I578" s="39"/>
      <c r="J578" s="39"/>
      <c r="K578" s="39"/>
      <c r="L578" s="39"/>
      <c r="M578" s="39"/>
      <c r="N578" s="39"/>
      <c r="O578" s="39"/>
      <c r="P578" s="39"/>
      <c r="Q578" s="39"/>
      <c r="R578" s="40"/>
      <c r="S578" s="40"/>
      <c r="T578" s="41"/>
      <c r="U578" s="42"/>
      <c r="V578" s="42"/>
      <c r="W578" s="43"/>
      <c r="X578" s="44"/>
      <c r="Y578" s="4"/>
      <c r="Z578" s="45"/>
      <c r="AA578" s="45"/>
      <c r="AB578" s="4"/>
    </row>
    <row r="579" spans="1:28" ht="150">
      <c r="A579" s="126" t="s">
        <v>1732</v>
      </c>
      <c r="B579" s="121"/>
      <c r="C579" s="121"/>
      <c r="D579" s="116" t="s">
        <v>1735</v>
      </c>
      <c r="E579" s="116"/>
      <c r="F579" s="116" t="s">
        <v>865</v>
      </c>
      <c r="G579" s="116" t="s">
        <v>1738</v>
      </c>
      <c r="H579" s="116" t="s">
        <v>1404</v>
      </c>
      <c r="I579" s="39"/>
      <c r="J579" s="39"/>
      <c r="K579" s="39"/>
      <c r="L579" s="39"/>
      <c r="M579" s="39"/>
      <c r="N579" s="39"/>
      <c r="O579" s="39"/>
      <c r="P579" s="39"/>
      <c r="Q579" s="39"/>
      <c r="R579" s="40"/>
      <c r="S579" s="40"/>
      <c r="T579" s="41"/>
      <c r="U579" s="42"/>
      <c r="V579" s="42"/>
      <c r="W579" s="43"/>
      <c r="X579" s="44"/>
      <c r="Y579" s="4"/>
      <c r="Z579" s="45"/>
      <c r="AA579" s="45"/>
      <c r="AB579" s="4"/>
    </row>
    <row r="580" spans="1:28" ht="409.6">
      <c r="A580" s="126" t="s">
        <v>1739</v>
      </c>
      <c r="B580" s="119" t="s">
        <v>1740</v>
      </c>
      <c r="C580" s="119" t="s">
        <v>1399</v>
      </c>
      <c r="D580" s="116" t="s">
        <v>1741</v>
      </c>
      <c r="E580" s="116"/>
      <c r="F580" s="116" t="s">
        <v>860</v>
      </c>
      <c r="G580" s="116" t="s">
        <v>1736</v>
      </c>
      <c r="H580" s="116" t="s">
        <v>1406</v>
      </c>
      <c r="I580" s="39"/>
      <c r="J580" s="39"/>
      <c r="K580" s="39"/>
      <c r="L580" s="39"/>
      <c r="M580" s="39"/>
      <c r="N580" s="39"/>
      <c r="O580" s="39"/>
      <c r="P580" s="39"/>
      <c r="Q580" s="39"/>
      <c r="R580" s="40"/>
      <c r="S580" s="40"/>
      <c r="T580" s="41"/>
      <c r="U580" s="42"/>
      <c r="V580" s="42"/>
      <c r="W580" s="43"/>
      <c r="X580" s="44"/>
      <c r="Y580" s="4"/>
      <c r="Z580" s="45"/>
      <c r="AA580" s="45"/>
      <c r="AB580" s="4"/>
    </row>
    <row r="581" spans="1:28" ht="105">
      <c r="A581" s="126" t="s">
        <v>1739</v>
      </c>
      <c r="B581" s="120"/>
      <c r="C581" s="120"/>
      <c r="D581" s="116" t="s">
        <v>1741</v>
      </c>
      <c r="E581" s="116"/>
      <c r="F581" s="116" t="s">
        <v>863</v>
      </c>
      <c r="G581" s="116" t="s">
        <v>1738</v>
      </c>
      <c r="H581" s="116" t="s">
        <v>1404</v>
      </c>
      <c r="I581" s="39"/>
      <c r="J581" s="39"/>
      <c r="K581" s="39"/>
      <c r="L581" s="39"/>
      <c r="M581" s="39"/>
      <c r="N581" s="39"/>
      <c r="O581" s="39"/>
      <c r="P581" s="39"/>
      <c r="Q581" s="39"/>
      <c r="R581" s="40"/>
      <c r="S581" s="40"/>
      <c r="T581" s="41"/>
      <c r="U581" s="42"/>
      <c r="V581" s="42"/>
      <c r="W581" s="43"/>
      <c r="X581" s="44"/>
      <c r="Y581" s="4"/>
      <c r="Z581" s="45"/>
      <c r="AA581" s="45"/>
      <c r="AB581" s="4"/>
    </row>
    <row r="582" spans="1:28" ht="150">
      <c r="A582" s="126" t="s">
        <v>1739</v>
      </c>
      <c r="B582" s="121"/>
      <c r="C582" s="121"/>
      <c r="D582" s="116" t="s">
        <v>1741</v>
      </c>
      <c r="E582" s="116"/>
      <c r="F582" s="116" t="s">
        <v>865</v>
      </c>
      <c r="G582" s="116" t="s">
        <v>1737</v>
      </c>
      <c r="H582" s="116" t="s">
        <v>1402</v>
      </c>
      <c r="I582" s="39"/>
      <c r="J582" s="39"/>
      <c r="K582" s="39"/>
      <c r="L582" s="39"/>
      <c r="M582" s="39"/>
      <c r="N582" s="39"/>
      <c r="O582" s="39"/>
      <c r="P582" s="39"/>
      <c r="Q582" s="39"/>
      <c r="R582" s="40"/>
      <c r="S582" s="40"/>
      <c r="T582" s="41"/>
      <c r="U582" s="42"/>
      <c r="V582" s="42"/>
      <c r="W582" s="43"/>
      <c r="X582" s="44"/>
      <c r="Y582" s="4"/>
      <c r="Z582" s="45"/>
      <c r="AA582" s="45"/>
      <c r="AB582" s="4"/>
    </row>
    <row r="583" spans="1:28" ht="180">
      <c r="A583" s="126" t="s">
        <v>1742</v>
      </c>
      <c r="B583" s="119" t="s">
        <v>1743</v>
      </c>
      <c r="C583" s="119" t="s">
        <v>1744</v>
      </c>
      <c r="D583" s="116" t="s">
        <v>1745</v>
      </c>
      <c r="E583" s="116"/>
      <c r="F583" s="116" t="s">
        <v>860</v>
      </c>
      <c r="G583" s="116" t="s">
        <v>1583</v>
      </c>
      <c r="H583" s="116" t="s">
        <v>1584</v>
      </c>
      <c r="I583" s="39"/>
      <c r="J583" s="39"/>
      <c r="K583" s="39"/>
      <c r="L583" s="39"/>
      <c r="M583" s="39"/>
      <c r="N583" s="39"/>
      <c r="O583" s="39"/>
      <c r="P583" s="39"/>
      <c r="Q583" s="39"/>
      <c r="R583" s="40"/>
      <c r="S583" s="40"/>
      <c r="T583" s="41" t="s">
        <v>293</v>
      </c>
      <c r="U583" s="42"/>
      <c r="V583" s="42"/>
      <c r="W583" s="43"/>
      <c r="X583" s="44"/>
      <c r="Y583" s="4"/>
      <c r="Z583" s="45"/>
      <c r="AA583" s="45"/>
      <c r="AB583" s="4"/>
    </row>
    <row r="584" spans="1:28" ht="180">
      <c r="A584" s="126" t="s">
        <v>1742</v>
      </c>
      <c r="B584" s="120"/>
      <c r="C584" s="120"/>
      <c r="D584" s="116" t="s">
        <v>1745</v>
      </c>
      <c r="E584" s="116"/>
      <c r="F584" s="116" t="s">
        <v>863</v>
      </c>
      <c r="G584" s="116" t="s">
        <v>1746</v>
      </c>
      <c r="H584" s="116" t="s">
        <v>739</v>
      </c>
      <c r="I584" s="39"/>
      <c r="J584" s="39"/>
      <c r="K584" s="39"/>
      <c r="L584" s="39"/>
      <c r="M584" s="39"/>
      <c r="N584" s="39"/>
      <c r="O584" s="39"/>
      <c r="P584" s="39"/>
      <c r="Q584" s="39"/>
      <c r="R584" s="40"/>
      <c r="S584" s="40"/>
      <c r="T584" s="41"/>
      <c r="U584" s="42"/>
      <c r="V584" s="42"/>
      <c r="W584" s="43"/>
      <c r="X584" s="44"/>
      <c r="Y584" s="4"/>
      <c r="Z584" s="45"/>
      <c r="AA584" s="45"/>
      <c r="AB584" s="4"/>
    </row>
    <row r="585" spans="1:28" ht="180">
      <c r="A585" s="126" t="s">
        <v>1742</v>
      </c>
      <c r="B585" s="120"/>
      <c r="C585" s="120"/>
      <c r="D585" s="116" t="s">
        <v>1745</v>
      </c>
      <c r="E585" s="116"/>
      <c r="F585" s="116" t="s">
        <v>865</v>
      </c>
      <c r="G585" s="116" t="s">
        <v>1747</v>
      </c>
      <c r="H585" s="116" t="s">
        <v>1586</v>
      </c>
      <c r="I585" s="39"/>
      <c r="J585" s="39"/>
      <c r="K585" s="39"/>
      <c r="L585" s="39"/>
      <c r="M585" s="39"/>
      <c r="N585" s="39"/>
      <c r="O585" s="39"/>
      <c r="P585" s="39"/>
      <c r="Q585" s="39"/>
      <c r="R585" s="40"/>
      <c r="S585" s="40"/>
      <c r="T585" s="41"/>
      <c r="U585" s="42"/>
      <c r="V585" s="42"/>
      <c r="W585" s="43"/>
      <c r="X585" s="44"/>
      <c r="Y585" s="4"/>
      <c r="Z585" s="45"/>
      <c r="AA585" s="45"/>
      <c r="AB585" s="4"/>
    </row>
    <row r="586" spans="1:28" ht="180">
      <c r="A586" s="126" t="s">
        <v>1742</v>
      </c>
      <c r="B586" s="121"/>
      <c r="C586" s="121"/>
      <c r="D586" s="116" t="s">
        <v>1745</v>
      </c>
      <c r="E586" s="116"/>
      <c r="F586" s="116" t="s">
        <v>867</v>
      </c>
      <c r="G586" s="116" t="s">
        <v>1748</v>
      </c>
      <c r="H586" s="116" t="s">
        <v>1749</v>
      </c>
      <c r="I586" s="39"/>
      <c r="J586" s="39"/>
      <c r="K586" s="39"/>
      <c r="L586" s="39"/>
      <c r="M586" s="39"/>
      <c r="N586" s="39"/>
      <c r="O586" s="39"/>
      <c r="P586" s="39"/>
      <c r="Q586" s="39"/>
      <c r="R586" s="40"/>
      <c r="S586" s="40"/>
      <c r="T586" s="41"/>
      <c r="U586" s="42"/>
      <c r="V586" s="42"/>
      <c r="W586" s="43"/>
      <c r="X586" s="44"/>
      <c r="Y586" s="4"/>
      <c r="Z586" s="45"/>
      <c r="AA586" s="45"/>
      <c r="AB586" s="4"/>
    </row>
    <row r="587" spans="1:28" ht="285">
      <c r="A587" s="126" t="s">
        <v>1750</v>
      </c>
      <c r="B587" s="116" t="s">
        <v>1751</v>
      </c>
      <c r="C587" s="116" t="s">
        <v>1752</v>
      </c>
      <c r="D587" s="116" t="s">
        <v>1753</v>
      </c>
      <c r="E587" s="116"/>
      <c r="F587" s="116" t="s">
        <v>860</v>
      </c>
      <c r="G587" s="116" t="s">
        <v>1754</v>
      </c>
      <c r="H587" s="116" t="s">
        <v>1147</v>
      </c>
      <c r="I587" s="39"/>
      <c r="J587" s="39"/>
      <c r="K587" s="39"/>
      <c r="L587" s="39"/>
      <c r="M587" s="39"/>
      <c r="N587" s="39"/>
      <c r="O587" s="39"/>
      <c r="P587" s="39"/>
      <c r="Q587" s="39"/>
      <c r="R587" s="40"/>
      <c r="S587" s="40"/>
      <c r="T587" s="41" t="s">
        <v>1755</v>
      </c>
      <c r="U587" s="42"/>
      <c r="V587" s="42"/>
      <c r="W587" s="43"/>
      <c r="X587" s="44"/>
      <c r="Y587" s="4"/>
      <c r="Z587" s="45"/>
      <c r="AA587" s="45"/>
      <c r="AB587" s="4"/>
    </row>
    <row r="588" spans="1:28" ht="150">
      <c r="A588" s="126" t="s">
        <v>1756</v>
      </c>
      <c r="B588" s="119" t="s">
        <v>1757</v>
      </c>
      <c r="C588" s="119" t="s">
        <v>1758</v>
      </c>
      <c r="D588" s="116" t="s">
        <v>1759</v>
      </c>
      <c r="E588" s="116"/>
      <c r="F588" s="116" t="s">
        <v>860</v>
      </c>
      <c r="G588" s="116" t="s">
        <v>956</v>
      </c>
      <c r="H588" s="116" t="s">
        <v>957</v>
      </c>
      <c r="I588" s="39"/>
      <c r="J588" s="39"/>
      <c r="K588" s="39"/>
      <c r="L588" s="39"/>
      <c r="M588" s="39"/>
      <c r="N588" s="39"/>
      <c r="O588" s="39"/>
      <c r="P588" s="39"/>
      <c r="Q588" s="39"/>
      <c r="R588" s="40"/>
      <c r="S588" s="40"/>
      <c r="T588" s="41"/>
      <c r="U588" s="42"/>
      <c r="V588" s="42"/>
      <c r="W588" s="43"/>
      <c r="X588" s="44"/>
      <c r="Y588" s="4"/>
      <c r="Z588" s="45"/>
      <c r="AA588" s="45"/>
      <c r="AB588" s="4"/>
    </row>
    <row r="589" spans="1:28" ht="150">
      <c r="A589" s="126" t="s">
        <v>1756</v>
      </c>
      <c r="B589" s="121"/>
      <c r="C589" s="121"/>
      <c r="D589" s="116" t="s">
        <v>1759</v>
      </c>
      <c r="E589" s="116"/>
      <c r="F589" s="116" t="s">
        <v>863</v>
      </c>
      <c r="G589" s="116" t="s">
        <v>1760</v>
      </c>
      <c r="H589" s="116" t="s">
        <v>1761</v>
      </c>
      <c r="I589" s="39"/>
      <c r="J589" s="39"/>
      <c r="K589" s="39"/>
      <c r="L589" s="39"/>
      <c r="M589" s="39"/>
      <c r="N589" s="39"/>
      <c r="O589" s="39"/>
      <c r="P589" s="39"/>
      <c r="Q589" s="39"/>
      <c r="R589" s="40"/>
      <c r="S589" s="40"/>
      <c r="T589" s="41"/>
      <c r="U589" s="42"/>
      <c r="V589" s="42"/>
      <c r="W589" s="43"/>
      <c r="X589" s="44"/>
      <c r="Y589" s="4"/>
      <c r="Z589" s="45"/>
      <c r="AA589" s="45"/>
      <c r="AB589" s="4"/>
    </row>
    <row r="590" spans="1:28" ht="285">
      <c r="A590" s="126" t="s">
        <v>1762</v>
      </c>
      <c r="B590" s="137" t="s">
        <v>1763</v>
      </c>
      <c r="C590" s="137" t="s">
        <v>1752</v>
      </c>
      <c r="D590" s="137" t="s">
        <v>1753</v>
      </c>
      <c r="E590" s="137"/>
      <c r="F590" s="137" t="s">
        <v>860</v>
      </c>
      <c r="G590" s="137" t="s">
        <v>1754</v>
      </c>
      <c r="H590" s="137" t="s">
        <v>1147</v>
      </c>
      <c r="I590" s="39"/>
      <c r="J590" s="39"/>
      <c r="K590" s="39"/>
      <c r="L590" s="39"/>
      <c r="M590" s="39"/>
      <c r="N590" s="39"/>
      <c r="O590" s="39"/>
      <c r="P590" s="39"/>
      <c r="Q590" s="39"/>
      <c r="R590" s="40"/>
      <c r="S590" s="40"/>
      <c r="T590" s="41"/>
      <c r="U590" s="42"/>
      <c r="V590" s="42"/>
      <c r="W590" s="43"/>
      <c r="X590" s="44"/>
      <c r="Y590" s="4"/>
      <c r="Z590" s="45"/>
      <c r="AA590" s="45"/>
      <c r="AB590" s="4"/>
    </row>
    <row r="591" spans="1:28" ht="398">
      <c r="A591" s="126" t="s">
        <v>1764</v>
      </c>
      <c r="B591" s="115" t="s">
        <v>1765</v>
      </c>
      <c r="C591" s="119" t="s">
        <v>1766</v>
      </c>
      <c r="D591" s="116" t="s">
        <v>1767</v>
      </c>
      <c r="E591" s="116"/>
      <c r="F591" s="116" t="s">
        <v>860</v>
      </c>
      <c r="G591" s="116" t="s">
        <v>1706</v>
      </c>
      <c r="H591" s="116" t="s">
        <v>1707</v>
      </c>
      <c r="I591" s="39"/>
      <c r="J591" s="39"/>
      <c r="K591" s="39"/>
      <c r="L591" s="39"/>
      <c r="M591" s="39"/>
      <c r="N591" s="39"/>
      <c r="O591" s="39"/>
      <c r="P591" s="39"/>
      <c r="Q591" s="39"/>
      <c r="R591" s="40"/>
      <c r="S591" s="40"/>
      <c r="T591" s="41"/>
      <c r="U591" s="42"/>
      <c r="V591" s="42"/>
      <c r="W591" s="43"/>
      <c r="X591" s="44"/>
      <c r="Y591" s="4"/>
      <c r="Z591" s="45"/>
      <c r="AA591" s="45"/>
      <c r="AB591" s="4"/>
    </row>
    <row r="592" spans="1:28" ht="398">
      <c r="A592" s="126" t="s">
        <v>1764</v>
      </c>
      <c r="B592" s="117"/>
      <c r="C592" s="120"/>
      <c r="D592" s="116" t="s">
        <v>1767</v>
      </c>
      <c r="E592" s="116"/>
      <c r="F592" s="116" t="s">
        <v>863</v>
      </c>
      <c r="G592" s="116" t="s">
        <v>540</v>
      </c>
      <c r="H592" s="116" t="s">
        <v>1704</v>
      </c>
      <c r="I592" s="39"/>
      <c r="J592" s="39"/>
      <c r="K592" s="39"/>
      <c r="L592" s="39"/>
      <c r="M592" s="39"/>
      <c r="N592" s="39"/>
      <c r="O592" s="39"/>
      <c r="P592" s="39"/>
      <c r="Q592" s="39"/>
      <c r="R592" s="40"/>
      <c r="S592" s="40"/>
      <c r="T592" s="41"/>
      <c r="U592" s="42"/>
      <c r="V592" s="42"/>
      <c r="W592" s="43"/>
      <c r="X592" s="44"/>
      <c r="Y592" s="4"/>
      <c r="Z592" s="45"/>
      <c r="AA592" s="45"/>
      <c r="AB592" s="4"/>
    </row>
    <row r="593" spans="1:28" ht="398">
      <c r="A593" s="126" t="s">
        <v>1764</v>
      </c>
      <c r="B593" s="118"/>
      <c r="C593" s="121"/>
      <c r="D593" s="116" t="s">
        <v>1767</v>
      </c>
      <c r="E593" s="116"/>
      <c r="F593" s="116" t="s">
        <v>865</v>
      </c>
      <c r="G593" s="116" t="s">
        <v>1655</v>
      </c>
      <c r="H593" s="116" t="s">
        <v>1705</v>
      </c>
      <c r="I593" s="39"/>
      <c r="J593" s="39"/>
      <c r="K593" s="39"/>
      <c r="L593" s="39"/>
      <c r="M593" s="39"/>
      <c r="N593" s="39"/>
      <c r="O593" s="39"/>
      <c r="P593" s="39"/>
      <c r="Q593" s="39"/>
      <c r="R593" s="40"/>
      <c r="S593" s="40"/>
      <c r="T593" s="41"/>
      <c r="U593" s="42"/>
      <c r="V593" s="42"/>
      <c r="W593" s="43"/>
      <c r="X593" s="44"/>
      <c r="Y593" s="4"/>
      <c r="Z593" s="45"/>
      <c r="AA593" s="45"/>
      <c r="AB593" s="4"/>
    </row>
    <row r="594" spans="1:28" ht="398">
      <c r="A594" s="126" t="s">
        <v>1768</v>
      </c>
      <c r="B594" s="115" t="s">
        <v>1769</v>
      </c>
      <c r="C594" s="119" t="s">
        <v>1766</v>
      </c>
      <c r="D594" s="116" t="s">
        <v>1767</v>
      </c>
      <c r="E594" s="116"/>
      <c r="F594" s="116" t="s">
        <v>860</v>
      </c>
      <c r="G594" s="116" t="s">
        <v>1706</v>
      </c>
      <c r="H594" s="116" t="s">
        <v>1707</v>
      </c>
      <c r="I594" s="39"/>
      <c r="J594" s="39"/>
      <c r="K594" s="39"/>
      <c r="L594" s="39"/>
      <c r="M594" s="39"/>
      <c r="N594" s="39"/>
      <c r="O594" s="39"/>
      <c r="P594" s="39"/>
      <c r="Q594" s="39"/>
      <c r="R594" s="40"/>
      <c r="S594" s="40"/>
      <c r="T594" s="41" t="s">
        <v>293</v>
      </c>
      <c r="U594" s="42"/>
      <c r="V594" s="42"/>
      <c r="W594" s="43"/>
      <c r="X594" s="44"/>
      <c r="Y594" s="4"/>
      <c r="Z594" s="45"/>
      <c r="AA594" s="45"/>
      <c r="AB594" s="4"/>
    </row>
    <row r="595" spans="1:28" ht="398">
      <c r="A595" s="126" t="s">
        <v>1768</v>
      </c>
      <c r="B595" s="117"/>
      <c r="C595" s="120"/>
      <c r="D595" s="116" t="s">
        <v>1767</v>
      </c>
      <c r="E595" s="116"/>
      <c r="F595" s="116" t="s">
        <v>863</v>
      </c>
      <c r="G595" s="116" t="s">
        <v>1655</v>
      </c>
      <c r="H595" s="116" t="s">
        <v>1705</v>
      </c>
      <c r="I595" s="39"/>
      <c r="J595" s="39"/>
      <c r="K595" s="39"/>
      <c r="L595" s="39"/>
      <c r="M595" s="39"/>
      <c r="N595" s="39"/>
      <c r="O595" s="39"/>
      <c r="P595" s="39"/>
      <c r="Q595" s="39"/>
      <c r="R595" s="40"/>
      <c r="S595" s="40"/>
      <c r="T595" s="41"/>
      <c r="U595" s="42"/>
      <c r="V595" s="42"/>
      <c r="W595" s="43"/>
      <c r="X595" s="44"/>
      <c r="Y595" s="4"/>
      <c r="Z595" s="45"/>
      <c r="AA595" s="45"/>
      <c r="AB595" s="4"/>
    </row>
    <row r="596" spans="1:28" ht="398">
      <c r="A596" s="126" t="s">
        <v>1768</v>
      </c>
      <c r="B596" s="118"/>
      <c r="C596" s="121"/>
      <c r="D596" s="116" t="s">
        <v>1767</v>
      </c>
      <c r="E596" s="116"/>
      <c r="F596" s="116" t="s">
        <v>865</v>
      </c>
      <c r="G596" s="116" t="s">
        <v>540</v>
      </c>
      <c r="H596" s="116" t="s">
        <v>1704</v>
      </c>
      <c r="I596" s="39"/>
      <c r="J596" s="39"/>
      <c r="K596" s="39"/>
      <c r="L596" s="39"/>
      <c r="M596" s="39"/>
      <c r="N596" s="39"/>
      <c r="O596" s="39"/>
      <c r="P596" s="39"/>
      <c r="Q596" s="39"/>
      <c r="R596" s="40"/>
      <c r="S596" s="40"/>
      <c r="T596" s="41"/>
      <c r="U596" s="42"/>
      <c r="V596" s="42"/>
      <c r="W596" s="43"/>
      <c r="X596" s="44"/>
      <c r="Y596" s="4"/>
      <c r="Z596" s="45"/>
      <c r="AA596" s="45"/>
      <c r="AB596" s="4"/>
    </row>
    <row r="597" spans="1:28" ht="60">
      <c r="A597" s="126" t="s">
        <v>1770</v>
      </c>
      <c r="B597" s="115" t="s">
        <v>1771</v>
      </c>
      <c r="C597" s="119" t="s">
        <v>1772</v>
      </c>
      <c r="D597" s="116" t="s">
        <v>1773</v>
      </c>
      <c r="E597" s="116"/>
      <c r="F597" s="116" t="s">
        <v>860</v>
      </c>
      <c r="G597" s="116" t="s">
        <v>1655</v>
      </c>
      <c r="H597" s="116" t="s">
        <v>1705</v>
      </c>
      <c r="I597" s="39"/>
      <c r="J597" s="39"/>
      <c r="K597" s="39"/>
      <c r="L597" s="39"/>
      <c r="M597" s="39"/>
      <c r="N597" s="39"/>
      <c r="O597" s="39"/>
      <c r="P597" s="39"/>
      <c r="Q597" s="39"/>
      <c r="R597" s="40"/>
      <c r="S597" s="40"/>
      <c r="T597" s="41">
        <v>0.5</v>
      </c>
      <c r="U597" s="42"/>
      <c r="V597" s="42"/>
      <c r="W597" s="43"/>
      <c r="X597" s="44"/>
      <c r="Y597" s="4"/>
      <c r="Z597" s="45"/>
      <c r="AA597" s="45"/>
      <c r="AB597" s="4"/>
    </row>
    <row r="598" spans="1:28" ht="75">
      <c r="A598" s="126" t="s">
        <v>1770</v>
      </c>
      <c r="B598" s="117"/>
      <c r="C598" s="120"/>
      <c r="D598" s="116" t="s">
        <v>1773</v>
      </c>
      <c r="E598" s="116"/>
      <c r="F598" s="116" t="s">
        <v>863</v>
      </c>
      <c r="G598" s="116" t="s">
        <v>540</v>
      </c>
      <c r="H598" s="116" t="s">
        <v>1704</v>
      </c>
      <c r="I598" s="39"/>
      <c r="J598" s="39"/>
      <c r="K598" s="39"/>
      <c r="L598" s="39"/>
      <c r="M598" s="39"/>
      <c r="N598" s="39"/>
      <c r="O598" s="39"/>
      <c r="P598" s="39"/>
      <c r="Q598" s="39"/>
      <c r="R598" s="40"/>
      <c r="S598" s="40"/>
      <c r="T598" s="41"/>
      <c r="U598" s="42"/>
      <c r="V598" s="42"/>
      <c r="W598" s="43"/>
      <c r="X598" s="44"/>
      <c r="Y598" s="4"/>
      <c r="Z598" s="45"/>
      <c r="AA598" s="45"/>
      <c r="AB598" s="4"/>
    </row>
    <row r="599" spans="1:28" ht="135">
      <c r="A599" s="126" t="s">
        <v>1770</v>
      </c>
      <c r="B599" s="118"/>
      <c r="C599" s="121"/>
      <c r="D599" s="116" t="s">
        <v>1773</v>
      </c>
      <c r="E599" s="116"/>
      <c r="F599" s="116" t="s">
        <v>865</v>
      </c>
      <c r="G599" s="116" t="s">
        <v>1706</v>
      </c>
      <c r="H599" s="116" t="s">
        <v>1707</v>
      </c>
      <c r="I599" s="39"/>
      <c r="J599" s="39"/>
      <c r="K599" s="39"/>
      <c r="L599" s="39"/>
      <c r="M599" s="39"/>
      <c r="N599" s="39"/>
      <c r="O599" s="39"/>
      <c r="P599" s="39"/>
      <c r="Q599" s="39"/>
      <c r="R599" s="40"/>
      <c r="S599" s="40"/>
      <c r="T599" s="41"/>
      <c r="U599" s="42"/>
      <c r="V599" s="42"/>
      <c r="W599" s="43"/>
      <c r="X599" s="44"/>
      <c r="Y599" s="4"/>
      <c r="Z599" s="45"/>
      <c r="AA599" s="45"/>
      <c r="AB599" s="4"/>
    </row>
    <row r="600" spans="1:28" ht="210">
      <c r="A600" s="126" t="s">
        <v>1774</v>
      </c>
      <c r="B600" s="115" t="s">
        <v>1775</v>
      </c>
      <c r="C600" s="119" t="s">
        <v>1702</v>
      </c>
      <c r="D600" s="116" t="s">
        <v>1703</v>
      </c>
      <c r="E600" s="116"/>
      <c r="F600" s="116" t="s">
        <v>860</v>
      </c>
      <c r="G600" s="116" t="s">
        <v>1706</v>
      </c>
      <c r="H600" s="116" t="s">
        <v>1707</v>
      </c>
      <c r="I600" s="39"/>
      <c r="J600" s="39"/>
      <c r="K600" s="39"/>
      <c r="L600" s="39"/>
      <c r="M600" s="39"/>
      <c r="N600" s="39"/>
      <c r="O600" s="39"/>
      <c r="P600" s="39"/>
      <c r="Q600" s="39"/>
      <c r="R600" s="40"/>
      <c r="S600" s="40"/>
      <c r="T600" s="41"/>
      <c r="U600" s="42"/>
      <c r="V600" s="42"/>
      <c r="W600" s="43"/>
      <c r="X600" s="44"/>
      <c r="Y600" s="4"/>
      <c r="Z600" s="45"/>
      <c r="AA600" s="45"/>
      <c r="AB600" s="4"/>
    </row>
    <row r="601" spans="1:28" ht="210">
      <c r="A601" s="126" t="s">
        <v>1774</v>
      </c>
      <c r="B601" s="117"/>
      <c r="C601" s="120"/>
      <c r="D601" s="116" t="s">
        <v>1703</v>
      </c>
      <c r="E601" s="116"/>
      <c r="F601" s="116" t="s">
        <v>863</v>
      </c>
      <c r="G601" s="116" t="s">
        <v>540</v>
      </c>
      <c r="H601" s="116" t="s">
        <v>1704</v>
      </c>
      <c r="I601" s="39"/>
      <c r="J601" s="39"/>
      <c r="K601" s="39"/>
      <c r="L601" s="39"/>
      <c r="M601" s="39"/>
      <c r="N601" s="39"/>
      <c r="O601" s="39"/>
      <c r="P601" s="39"/>
      <c r="Q601" s="39"/>
      <c r="R601" s="40"/>
      <c r="S601" s="40"/>
      <c r="T601" s="41"/>
      <c r="U601" s="42"/>
      <c r="V601" s="42"/>
      <c r="W601" s="43"/>
      <c r="X601" s="44"/>
      <c r="Y601" s="4"/>
      <c r="Z601" s="45"/>
      <c r="AA601" s="45"/>
      <c r="AB601" s="4"/>
    </row>
    <row r="602" spans="1:28" ht="210">
      <c r="A602" s="126" t="s">
        <v>1774</v>
      </c>
      <c r="B602" s="118"/>
      <c r="C602" s="121"/>
      <c r="D602" s="116" t="s">
        <v>1703</v>
      </c>
      <c r="E602" s="116"/>
      <c r="F602" s="116" t="s">
        <v>865</v>
      </c>
      <c r="G602" s="116" t="s">
        <v>1655</v>
      </c>
      <c r="H602" s="116" t="s">
        <v>1705</v>
      </c>
      <c r="I602" s="39"/>
      <c r="J602" s="39"/>
      <c r="K602" s="39"/>
      <c r="L602" s="39"/>
      <c r="M602" s="39"/>
      <c r="N602" s="39"/>
      <c r="O602" s="39"/>
      <c r="P602" s="39"/>
      <c r="Q602" s="39"/>
      <c r="R602" s="40"/>
      <c r="S602" s="40"/>
      <c r="T602" s="41"/>
      <c r="U602" s="42"/>
      <c r="V602" s="42"/>
      <c r="W602" s="43"/>
      <c r="X602" s="44"/>
      <c r="Y602" s="4"/>
      <c r="Z602" s="45"/>
      <c r="AA602" s="45"/>
      <c r="AB602" s="4"/>
    </row>
    <row r="603" spans="1:28" ht="210">
      <c r="A603" s="126" t="s">
        <v>1776</v>
      </c>
      <c r="B603" s="134" t="s">
        <v>1777</v>
      </c>
      <c r="C603" s="135" t="s">
        <v>1702</v>
      </c>
      <c r="D603" s="137" t="s">
        <v>1703</v>
      </c>
      <c r="E603" s="137"/>
      <c r="F603" s="137" t="s">
        <v>860</v>
      </c>
      <c r="G603" s="137" t="s">
        <v>1706</v>
      </c>
      <c r="H603" s="137" t="s">
        <v>1707</v>
      </c>
      <c r="I603" s="39"/>
      <c r="J603" s="39"/>
      <c r="K603" s="39"/>
      <c r="L603" s="39"/>
      <c r="M603" s="39"/>
      <c r="N603" s="39"/>
      <c r="O603" s="39"/>
      <c r="P603" s="39"/>
      <c r="Q603" s="39"/>
      <c r="R603" s="40"/>
      <c r="S603" s="40"/>
      <c r="T603" s="41"/>
      <c r="U603" s="42"/>
      <c r="V603" s="42"/>
      <c r="W603" s="43"/>
      <c r="X603" s="44"/>
      <c r="Y603" s="4"/>
      <c r="Z603" s="45"/>
      <c r="AA603" s="45"/>
      <c r="AB603" s="4"/>
    </row>
    <row r="604" spans="1:28" ht="210">
      <c r="A604" s="126" t="s">
        <v>1776</v>
      </c>
      <c r="B604" s="142"/>
      <c r="C604" s="141"/>
      <c r="D604" s="137" t="s">
        <v>1703</v>
      </c>
      <c r="E604" s="137"/>
      <c r="F604" s="137" t="s">
        <v>863</v>
      </c>
      <c r="G604" s="137" t="s">
        <v>540</v>
      </c>
      <c r="H604" s="137" t="s">
        <v>1704</v>
      </c>
      <c r="I604" s="39"/>
      <c r="J604" s="39"/>
      <c r="K604" s="39"/>
      <c r="L604" s="39"/>
      <c r="M604" s="39"/>
      <c r="N604" s="39"/>
      <c r="O604" s="39"/>
      <c r="P604" s="39"/>
      <c r="Q604" s="39"/>
      <c r="R604" s="40"/>
      <c r="S604" s="40"/>
      <c r="T604" s="41"/>
      <c r="U604" s="42"/>
      <c r="V604" s="42"/>
      <c r="W604" s="43"/>
      <c r="X604" s="44"/>
      <c r="Y604" s="4"/>
      <c r="Z604" s="45"/>
      <c r="AA604" s="45"/>
      <c r="AB604" s="4"/>
    </row>
    <row r="605" spans="1:28" ht="210">
      <c r="A605" s="126" t="s">
        <v>1776</v>
      </c>
      <c r="B605" s="138"/>
      <c r="C605" s="139"/>
      <c r="D605" s="137" t="s">
        <v>1703</v>
      </c>
      <c r="E605" s="137"/>
      <c r="F605" s="137" t="s">
        <v>865</v>
      </c>
      <c r="G605" s="137" t="s">
        <v>1655</v>
      </c>
      <c r="H605" s="137" t="s">
        <v>1705</v>
      </c>
      <c r="I605" s="39"/>
      <c r="J605" s="39"/>
      <c r="K605" s="39"/>
      <c r="L605" s="39"/>
      <c r="M605" s="39"/>
      <c r="N605" s="39"/>
      <c r="O605" s="39"/>
      <c r="P605" s="39"/>
      <c r="Q605" s="39"/>
      <c r="R605" s="40"/>
      <c r="S605" s="40"/>
      <c r="T605" s="41"/>
      <c r="U605" s="42"/>
      <c r="V605" s="42"/>
      <c r="W605" s="43"/>
      <c r="X605" s="44"/>
      <c r="Y605" s="4"/>
      <c r="Z605" s="45"/>
      <c r="AA605" s="45"/>
      <c r="AB605" s="4"/>
    </row>
    <row r="606" spans="1:28" ht="356">
      <c r="A606" s="126" t="s">
        <v>1778</v>
      </c>
      <c r="B606" s="115" t="s">
        <v>1779</v>
      </c>
      <c r="C606" s="119" t="s">
        <v>1780</v>
      </c>
      <c r="D606" s="116" t="s">
        <v>1781</v>
      </c>
      <c r="E606" s="116"/>
      <c r="F606" s="116" t="s">
        <v>860</v>
      </c>
      <c r="G606" s="116" t="s">
        <v>1655</v>
      </c>
      <c r="H606" s="116" t="s">
        <v>1656</v>
      </c>
      <c r="I606" s="39"/>
      <c r="J606" s="39"/>
      <c r="K606" s="39"/>
      <c r="L606" s="39"/>
      <c r="M606" s="39"/>
      <c r="N606" s="39"/>
      <c r="O606" s="39"/>
      <c r="P606" s="39"/>
      <c r="Q606" s="39"/>
      <c r="R606" s="40"/>
      <c r="S606" s="40"/>
      <c r="T606" s="41" t="s">
        <v>293</v>
      </c>
      <c r="U606" s="42"/>
      <c r="V606" s="42"/>
      <c r="W606" s="43"/>
      <c r="X606" s="44"/>
      <c r="Y606" s="4"/>
      <c r="Z606" s="45"/>
      <c r="AA606" s="45"/>
      <c r="AB606" s="4"/>
    </row>
    <row r="607" spans="1:28" ht="356">
      <c r="A607" s="126" t="s">
        <v>1778</v>
      </c>
      <c r="B607" s="117"/>
      <c r="C607" s="120"/>
      <c r="D607" s="116" t="s">
        <v>1781</v>
      </c>
      <c r="E607" s="116"/>
      <c r="F607" s="116" t="s">
        <v>863</v>
      </c>
      <c r="G607" s="116" t="s">
        <v>547</v>
      </c>
      <c r="H607" s="116" t="s">
        <v>1657</v>
      </c>
      <c r="I607" s="39"/>
      <c r="J607" s="39"/>
      <c r="K607" s="39"/>
      <c r="L607" s="39"/>
      <c r="M607" s="39"/>
      <c r="N607" s="39"/>
      <c r="O607" s="39"/>
      <c r="P607" s="39"/>
      <c r="Q607" s="39"/>
      <c r="R607" s="40"/>
      <c r="S607" s="40"/>
      <c r="T607" s="41"/>
      <c r="U607" s="42"/>
      <c r="V607" s="42"/>
      <c r="W607" s="43"/>
      <c r="X607" s="44"/>
      <c r="Y607" s="4"/>
      <c r="Z607" s="45"/>
      <c r="AA607" s="45"/>
      <c r="AB607" s="4"/>
    </row>
    <row r="608" spans="1:28" ht="356">
      <c r="A608" s="126" t="s">
        <v>1778</v>
      </c>
      <c r="B608" s="118"/>
      <c r="C608" s="121"/>
      <c r="D608" s="116" t="s">
        <v>1781</v>
      </c>
      <c r="E608" s="116"/>
      <c r="F608" s="116" t="s">
        <v>865</v>
      </c>
      <c r="G608" s="116" t="s">
        <v>540</v>
      </c>
      <c r="H608" s="116" t="s">
        <v>1658</v>
      </c>
      <c r="I608" s="39"/>
      <c r="J608" s="39"/>
      <c r="K608" s="39"/>
      <c r="L608" s="39"/>
      <c r="M608" s="39"/>
      <c r="N608" s="39"/>
      <c r="O608" s="39"/>
      <c r="P608" s="39"/>
      <c r="Q608" s="39"/>
      <c r="R608" s="40"/>
      <c r="S608" s="40"/>
      <c r="T608" s="41"/>
      <c r="U608" s="42"/>
      <c r="V608" s="42"/>
      <c r="W608" s="43"/>
      <c r="X608" s="44"/>
      <c r="Y608" s="4"/>
      <c r="Z608" s="45"/>
      <c r="AA608" s="45"/>
      <c r="AB608" s="4"/>
    </row>
    <row r="609" spans="1:28" ht="356">
      <c r="A609" s="126" t="s">
        <v>1782</v>
      </c>
      <c r="B609" s="115" t="s">
        <v>1783</v>
      </c>
      <c r="C609" s="119" t="s">
        <v>1653</v>
      </c>
      <c r="D609" s="116" t="s">
        <v>1654</v>
      </c>
      <c r="E609" s="116"/>
      <c r="F609" s="116" t="s">
        <v>860</v>
      </c>
      <c r="G609" s="116" t="s">
        <v>547</v>
      </c>
      <c r="H609" s="116" t="s">
        <v>1657</v>
      </c>
      <c r="I609" s="39"/>
      <c r="J609" s="39"/>
      <c r="K609" s="39"/>
      <c r="L609" s="39"/>
      <c r="M609" s="39"/>
      <c r="N609" s="39"/>
      <c r="O609" s="39"/>
      <c r="P609" s="39"/>
      <c r="Q609" s="39"/>
      <c r="R609" s="40"/>
      <c r="S609" s="40"/>
      <c r="T609" s="41" t="s">
        <v>293</v>
      </c>
      <c r="U609" s="42"/>
      <c r="V609" s="42"/>
      <c r="W609" s="43"/>
      <c r="X609" s="44"/>
      <c r="Y609" s="4"/>
      <c r="Z609" s="45"/>
      <c r="AA609" s="45"/>
      <c r="AB609" s="4"/>
    </row>
    <row r="610" spans="1:28" ht="165">
      <c r="A610" s="126" t="s">
        <v>1782</v>
      </c>
      <c r="B610" s="117"/>
      <c r="C610" s="120"/>
      <c r="D610" s="116" t="s">
        <v>1654</v>
      </c>
      <c r="E610" s="116"/>
      <c r="F610" s="116" t="s">
        <v>863</v>
      </c>
      <c r="G610" s="116" t="s">
        <v>1655</v>
      </c>
      <c r="H610" s="116" t="s">
        <v>1656</v>
      </c>
      <c r="I610" s="39"/>
      <c r="J610" s="39"/>
      <c r="K610" s="39"/>
      <c r="L610" s="39"/>
      <c r="M610" s="39"/>
      <c r="N610" s="39"/>
      <c r="O610" s="39"/>
      <c r="P610" s="39"/>
      <c r="Q610" s="39"/>
      <c r="R610" s="40"/>
      <c r="S610" s="40"/>
      <c r="T610" s="41"/>
      <c r="U610" s="42"/>
      <c r="V610" s="42"/>
      <c r="W610" s="43"/>
      <c r="X610" s="44"/>
      <c r="Y610" s="4"/>
      <c r="Z610" s="45"/>
      <c r="AA610" s="45"/>
      <c r="AB610" s="4"/>
    </row>
    <row r="611" spans="1:28" ht="165">
      <c r="A611" s="126" t="s">
        <v>1782</v>
      </c>
      <c r="B611" s="118"/>
      <c r="C611" s="121"/>
      <c r="D611" s="116" t="s">
        <v>1654</v>
      </c>
      <c r="E611" s="116"/>
      <c r="F611" s="116" t="s">
        <v>865</v>
      </c>
      <c r="G611" s="116" t="s">
        <v>540</v>
      </c>
      <c r="H611" s="116" t="s">
        <v>1658</v>
      </c>
      <c r="I611" s="39"/>
      <c r="J611" s="39"/>
      <c r="K611" s="39"/>
      <c r="L611" s="39"/>
      <c r="M611" s="39"/>
      <c r="N611" s="39"/>
      <c r="O611" s="39"/>
      <c r="P611" s="39"/>
      <c r="Q611" s="39"/>
      <c r="R611" s="40"/>
      <c r="S611" s="40"/>
      <c r="T611" s="41"/>
      <c r="U611" s="42"/>
      <c r="V611" s="42"/>
      <c r="W611" s="43"/>
      <c r="X611" s="44"/>
      <c r="Y611" s="4"/>
      <c r="Z611" s="45"/>
      <c r="AA611" s="45"/>
      <c r="AB611" s="4"/>
    </row>
    <row r="612" spans="1:28" ht="210">
      <c r="A612" s="126" t="s">
        <v>1784</v>
      </c>
      <c r="B612" s="115" t="s">
        <v>1785</v>
      </c>
      <c r="C612" s="119" t="s">
        <v>826</v>
      </c>
      <c r="D612" s="116" t="s">
        <v>827</v>
      </c>
      <c r="E612" s="116"/>
      <c r="F612" s="116" t="s">
        <v>860</v>
      </c>
      <c r="G612" s="116" t="s">
        <v>829</v>
      </c>
      <c r="H612" s="116" t="s">
        <v>830</v>
      </c>
      <c r="I612" s="39"/>
      <c r="J612" s="39"/>
      <c r="K612" s="39"/>
      <c r="L612" s="39"/>
      <c r="M612" s="39"/>
      <c r="N612" s="39"/>
      <c r="O612" s="39"/>
      <c r="P612" s="39"/>
      <c r="Q612" s="39"/>
      <c r="R612" s="40"/>
      <c r="S612" s="40"/>
      <c r="T612" s="41"/>
      <c r="U612" s="42"/>
      <c r="V612" s="42"/>
      <c r="W612" s="43"/>
      <c r="X612" s="44"/>
      <c r="Y612" s="4"/>
      <c r="Z612" s="45"/>
      <c r="AA612" s="45"/>
      <c r="AB612" s="4"/>
    </row>
    <row r="613" spans="1:28" ht="409.6">
      <c r="A613" s="126" t="s">
        <v>1784</v>
      </c>
      <c r="B613" s="118"/>
      <c r="C613" s="121"/>
      <c r="D613" s="116" t="s">
        <v>827</v>
      </c>
      <c r="E613" s="116"/>
      <c r="F613" s="116" t="s">
        <v>863</v>
      </c>
      <c r="G613" s="116" t="s">
        <v>833</v>
      </c>
      <c r="H613" s="116" t="s">
        <v>834</v>
      </c>
      <c r="I613" s="39"/>
      <c r="J613" s="39"/>
      <c r="K613" s="39"/>
      <c r="L613" s="39"/>
      <c r="M613" s="39"/>
      <c r="N613" s="39"/>
      <c r="O613" s="39"/>
      <c r="P613" s="39"/>
      <c r="Q613" s="39"/>
      <c r="R613" s="40"/>
      <c r="S613" s="40"/>
      <c r="T613" s="41"/>
      <c r="U613" s="42"/>
      <c r="V613" s="42"/>
      <c r="W613" s="43"/>
      <c r="X613" s="44"/>
      <c r="Y613" s="4"/>
      <c r="Z613" s="45"/>
      <c r="AA613" s="45"/>
      <c r="AB613" s="4"/>
    </row>
  </sheetData>
  <mergeCells count="722">
    <mergeCell ref="B606:B608"/>
    <mergeCell ref="C606:C608"/>
    <mergeCell ref="B609:B611"/>
    <mergeCell ref="C609:C611"/>
    <mergeCell ref="B612:B613"/>
    <mergeCell ref="C612:C613"/>
    <mergeCell ref="B597:B599"/>
    <mergeCell ref="C597:C599"/>
    <mergeCell ref="B600:B602"/>
    <mergeCell ref="C600:C602"/>
    <mergeCell ref="B603:B605"/>
    <mergeCell ref="C603:C605"/>
    <mergeCell ref="B588:B589"/>
    <mergeCell ref="C588:C589"/>
    <mergeCell ref="B591:B593"/>
    <mergeCell ref="C591:C593"/>
    <mergeCell ref="B594:B596"/>
    <mergeCell ref="C594:C596"/>
    <mergeCell ref="B577:B579"/>
    <mergeCell ref="C577:C579"/>
    <mergeCell ref="B580:B582"/>
    <mergeCell ref="C580:C582"/>
    <mergeCell ref="B583:B586"/>
    <mergeCell ref="C583:C586"/>
    <mergeCell ref="B567:B569"/>
    <mergeCell ref="C567:C569"/>
    <mergeCell ref="B570:B572"/>
    <mergeCell ref="C570:C572"/>
    <mergeCell ref="B573:B576"/>
    <mergeCell ref="C573:C576"/>
    <mergeCell ref="A555:A558"/>
    <mergeCell ref="B555:B558"/>
    <mergeCell ref="C555:C558"/>
    <mergeCell ref="B559:B562"/>
    <mergeCell ref="C559:C562"/>
    <mergeCell ref="B563:B566"/>
    <mergeCell ref="C563:C566"/>
    <mergeCell ref="B547:B548"/>
    <mergeCell ref="C547:C548"/>
    <mergeCell ref="B549:B551"/>
    <mergeCell ref="C549:C551"/>
    <mergeCell ref="B552:B554"/>
    <mergeCell ref="C552:C554"/>
    <mergeCell ref="B541:B542"/>
    <mergeCell ref="C541:C542"/>
    <mergeCell ref="B543:B544"/>
    <mergeCell ref="C543:C544"/>
    <mergeCell ref="B545:B546"/>
    <mergeCell ref="C545:C546"/>
    <mergeCell ref="B535:B536"/>
    <mergeCell ref="C535:C536"/>
    <mergeCell ref="B537:B538"/>
    <mergeCell ref="C537:C538"/>
    <mergeCell ref="B539:B540"/>
    <mergeCell ref="C539:C540"/>
    <mergeCell ref="B527:B528"/>
    <mergeCell ref="C527:C528"/>
    <mergeCell ref="B529:B532"/>
    <mergeCell ref="C529:C532"/>
    <mergeCell ref="B533:B534"/>
    <mergeCell ref="C533:C534"/>
    <mergeCell ref="B517:B518"/>
    <mergeCell ref="C517:C518"/>
    <mergeCell ref="B519:B522"/>
    <mergeCell ref="C519:C522"/>
    <mergeCell ref="B523:B526"/>
    <mergeCell ref="C523:C526"/>
    <mergeCell ref="B506:B509"/>
    <mergeCell ref="C506:C509"/>
    <mergeCell ref="B510:B513"/>
    <mergeCell ref="C510:C513"/>
    <mergeCell ref="T510:T513"/>
    <mergeCell ref="B515:B516"/>
    <mergeCell ref="C515:C516"/>
    <mergeCell ref="B499:B500"/>
    <mergeCell ref="C499:C500"/>
    <mergeCell ref="B501:B503"/>
    <mergeCell ref="C501:C503"/>
    <mergeCell ref="T501:T503"/>
    <mergeCell ref="B504:B505"/>
    <mergeCell ref="C504:C505"/>
    <mergeCell ref="T504:T505"/>
    <mergeCell ref="B491:B494"/>
    <mergeCell ref="C491:C494"/>
    <mergeCell ref="T491:T494"/>
    <mergeCell ref="B495:B496"/>
    <mergeCell ref="C495:C496"/>
    <mergeCell ref="B497:B498"/>
    <mergeCell ref="C497:C498"/>
    <mergeCell ref="T497:T498"/>
    <mergeCell ref="B483:B486"/>
    <mergeCell ref="C483:C486"/>
    <mergeCell ref="D483:D486"/>
    <mergeCell ref="T483:T486"/>
    <mergeCell ref="B487:B490"/>
    <mergeCell ref="C487:C490"/>
    <mergeCell ref="D487:D490"/>
    <mergeCell ref="T487:T490"/>
    <mergeCell ref="B476:B479"/>
    <mergeCell ref="C476:C479"/>
    <mergeCell ref="D476:D479"/>
    <mergeCell ref="T476:T479"/>
    <mergeCell ref="B480:B482"/>
    <mergeCell ref="C480:C482"/>
    <mergeCell ref="B472:B473"/>
    <mergeCell ref="C472:C473"/>
    <mergeCell ref="D472:D473"/>
    <mergeCell ref="B474:B475"/>
    <mergeCell ref="C474:C475"/>
    <mergeCell ref="D474:D475"/>
    <mergeCell ref="B464:B467"/>
    <mergeCell ref="C464:C467"/>
    <mergeCell ref="D464:D467"/>
    <mergeCell ref="B469:B471"/>
    <mergeCell ref="C469:C471"/>
    <mergeCell ref="D469:D471"/>
    <mergeCell ref="B460:B461"/>
    <mergeCell ref="C460:C461"/>
    <mergeCell ref="D460:D461"/>
    <mergeCell ref="B462:B463"/>
    <mergeCell ref="C462:C463"/>
    <mergeCell ref="D462:D463"/>
    <mergeCell ref="B456:B457"/>
    <mergeCell ref="C456:C457"/>
    <mergeCell ref="D456:D457"/>
    <mergeCell ref="T456:T457"/>
    <mergeCell ref="B458:B459"/>
    <mergeCell ref="C458:C459"/>
    <mergeCell ref="D458:D459"/>
    <mergeCell ref="B450:B451"/>
    <mergeCell ref="C450:C451"/>
    <mergeCell ref="B452:B453"/>
    <mergeCell ref="C452:C453"/>
    <mergeCell ref="T452:T453"/>
    <mergeCell ref="B454:B455"/>
    <mergeCell ref="C454:C455"/>
    <mergeCell ref="B443:B446"/>
    <mergeCell ref="C443:C446"/>
    <mergeCell ref="D443:D446"/>
    <mergeCell ref="B447:B448"/>
    <mergeCell ref="C447:C448"/>
    <mergeCell ref="D447:D448"/>
    <mergeCell ref="B432:B434"/>
    <mergeCell ref="C432:C434"/>
    <mergeCell ref="B435:B438"/>
    <mergeCell ref="C435:C438"/>
    <mergeCell ref="B439:B442"/>
    <mergeCell ref="C439:C442"/>
    <mergeCell ref="B424:B426"/>
    <mergeCell ref="C424:C426"/>
    <mergeCell ref="D424:D426"/>
    <mergeCell ref="B427:B429"/>
    <mergeCell ref="C427:C429"/>
    <mergeCell ref="B430:B431"/>
    <mergeCell ref="C430:C431"/>
    <mergeCell ref="B416:B418"/>
    <mergeCell ref="C416:C418"/>
    <mergeCell ref="D416:D418"/>
    <mergeCell ref="B419:B420"/>
    <mergeCell ref="C419:C420"/>
    <mergeCell ref="B421:B423"/>
    <mergeCell ref="C421:C423"/>
    <mergeCell ref="B412:B413"/>
    <mergeCell ref="C412:C413"/>
    <mergeCell ref="D412:D413"/>
    <mergeCell ref="B414:B415"/>
    <mergeCell ref="C414:C415"/>
    <mergeCell ref="D414:D415"/>
    <mergeCell ref="B406:B408"/>
    <mergeCell ref="C406:C408"/>
    <mergeCell ref="T406:T408"/>
    <mergeCell ref="B409:B411"/>
    <mergeCell ref="C409:C411"/>
    <mergeCell ref="D409:D411"/>
    <mergeCell ref="B399:B402"/>
    <mergeCell ref="C399:C402"/>
    <mergeCell ref="D399:D402"/>
    <mergeCell ref="T399:T402"/>
    <mergeCell ref="B403:B405"/>
    <mergeCell ref="C403:C405"/>
    <mergeCell ref="D403:D405"/>
    <mergeCell ref="T403:T405"/>
    <mergeCell ref="B389:B391"/>
    <mergeCell ref="D389:D391"/>
    <mergeCell ref="T389:T391"/>
    <mergeCell ref="B392:B394"/>
    <mergeCell ref="D392:D394"/>
    <mergeCell ref="B397:B398"/>
    <mergeCell ref="C397:C398"/>
    <mergeCell ref="D397:D398"/>
    <mergeCell ref="T397:T398"/>
    <mergeCell ref="B383:B385"/>
    <mergeCell ref="D383:D385"/>
    <mergeCell ref="T383:T385"/>
    <mergeCell ref="B386:B388"/>
    <mergeCell ref="D386:D388"/>
    <mergeCell ref="T386:T388"/>
    <mergeCell ref="T374:T376"/>
    <mergeCell ref="B377:B379"/>
    <mergeCell ref="D377:D379"/>
    <mergeCell ref="T377:T379"/>
    <mergeCell ref="B380:B382"/>
    <mergeCell ref="D380:D382"/>
    <mergeCell ref="T380:T382"/>
    <mergeCell ref="B366:B367"/>
    <mergeCell ref="C366:C367"/>
    <mergeCell ref="B368:B370"/>
    <mergeCell ref="C368:C370"/>
    <mergeCell ref="D368:D370"/>
    <mergeCell ref="B374:B376"/>
    <mergeCell ref="C374:C376"/>
    <mergeCell ref="D374:D376"/>
    <mergeCell ref="B357:B358"/>
    <mergeCell ref="C357:C358"/>
    <mergeCell ref="T357:T358"/>
    <mergeCell ref="B359:B360"/>
    <mergeCell ref="C359:C360"/>
    <mergeCell ref="B362:B365"/>
    <mergeCell ref="C362:C365"/>
    <mergeCell ref="B350:B351"/>
    <mergeCell ref="C350:C351"/>
    <mergeCell ref="B353:B354"/>
    <mergeCell ref="C353:C354"/>
    <mergeCell ref="B355:B356"/>
    <mergeCell ref="C355:C356"/>
    <mergeCell ref="B343:B344"/>
    <mergeCell ref="C343:C344"/>
    <mergeCell ref="B346:B347"/>
    <mergeCell ref="C346:C347"/>
    <mergeCell ref="B348:B349"/>
    <mergeCell ref="C348:C349"/>
    <mergeCell ref="B336:B337"/>
    <mergeCell ref="C336:C337"/>
    <mergeCell ref="B339:B340"/>
    <mergeCell ref="C339:C340"/>
    <mergeCell ref="B341:B342"/>
    <mergeCell ref="C341:C342"/>
    <mergeCell ref="B329:B330"/>
    <mergeCell ref="T329:T330"/>
    <mergeCell ref="U329:U330"/>
    <mergeCell ref="B332:B333"/>
    <mergeCell ref="C332:C333"/>
    <mergeCell ref="B334:B335"/>
    <mergeCell ref="C334:C335"/>
    <mergeCell ref="T320:T322"/>
    <mergeCell ref="B323:B324"/>
    <mergeCell ref="C323:C324"/>
    <mergeCell ref="B325:B326"/>
    <mergeCell ref="C325:C326"/>
    <mergeCell ref="B327:B328"/>
    <mergeCell ref="B314:B315"/>
    <mergeCell ref="B316:B317"/>
    <mergeCell ref="C316:C317"/>
    <mergeCell ref="B318:B319"/>
    <mergeCell ref="B320:B322"/>
    <mergeCell ref="C320:C321"/>
    <mergeCell ref="B302:B303"/>
    <mergeCell ref="B304:B305"/>
    <mergeCell ref="B306:B307"/>
    <mergeCell ref="B308:B309"/>
    <mergeCell ref="B310:B311"/>
    <mergeCell ref="B312:B313"/>
    <mergeCell ref="B290:B291"/>
    <mergeCell ref="B292:B293"/>
    <mergeCell ref="B294:B295"/>
    <mergeCell ref="B296:B297"/>
    <mergeCell ref="B298:B299"/>
    <mergeCell ref="B300:B301"/>
    <mergeCell ref="B282:B283"/>
    <mergeCell ref="C282:C283"/>
    <mergeCell ref="B284:B286"/>
    <mergeCell ref="C284:C286"/>
    <mergeCell ref="T284:T286"/>
    <mergeCell ref="B288:B289"/>
    <mergeCell ref="T275:T276"/>
    <mergeCell ref="A277:A278"/>
    <mergeCell ref="B277:B278"/>
    <mergeCell ref="C277:C278"/>
    <mergeCell ref="D277:D278"/>
    <mergeCell ref="A279:A281"/>
    <mergeCell ref="B279:B281"/>
    <mergeCell ref="C279:C281"/>
    <mergeCell ref="D279:D281"/>
    <mergeCell ref="T279:T281"/>
    <mergeCell ref="A273:A274"/>
    <mergeCell ref="B273:B274"/>
    <mergeCell ref="C273:C274"/>
    <mergeCell ref="D273:D274"/>
    <mergeCell ref="A275:A276"/>
    <mergeCell ref="B275:B276"/>
    <mergeCell ref="C275:C276"/>
    <mergeCell ref="D275:D276"/>
    <mergeCell ref="A269:A270"/>
    <mergeCell ref="B269:B270"/>
    <mergeCell ref="C269:C270"/>
    <mergeCell ref="D269:D270"/>
    <mergeCell ref="A271:A272"/>
    <mergeCell ref="B271:B272"/>
    <mergeCell ref="C271:C272"/>
    <mergeCell ref="D271:D272"/>
    <mergeCell ref="B263:B265"/>
    <mergeCell ref="C263:C265"/>
    <mergeCell ref="D263:D265"/>
    <mergeCell ref="A266:A268"/>
    <mergeCell ref="B266:B268"/>
    <mergeCell ref="C266:C268"/>
    <mergeCell ref="D266:D268"/>
    <mergeCell ref="A259:A260"/>
    <mergeCell ref="B259:B260"/>
    <mergeCell ref="C259:C260"/>
    <mergeCell ref="D259:D260"/>
    <mergeCell ref="B261:B262"/>
    <mergeCell ref="C261:C262"/>
    <mergeCell ref="D261:D262"/>
    <mergeCell ref="B255:B256"/>
    <mergeCell ref="C255:C256"/>
    <mergeCell ref="D255:D256"/>
    <mergeCell ref="B257:B258"/>
    <mergeCell ref="C257:C258"/>
    <mergeCell ref="D257:D258"/>
    <mergeCell ref="T248:T250"/>
    <mergeCell ref="B251:B252"/>
    <mergeCell ref="C251:C252"/>
    <mergeCell ref="D251:D252"/>
    <mergeCell ref="B253:B254"/>
    <mergeCell ref="C253:C254"/>
    <mergeCell ref="D253:D254"/>
    <mergeCell ref="A245:A246"/>
    <mergeCell ref="B245:B246"/>
    <mergeCell ref="C245:C246"/>
    <mergeCell ref="D245:D246"/>
    <mergeCell ref="B248:B250"/>
    <mergeCell ref="C248:C250"/>
    <mergeCell ref="D248:D250"/>
    <mergeCell ref="A241:A242"/>
    <mergeCell ref="B241:B242"/>
    <mergeCell ref="C241:C242"/>
    <mergeCell ref="D241:D242"/>
    <mergeCell ref="A243:A244"/>
    <mergeCell ref="B243:B244"/>
    <mergeCell ref="C243:C244"/>
    <mergeCell ref="D243:D244"/>
    <mergeCell ref="A236:A238"/>
    <mergeCell ref="B236:B238"/>
    <mergeCell ref="C236:C238"/>
    <mergeCell ref="D236:D238"/>
    <mergeCell ref="T236:T238"/>
    <mergeCell ref="A239:A240"/>
    <mergeCell ref="B239:B240"/>
    <mergeCell ref="C239:C240"/>
    <mergeCell ref="D239:D240"/>
    <mergeCell ref="B232:B233"/>
    <mergeCell ref="C232:C233"/>
    <mergeCell ref="D232:D233"/>
    <mergeCell ref="B234:B235"/>
    <mergeCell ref="C234:C235"/>
    <mergeCell ref="D234:D235"/>
    <mergeCell ref="B227:B229"/>
    <mergeCell ref="C227:C229"/>
    <mergeCell ref="D227:D229"/>
    <mergeCell ref="A230:A231"/>
    <mergeCell ref="B230:B231"/>
    <mergeCell ref="C230:C231"/>
    <mergeCell ref="D230:D231"/>
    <mergeCell ref="B223:B224"/>
    <mergeCell ref="C223:C224"/>
    <mergeCell ref="D223:D224"/>
    <mergeCell ref="B225:B226"/>
    <mergeCell ref="C225:C226"/>
    <mergeCell ref="D225:D226"/>
    <mergeCell ref="B219:B220"/>
    <mergeCell ref="C219:C220"/>
    <mergeCell ref="D219:D220"/>
    <mergeCell ref="B221:B222"/>
    <mergeCell ref="C221:C222"/>
    <mergeCell ref="D221:D222"/>
    <mergeCell ref="B212:B214"/>
    <mergeCell ref="C212:C214"/>
    <mergeCell ref="D212:D214"/>
    <mergeCell ref="B215:B216"/>
    <mergeCell ref="C215:C216"/>
    <mergeCell ref="B217:B218"/>
    <mergeCell ref="C217:C218"/>
    <mergeCell ref="D217:D218"/>
    <mergeCell ref="B208:B209"/>
    <mergeCell ref="C208:C209"/>
    <mergeCell ref="D208:D209"/>
    <mergeCell ref="B210:B211"/>
    <mergeCell ref="C210:C211"/>
    <mergeCell ref="D210:D211"/>
    <mergeCell ref="T202:T203"/>
    <mergeCell ref="B204:B205"/>
    <mergeCell ref="C204:C205"/>
    <mergeCell ref="D204:D205"/>
    <mergeCell ref="B206:B207"/>
    <mergeCell ref="C206:C207"/>
    <mergeCell ref="D206:D207"/>
    <mergeCell ref="B200:B201"/>
    <mergeCell ref="C200:C201"/>
    <mergeCell ref="D200:D201"/>
    <mergeCell ref="B202:B203"/>
    <mergeCell ref="C202:C203"/>
    <mergeCell ref="D202:D203"/>
    <mergeCell ref="A196:A197"/>
    <mergeCell ref="B196:B197"/>
    <mergeCell ref="C196:C197"/>
    <mergeCell ref="D196:D197"/>
    <mergeCell ref="T196:T197"/>
    <mergeCell ref="B198:B199"/>
    <mergeCell ref="C198:C199"/>
    <mergeCell ref="D198:D199"/>
    <mergeCell ref="A192:A193"/>
    <mergeCell ref="B192:B193"/>
    <mergeCell ref="C192:C193"/>
    <mergeCell ref="D192:D193"/>
    <mergeCell ref="A194:A195"/>
    <mergeCell ref="B194:B195"/>
    <mergeCell ref="C194:C195"/>
    <mergeCell ref="D194:D195"/>
    <mergeCell ref="A187:A188"/>
    <mergeCell ref="B187:B188"/>
    <mergeCell ref="C187:C188"/>
    <mergeCell ref="D187:D188"/>
    <mergeCell ref="A189:A190"/>
    <mergeCell ref="B189:B190"/>
    <mergeCell ref="C189:C190"/>
    <mergeCell ref="D189:D190"/>
    <mergeCell ref="A183:A184"/>
    <mergeCell ref="B183:B184"/>
    <mergeCell ref="C183:C184"/>
    <mergeCell ref="D183:D184"/>
    <mergeCell ref="T183:T184"/>
    <mergeCell ref="A185:A186"/>
    <mergeCell ref="B185:B186"/>
    <mergeCell ref="C185:C186"/>
    <mergeCell ref="D185:D186"/>
    <mergeCell ref="B178:B179"/>
    <mergeCell ref="C178:C179"/>
    <mergeCell ref="D178:D179"/>
    <mergeCell ref="B180:B182"/>
    <mergeCell ref="C180:C182"/>
    <mergeCell ref="D180:D182"/>
    <mergeCell ref="B172:B173"/>
    <mergeCell ref="C172:C173"/>
    <mergeCell ref="B174:B175"/>
    <mergeCell ref="C174:C175"/>
    <mergeCell ref="D174:D175"/>
    <mergeCell ref="B176:B177"/>
    <mergeCell ref="C176:C177"/>
    <mergeCell ref="D176:D177"/>
    <mergeCell ref="B167:B168"/>
    <mergeCell ref="C167:C168"/>
    <mergeCell ref="D167:D168"/>
    <mergeCell ref="B169:B170"/>
    <mergeCell ref="C169:C170"/>
    <mergeCell ref="D169:D170"/>
    <mergeCell ref="E152:E153"/>
    <mergeCell ref="T152:T153"/>
    <mergeCell ref="B161:B162"/>
    <mergeCell ref="C161:C162"/>
    <mergeCell ref="D161:D162"/>
    <mergeCell ref="B164:B165"/>
    <mergeCell ref="C164:C165"/>
    <mergeCell ref="D133:D140"/>
    <mergeCell ref="A141:A149"/>
    <mergeCell ref="B141:B149"/>
    <mergeCell ref="C141:C149"/>
    <mergeCell ref="D141:D149"/>
    <mergeCell ref="B152:B153"/>
    <mergeCell ref="C152:C153"/>
    <mergeCell ref="D152:D153"/>
    <mergeCell ref="A131:A132"/>
    <mergeCell ref="B131:B132"/>
    <mergeCell ref="C131:C132"/>
    <mergeCell ref="A133:A140"/>
    <mergeCell ref="B133:B140"/>
    <mergeCell ref="C133:C140"/>
    <mergeCell ref="A121:A125"/>
    <mergeCell ref="B121:B125"/>
    <mergeCell ref="C121:C125"/>
    <mergeCell ref="D121:D125"/>
    <mergeCell ref="E121:E125"/>
    <mergeCell ref="A126:A130"/>
    <mergeCell ref="B126:B130"/>
    <mergeCell ref="C126:C130"/>
    <mergeCell ref="D126:D130"/>
    <mergeCell ref="E126:E130"/>
    <mergeCell ref="A111:A114"/>
    <mergeCell ref="B111:B114"/>
    <mergeCell ref="C111:C114"/>
    <mergeCell ref="D111:D114"/>
    <mergeCell ref="E111:E114"/>
    <mergeCell ref="A116:A120"/>
    <mergeCell ref="B116:B120"/>
    <mergeCell ref="C116:C120"/>
    <mergeCell ref="D116:D120"/>
    <mergeCell ref="E116:E120"/>
    <mergeCell ref="T103:T106"/>
    <mergeCell ref="A107:A110"/>
    <mergeCell ref="B107:B110"/>
    <mergeCell ref="C107:C110"/>
    <mergeCell ref="D107:D110"/>
    <mergeCell ref="E107:E110"/>
    <mergeCell ref="A99:A102"/>
    <mergeCell ref="B99:B102"/>
    <mergeCell ref="C99:C102"/>
    <mergeCell ref="D99:D102"/>
    <mergeCell ref="T99:T102"/>
    <mergeCell ref="A103:A106"/>
    <mergeCell ref="B103:B106"/>
    <mergeCell ref="C103:C106"/>
    <mergeCell ref="D103:D106"/>
    <mergeCell ref="E103:E106"/>
    <mergeCell ref="A97:A98"/>
    <mergeCell ref="B97:B98"/>
    <mergeCell ref="C97:C98"/>
    <mergeCell ref="D97:D98"/>
    <mergeCell ref="E97:E98"/>
    <mergeCell ref="T97:T98"/>
    <mergeCell ref="U91:U92"/>
    <mergeCell ref="A93:A96"/>
    <mergeCell ref="B93:B96"/>
    <mergeCell ref="C93:C96"/>
    <mergeCell ref="D93:D96"/>
    <mergeCell ref="E93:E96"/>
    <mergeCell ref="T93:T96"/>
    <mergeCell ref="A91:A92"/>
    <mergeCell ref="B91:B92"/>
    <mergeCell ref="C91:C92"/>
    <mergeCell ref="D91:D92"/>
    <mergeCell ref="E91:E92"/>
    <mergeCell ref="T91:T92"/>
    <mergeCell ref="X86:X88"/>
    <mergeCell ref="A89:A90"/>
    <mergeCell ref="B89:B90"/>
    <mergeCell ref="C89:C90"/>
    <mergeCell ref="D89:D90"/>
    <mergeCell ref="E89:E90"/>
    <mergeCell ref="T89:T90"/>
    <mergeCell ref="A86:A88"/>
    <mergeCell ref="B86:B88"/>
    <mergeCell ref="C86:C88"/>
    <mergeCell ref="D86:D88"/>
    <mergeCell ref="E86:E88"/>
    <mergeCell ref="T86:T88"/>
    <mergeCell ref="A84:A85"/>
    <mergeCell ref="B84:B85"/>
    <mergeCell ref="C84:C85"/>
    <mergeCell ref="D84:D85"/>
    <mergeCell ref="E84:E85"/>
    <mergeCell ref="T84:T85"/>
    <mergeCell ref="A79:A80"/>
    <mergeCell ref="B79:B80"/>
    <mergeCell ref="C79:C80"/>
    <mergeCell ref="D79:D80"/>
    <mergeCell ref="T79:T80"/>
    <mergeCell ref="A81:A82"/>
    <mergeCell ref="B81:B82"/>
    <mergeCell ref="C81:C82"/>
    <mergeCell ref="D81:D82"/>
    <mergeCell ref="T81:T82"/>
    <mergeCell ref="A71:A72"/>
    <mergeCell ref="B71:B72"/>
    <mergeCell ref="C71:C72"/>
    <mergeCell ref="D71:D72"/>
    <mergeCell ref="E71:E72"/>
    <mergeCell ref="A77:A78"/>
    <mergeCell ref="B77:B78"/>
    <mergeCell ref="C77:C78"/>
    <mergeCell ref="D77:D78"/>
    <mergeCell ref="E77:E78"/>
    <mergeCell ref="T62:T63"/>
    <mergeCell ref="A66:A67"/>
    <mergeCell ref="B66:B67"/>
    <mergeCell ref="C66:C67"/>
    <mergeCell ref="D66:D67"/>
    <mergeCell ref="E66:E67"/>
    <mergeCell ref="K66:K67"/>
    <mergeCell ref="M66:M67"/>
    <mergeCell ref="N66:N67"/>
    <mergeCell ref="T66:T67"/>
    <mergeCell ref="A62:A63"/>
    <mergeCell ref="B62:B63"/>
    <mergeCell ref="C62:C63"/>
    <mergeCell ref="D62:D63"/>
    <mergeCell ref="E62:E63"/>
    <mergeCell ref="K62:K63"/>
    <mergeCell ref="I57:I58"/>
    <mergeCell ref="Q57:Q58"/>
    <mergeCell ref="A60:A61"/>
    <mergeCell ref="B60:B61"/>
    <mergeCell ref="C60:C61"/>
    <mergeCell ref="D60:D61"/>
    <mergeCell ref="E60:E61"/>
    <mergeCell ref="K60:K61"/>
    <mergeCell ref="M60:M61"/>
    <mergeCell ref="N60:N61"/>
    <mergeCell ref="L49:L50"/>
    <mergeCell ref="M49:M50"/>
    <mergeCell ref="N49:N50"/>
    <mergeCell ref="Q49:Q50"/>
    <mergeCell ref="T49:T50"/>
    <mergeCell ref="A57:A58"/>
    <mergeCell ref="B57:B58"/>
    <mergeCell ref="C57:C58"/>
    <mergeCell ref="D57:D58"/>
    <mergeCell ref="E57:E58"/>
    <mergeCell ref="K45:K46"/>
    <mergeCell ref="L45:L46"/>
    <mergeCell ref="M45:M46"/>
    <mergeCell ref="T45:T46"/>
    <mergeCell ref="A49:A50"/>
    <mergeCell ref="B49:B50"/>
    <mergeCell ref="C49:C50"/>
    <mergeCell ref="D49:D50"/>
    <mergeCell ref="E49:E50"/>
    <mergeCell ref="K49:K50"/>
    <mergeCell ref="M39:M40"/>
    <mergeCell ref="N39:N40"/>
    <mergeCell ref="Q39:Q40"/>
    <mergeCell ref="T39:T40"/>
    <mergeCell ref="A45:A46"/>
    <mergeCell ref="B45:B46"/>
    <mergeCell ref="C45:C46"/>
    <mergeCell ref="D45:D46"/>
    <mergeCell ref="E45:E46"/>
    <mergeCell ref="J45:J46"/>
    <mergeCell ref="L37:L38"/>
    <mergeCell ref="M37:M38"/>
    <mergeCell ref="T37:T38"/>
    <mergeCell ref="A39:A40"/>
    <mergeCell ref="B39:B40"/>
    <mergeCell ref="C39:C40"/>
    <mergeCell ref="D39:D40"/>
    <mergeCell ref="E39:E40"/>
    <mergeCell ref="K39:K40"/>
    <mergeCell ref="L39:L40"/>
    <mergeCell ref="L33:L34"/>
    <mergeCell ref="M33:M34"/>
    <mergeCell ref="N33:N34"/>
    <mergeCell ref="T33:T34"/>
    <mergeCell ref="A37:A38"/>
    <mergeCell ref="B37:B38"/>
    <mergeCell ref="C37:C38"/>
    <mergeCell ref="D37:D38"/>
    <mergeCell ref="E37:E38"/>
    <mergeCell ref="K37:K38"/>
    <mergeCell ref="K31:K32"/>
    <mergeCell ref="L31:L32"/>
    <mergeCell ref="M31:M32"/>
    <mergeCell ref="T31:T32"/>
    <mergeCell ref="A33:A34"/>
    <mergeCell ref="B33:B34"/>
    <mergeCell ref="C33:C34"/>
    <mergeCell ref="D33:D34"/>
    <mergeCell ref="E33:E34"/>
    <mergeCell ref="K33:K34"/>
    <mergeCell ref="A26:A27"/>
    <mergeCell ref="B26:B27"/>
    <mergeCell ref="C26:C27"/>
    <mergeCell ref="D26:D27"/>
    <mergeCell ref="T26:T27"/>
    <mergeCell ref="A31:A32"/>
    <mergeCell ref="B31:B32"/>
    <mergeCell ref="C31:C32"/>
    <mergeCell ref="D31:D32"/>
    <mergeCell ref="E31:E32"/>
    <mergeCell ref="U18:U19"/>
    <mergeCell ref="A20:A21"/>
    <mergeCell ref="B20:B21"/>
    <mergeCell ref="C20:C21"/>
    <mergeCell ref="D20:D21"/>
    <mergeCell ref="E20:E21"/>
    <mergeCell ref="K20:K21"/>
    <mergeCell ref="T20:T21"/>
    <mergeCell ref="N15:N16"/>
    <mergeCell ref="T15:T16"/>
    <mergeCell ref="A18:A19"/>
    <mergeCell ref="B18:B19"/>
    <mergeCell ref="C18:C19"/>
    <mergeCell ref="D18:D19"/>
    <mergeCell ref="E18:E19"/>
    <mergeCell ref="I18:I19"/>
    <mergeCell ref="K18:K19"/>
    <mergeCell ref="T18:T19"/>
    <mergeCell ref="A15:A16"/>
    <mergeCell ref="B15:B16"/>
    <mergeCell ref="C15:C16"/>
    <mergeCell ref="D15:D16"/>
    <mergeCell ref="E15:E16"/>
    <mergeCell ref="M15:M16"/>
    <mergeCell ref="T10:T11"/>
    <mergeCell ref="A12:A13"/>
    <mergeCell ref="B12:B13"/>
    <mergeCell ref="C12:C13"/>
    <mergeCell ref="D12:D13"/>
    <mergeCell ref="E12:E13"/>
    <mergeCell ref="M12:M13"/>
    <mergeCell ref="N12:N13"/>
    <mergeCell ref="T12:T13"/>
    <mergeCell ref="A10:A11"/>
    <mergeCell ref="B10:B11"/>
    <mergeCell ref="C10:C11"/>
    <mergeCell ref="D10:D11"/>
    <mergeCell ref="E10:E11"/>
    <mergeCell ref="I10:I11"/>
    <mergeCell ref="M3:M4"/>
    <mergeCell ref="N3:N4"/>
    <mergeCell ref="R3:R4"/>
    <mergeCell ref="T3:T4"/>
    <mergeCell ref="A7:A8"/>
    <mergeCell ref="B7:B8"/>
    <mergeCell ref="C7:C8"/>
    <mergeCell ref="D7:D8"/>
    <mergeCell ref="E7:E8"/>
    <mergeCell ref="T7:T8"/>
    <mergeCell ref="A3:A4"/>
    <mergeCell ref="B3:B4"/>
    <mergeCell ref="C3:C4"/>
    <mergeCell ref="D3:D4"/>
    <mergeCell ref="E3:E4"/>
    <mergeCell ref="L3: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Sheet6</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Guoxin Sun (Student)</cp:lastModifiedBy>
  <dcterms:created xsi:type="dcterms:W3CDTF">2023-12-18T18:54:45Z</dcterms:created>
  <dcterms:modified xsi:type="dcterms:W3CDTF">2024-01-13T03:46:31Z</dcterms:modified>
</cp:coreProperties>
</file>